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4a9e2fcaf4d688/文档材料/source/repos/GameTools/GameTools/Documents/AmiiboTools/"/>
    </mc:Choice>
  </mc:AlternateContent>
  <xr:revisionPtr revIDLastSave="13" documentId="13_ncr:1_{6435BAC7-F50C-4FCA-99E6-1FB4A93C0139}" xr6:coauthVersionLast="47" xr6:coauthVersionMax="47" xr10:uidLastSave="{11D22D57-918B-4593-9E1B-D421D6A7D99B}"/>
  <bookViews>
    <workbookView xWindow="-110" yWindow="-110" windowWidth="22620" windowHeight="13500" activeTab="1" xr2:uid="{00000000-000D-0000-FFFF-FFFF00000000}"/>
  </bookViews>
  <sheets>
    <sheet name="旧" sheetId="1" r:id="rId1"/>
    <sheet name="新" sheetId="2" r:id="rId2"/>
    <sheet name="转换" sheetId="3" r:id="rId3"/>
    <sheet name="测试" sheetId="4" r:id="rId4"/>
    <sheet name="结果" sheetId="5" r:id="rId5"/>
  </sheets>
  <definedNames>
    <definedName name="_xlnm._FilterDatabase" localSheetId="3" hidden="1">测试!$A$2:$H$965</definedName>
    <definedName name="_xlnm._FilterDatabase" localSheetId="0" hidden="1">旧!$A$1:$F$964</definedName>
    <definedName name="_xlnm._FilterDatabase" localSheetId="1" hidden="1">新!$A$1:$F$1041</definedName>
    <definedName name="_xlnm._FilterDatabase" localSheetId="2" hidden="1">转换!$A$1:$C$37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2" i="3"/>
  <c r="C51" i="3"/>
  <c r="C52" i="3"/>
  <c r="C50" i="3"/>
  <c r="C49" i="3"/>
  <c r="C48" i="3"/>
  <c r="C47" i="3"/>
  <c r="C46" i="3" l="1"/>
  <c r="C45" i="3" l="1"/>
  <c r="C44" i="3" l="1"/>
  <c r="A108" i="4" l="1"/>
  <c r="D108" i="4" s="1"/>
  <c r="B108" i="4"/>
  <c r="C108" i="4"/>
  <c r="A109" i="4"/>
  <c r="D109" i="4" s="1"/>
  <c r="B109" i="4"/>
  <c r="C109" i="4"/>
  <c r="A110" i="4"/>
  <c r="D110" i="4" s="1"/>
  <c r="B110" i="4"/>
  <c r="C110" i="4"/>
  <c r="A111" i="4"/>
  <c r="D111" i="4" s="1"/>
  <c r="B111" i="4"/>
  <c r="C111" i="4"/>
  <c r="A112" i="4"/>
  <c r="D112" i="4" s="1"/>
  <c r="B112" i="4"/>
  <c r="C112" i="4"/>
  <c r="A113" i="4"/>
  <c r="D113" i="4" s="1"/>
  <c r="B113" i="4"/>
  <c r="C113" i="4"/>
  <c r="A114" i="4"/>
  <c r="D114" i="4" s="1"/>
  <c r="B114" i="4"/>
  <c r="C114" i="4"/>
  <c r="A115" i="4"/>
  <c r="D115" i="4" s="1"/>
  <c r="B115" i="4"/>
  <c r="C115" i="4"/>
  <c r="A116" i="4"/>
  <c r="D116" i="4" s="1"/>
  <c r="B116" i="4"/>
  <c r="C116" i="4"/>
  <c r="A117" i="4"/>
  <c r="D117" i="4" s="1"/>
  <c r="B117" i="4"/>
  <c r="C117" i="4"/>
  <c r="A118" i="4"/>
  <c r="D118" i="4" s="1"/>
  <c r="B118" i="4"/>
  <c r="C118" i="4"/>
  <c r="A119" i="4"/>
  <c r="D119" i="4" s="1"/>
  <c r="B119" i="4"/>
  <c r="C119" i="4"/>
  <c r="A120" i="4"/>
  <c r="D120" i="4" s="1"/>
  <c r="B120" i="4"/>
  <c r="C120" i="4"/>
  <c r="A121" i="4"/>
  <c r="D121" i="4" s="1"/>
  <c r="B121" i="4"/>
  <c r="C121" i="4"/>
  <c r="A122" i="4"/>
  <c r="D122" i="4" s="1"/>
  <c r="B122" i="4"/>
  <c r="C122" i="4"/>
  <c r="A123" i="4"/>
  <c r="D123" i="4" s="1"/>
  <c r="B123" i="4"/>
  <c r="C123" i="4"/>
  <c r="A124" i="4"/>
  <c r="D124" i="4" s="1"/>
  <c r="B124" i="4"/>
  <c r="C124" i="4"/>
  <c r="A125" i="4"/>
  <c r="D125" i="4" s="1"/>
  <c r="B125" i="4"/>
  <c r="C125" i="4"/>
  <c r="A126" i="4"/>
  <c r="E126" i="4" s="1"/>
  <c r="B126" i="4"/>
  <c r="C126" i="4"/>
  <c r="A127" i="4"/>
  <c r="D127" i="4" s="1"/>
  <c r="B127" i="4"/>
  <c r="C127" i="4"/>
  <c r="A128" i="4"/>
  <c r="D128" i="4" s="1"/>
  <c r="B128" i="4"/>
  <c r="C128" i="4"/>
  <c r="A129" i="4"/>
  <c r="D129" i="4" s="1"/>
  <c r="B129" i="4"/>
  <c r="C129" i="4"/>
  <c r="A130" i="4"/>
  <c r="D130" i="4" s="1"/>
  <c r="B130" i="4"/>
  <c r="C130" i="4"/>
  <c r="A131" i="4"/>
  <c r="D131" i="4" s="1"/>
  <c r="B131" i="4"/>
  <c r="C131" i="4"/>
  <c r="A132" i="4"/>
  <c r="D132" i="4" s="1"/>
  <c r="B132" i="4"/>
  <c r="C132" i="4"/>
  <c r="A133" i="4"/>
  <c r="D133" i="4" s="1"/>
  <c r="B133" i="4"/>
  <c r="C133" i="4"/>
  <c r="A134" i="4"/>
  <c r="E134" i="4" s="1"/>
  <c r="B134" i="4"/>
  <c r="C134" i="4"/>
  <c r="A135" i="4"/>
  <c r="D135" i="4" s="1"/>
  <c r="B135" i="4"/>
  <c r="C135" i="4"/>
  <c r="A136" i="4"/>
  <c r="D136" i="4" s="1"/>
  <c r="B136" i="4"/>
  <c r="C136" i="4"/>
  <c r="A137" i="4"/>
  <c r="D137" i="4" s="1"/>
  <c r="B137" i="4"/>
  <c r="C137" i="4"/>
  <c r="A138" i="4"/>
  <c r="D138" i="4" s="1"/>
  <c r="B138" i="4"/>
  <c r="C138" i="4"/>
  <c r="A139" i="4"/>
  <c r="D139" i="4" s="1"/>
  <c r="B139" i="4"/>
  <c r="C139" i="4"/>
  <c r="A140" i="4"/>
  <c r="D140" i="4" s="1"/>
  <c r="B140" i="4"/>
  <c r="C140" i="4"/>
  <c r="A141" i="4"/>
  <c r="D141" i="4" s="1"/>
  <c r="B141" i="4"/>
  <c r="C141" i="4"/>
  <c r="A142" i="4"/>
  <c r="D142" i="4" s="1"/>
  <c r="B142" i="4"/>
  <c r="C142" i="4"/>
  <c r="A143" i="4"/>
  <c r="D143" i="4" s="1"/>
  <c r="B143" i="4"/>
  <c r="C143" i="4"/>
  <c r="A144" i="4"/>
  <c r="D144" i="4" s="1"/>
  <c r="B144" i="4"/>
  <c r="C144" i="4"/>
  <c r="A145" i="4"/>
  <c r="D145" i="4" s="1"/>
  <c r="B145" i="4"/>
  <c r="C145" i="4"/>
  <c r="A146" i="4"/>
  <c r="D146" i="4" s="1"/>
  <c r="B146" i="4"/>
  <c r="C146" i="4"/>
  <c r="A147" i="4"/>
  <c r="D147" i="4" s="1"/>
  <c r="B147" i="4"/>
  <c r="C147" i="4"/>
  <c r="A148" i="4"/>
  <c r="D148" i="4" s="1"/>
  <c r="B148" i="4"/>
  <c r="C148" i="4"/>
  <c r="A149" i="4"/>
  <c r="D149" i="4" s="1"/>
  <c r="B149" i="4"/>
  <c r="C149" i="4"/>
  <c r="A150" i="4"/>
  <c r="D150" i="4" s="1"/>
  <c r="B150" i="4"/>
  <c r="C150" i="4"/>
  <c r="A151" i="4"/>
  <c r="D151" i="4" s="1"/>
  <c r="B151" i="4"/>
  <c r="C151" i="4"/>
  <c r="A152" i="4"/>
  <c r="E152" i="4" s="1"/>
  <c r="B152" i="4"/>
  <c r="C152" i="4"/>
  <c r="A153" i="4"/>
  <c r="D153" i="4" s="1"/>
  <c r="B153" i="4"/>
  <c r="C153" i="4"/>
  <c r="A154" i="4"/>
  <c r="D154" i="4" s="1"/>
  <c r="B154" i="4"/>
  <c r="C154" i="4"/>
  <c r="A155" i="4"/>
  <c r="D155" i="4" s="1"/>
  <c r="B155" i="4"/>
  <c r="C155" i="4"/>
  <c r="A156" i="4"/>
  <c r="D156" i="4" s="1"/>
  <c r="B156" i="4"/>
  <c r="C156" i="4"/>
  <c r="A157" i="4"/>
  <c r="D157" i="4" s="1"/>
  <c r="B157" i="4"/>
  <c r="C157" i="4"/>
  <c r="A158" i="4"/>
  <c r="D158" i="4" s="1"/>
  <c r="B158" i="4"/>
  <c r="C158" i="4"/>
  <c r="A159" i="4"/>
  <c r="D159" i="4" s="1"/>
  <c r="B159" i="4"/>
  <c r="C159" i="4"/>
  <c r="A160" i="4"/>
  <c r="D160" i="4" s="1"/>
  <c r="B160" i="4"/>
  <c r="C160" i="4"/>
  <c r="A161" i="4"/>
  <c r="D161" i="4" s="1"/>
  <c r="B161" i="4"/>
  <c r="C161" i="4"/>
  <c r="A162" i="4"/>
  <c r="D162" i="4" s="1"/>
  <c r="B162" i="4"/>
  <c r="C162" i="4"/>
  <c r="A163" i="4"/>
  <c r="D163" i="4" s="1"/>
  <c r="B163" i="4"/>
  <c r="C163" i="4"/>
  <c r="A164" i="4"/>
  <c r="D164" i="4" s="1"/>
  <c r="B164" i="4"/>
  <c r="C164" i="4"/>
  <c r="A165" i="4"/>
  <c r="D165" i="4" s="1"/>
  <c r="B165" i="4"/>
  <c r="C165" i="4"/>
  <c r="A166" i="4"/>
  <c r="D166" i="4" s="1"/>
  <c r="B166" i="4"/>
  <c r="C166" i="4"/>
  <c r="A167" i="4"/>
  <c r="D167" i="4" s="1"/>
  <c r="B167" i="4"/>
  <c r="C167" i="4"/>
  <c r="A168" i="4"/>
  <c r="D168" i="4" s="1"/>
  <c r="B168" i="4"/>
  <c r="C168" i="4"/>
  <c r="A169" i="4"/>
  <c r="D169" i="4" s="1"/>
  <c r="B169" i="4"/>
  <c r="C169" i="4"/>
  <c r="A170" i="4"/>
  <c r="D170" i="4" s="1"/>
  <c r="B170" i="4"/>
  <c r="C170" i="4"/>
  <c r="A171" i="4"/>
  <c r="D171" i="4" s="1"/>
  <c r="B171" i="4"/>
  <c r="C171" i="4"/>
  <c r="A172" i="4"/>
  <c r="D172" i="4" s="1"/>
  <c r="B172" i="4"/>
  <c r="C172" i="4"/>
  <c r="A173" i="4"/>
  <c r="D173" i="4" s="1"/>
  <c r="B173" i="4"/>
  <c r="C173" i="4"/>
  <c r="A174" i="4"/>
  <c r="D174" i="4" s="1"/>
  <c r="B174" i="4"/>
  <c r="C174" i="4"/>
  <c r="A175" i="4"/>
  <c r="D175" i="4" s="1"/>
  <c r="B175" i="4"/>
  <c r="C175" i="4"/>
  <c r="A176" i="4"/>
  <c r="D176" i="4" s="1"/>
  <c r="B176" i="4"/>
  <c r="C176" i="4"/>
  <c r="A177" i="4"/>
  <c r="D177" i="4" s="1"/>
  <c r="B177" i="4"/>
  <c r="C177" i="4"/>
  <c r="A178" i="4"/>
  <c r="D178" i="4" s="1"/>
  <c r="B178" i="4"/>
  <c r="C178" i="4"/>
  <c r="A179" i="4"/>
  <c r="D179" i="4" s="1"/>
  <c r="B179" i="4"/>
  <c r="C179" i="4"/>
  <c r="A180" i="4"/>
  <c r="D180" i="4" s="1"/>
  <c r="B180" i="4"/>
  <c r="C180" i="4"/>
  <c r="A181" i="4"/>
  <c r="D181" i="4" s="1"/>
  <c r="B181" i="4"/>
  <c r="C181" i="4"/>
  <c r="A182" i="4"/>
  <c r="D182" i="4" s="1"/>
  <c r="B182" i="4"/>
  <c r="C182" i="4"/>
  <c r="A183" i="4"/>
  <c r="D183" i="4" s="1"/>
  <c r="B183" i="4"/>
  <c r="C183" i="4"/>
  <c r="A184" i="4"/>
  <c r="D184" i="4" s="1"/>
  <c r="B184" i="4"/>
  <c r="C184" i="4"/>
  <c r="A185" i="4"/>
  <c r="D185" i="4" s="1"/>
  <c r="B185" i="4"/>
  <c r="C185" i="4"/>
  <c r="A186" i="4"/>
  <c r="D186" i="4" s="1"/>
  <c r="B186" i="4"/>
  <c r="C186" i="4"/>
  <c r="A187" i="4"/>
  <c r="D187" i="4" s="1"/>
  <c r="B187" i="4"/>
  <c r="C187" i="4"/>
  <c r="A188" i="4"/>
  <c r="D188" i="4" s="1"/>
  <c r="B188" i="4"/>
  <c r="C188" i="4"/>
  <c r="A189" i="4"/>
  <c r="D189" i="4" s="1"/>
  <c r="B189" i="4"/>
  <c r="C189" i="4"/>
  <c r="A190" i="4"/>
  <c r="D190" i="4" s="1"/>
  <c r="B190" i="4"/>
  <c r="C190" i="4"/>
  <c r="A191" i="4"/>
  <c r="D191" i="4" s="1"/>
  <c r="B191" i="4"/>
  <c r="C191" i="4"/>
  <c r="A192" i="4"/>
  <c r="D192" i="4" s="1"/>
  <c r="B192" i="4"/>
  <c r="C192" i="4"/>
  <c r="A193" i="4"/>
  <c r="D193" i="4" s="1"/>
  <c r="B193" i="4"/>
  <c r="C193" i="4"/>
  <c r="A194" i="4"/>
  <c r="D194" i="4" s="1"/>
  <c r="B194" i="4"/>
  <c r="C194" i="4"/>
  <c r="A195" i="4"/>
  <c r="D195" i="4" s="1"/>
  <c r="B195" i="4"/>
  <c r="C195" i="4"/>
  <c r="A196" i="4"/>
  <c r="D196" i="4" s="1"/>
  <c r="B196" i="4"/>
  <c r="C196" i="4"/>
  <c r="A197" i="4"/>
  <c r="D197" i="4" s="1"/>
  <c r="B197" i="4"/>
  <c r="C197" i="4"/>
  <c r="A198" i="4"/>
  <c r="D198" i="4" s="1"/>
  <c r="B198" i="4"/>
  <c r="C198" i="4"/>
  <c r="A199" i="4"/>
  <c r="D199" i="4" s="1"/>
  <c r="B199" i="4"/>
  <c r="C199" i="4"/>
  <c r="A200" i="4"/>
  <c r="D200" i="4" s="1"/>
  <c r="B200" i="4"/>
  <c r="C200" i="4"/>
  <c r="A201" i="4"/>
  <c r="D201" i="4" s="1"/>
  <c r="B201" i="4"/>
  <c r="C201" i="4"/>
  <c r="A202" i="4"/>
  <c r="D202" i="4" s="1"/>
  <c r="B202" i="4"/>
  <c r="C202" i="4"/>
  <c r="A203" i="4"/>
  <c r="D203" i="4" s="1"/>
  <c r="B203" i="4"/>
  <c r="C203" i="4"/>
  <c r="A204" i="4"/>
  <c r="D204" i="4" s="1"/>
  <c r="B204" i="4"/>
  <c r="C204" i="4"/>
  <c r="A205" i="4"/>
  <c r="D205" i="4" s="1"/>
  <c r="B205" i="4"/>
  <c r="C205" i="4"/>
  <c r="A206" i="4"/>
  <c r="D206" i="4" s="1"/>
  <c r="B206" i="4"/>
  <c r="C206" i="4"/>
  <c r="A207" i="4"/>
  <c r="D207" i="4" s="1"/>
  <c r="B207" i="4"/>
  <c r="C207" i="4"/>
  <c r="A208" i="4"/>
  <c r="D208" i="4" s="1"/>
  <c r="B208" i="4"/>
  <c r="C208" i="4"/>
  <c r="A209" i="4"/>
  <c r="D209" i="4" s="1"/>
  <c r="B209" i="4"/>
  <c r="C209" i="4"/>
  <c r="A210" i="4"/>
  <c r="D210" i="4" s="1"/>
  <c r="B210" i="4"/>
  <c r="C210" i="4"/>
  <c r="A211" i="4"/>
  <c r="D211" i="4" s="1"/>
  <c r="B211" i="4"/>
  <c r="C211" i="4"/>
  <c r="A212" i="4"/>
  <c r="D212" i="4" s="1"/>
  <c r="B212" i="4"/>
  <c r="C212" i="4"/>
  <c r="A213" i="4"/>
  <c r="D213" i="4" s="1"/>
  <c r="B213" i="4"/>
  <c r="C213" i="4"/>
  <c r="A214" i="4"/>
  <c r="D214" i="4" s="1"/>
  <c r="B214" i="4"/>
  <c r="C214" i="4"/>
  <c r="A215" i="4"/>
  <c r="D215" i="4" s="1"/>
  <c r="B215" i="4"/>
  <c r="C215" i="4"/>
  <c r="A216" i="4"/>
  <c r="D216" i="4" s="1"/>
  <c r="B216" i="4"/>
  <c r="C216" i="4"/>
  <c r="A217" i="4"/>
  <c r="D217" i="4" s="1"/>
  <c r="B217" i="4"/>
  <c r="C217" i="4"/>
  <c r="A218" i="4"/>
  <c r="D218" i="4" s="1"/>
  <c r="B218" i="4"/>
  <c r="C218" i="4"/>
  <c r="A219" i="4"/>
  <c r="D219" i="4" s="1"/>
  <c r="B219" i="4"/>
  <c r="C219" i="4"/>
  <c r="A220" i="4"/>
  <c r="D220" i="4" s="1"/>
  <c r="B220" i="4"/>
  <c r="C220" i="4"/>
  <c r="A221" i="4"/>
  <c r="D221" i="4" s="1"/>
  <c r="B221" i="4"/>
  <c r="C221" i="4"/>
  <c r="A222" i="4"/>
  <c r="D222" i="4" s="1"/>
  <c r="B222" i="4"/>
  <c r="C222" i="4"/>
  <c r="A223" i="4"/>
  <c r="D223" i="4" s="1"/>
  <c r="B223" i="4"/>
  <c r="C223" i="4"/>
  <c r="A224" i="4"/>
  <c r="D224" i="4" s="1"/>
  <c r="B224" i="4"/>
  <c r="C224" i="4"/>
  <c r="A225" i="4"/>
  <c r="D225" i="4" s="1"/>
  <c r="B225" i="4"/>
  <c r="C225" i="4"/>
  <c r="A226" i="4"/>
  <c r="D226" i="4" s="1"/>
  <c r="B226" i="4"/>
  <c r="C226" i="4"/>
  <c r="A227" i="4"/>
  <c r="D227" i="4" s="1"/>
  <c r="B227" i="4"/>
  <c r="C227" i="4"/>
  <c r="A228" i="4"/>
  <c r="D228" i="4" s="1"/>
  <c r="B228" i="4"/>
  <c r="C228" i="4"/>
  <c r="A229" i="4"/>
  <c r="D229" i="4" s="1"/>
  <c r="B229" i="4"/>
  <c r="C229" i="4"/>
  <c r="A230" i="4"/>
  <c r="D230" i="4" s="1"/>
  <c r="B230" i="4"/>
  <c r="C230" i="4"/>
  <c r="A231" i="4"/>
  <c r="D231" i="4" s="1"/>
  <c r="B231" i="4"/>
  <c r="C231" i="4"/>
  <c r="A232" i="4"/>
  <c r="D232" i="4" s="1"/>
  <c r="B232" i="4"/>
  <c r="C232" i="4"/>
  <c r="A233" i="4"/>
  <c r="D233" i="4" s="1"/>
  <c r="B233" i="4"/>
  <c r="C233" i="4"/>
  <c r="A234" i="4"/>
  <c r="D234" i="4" s="1"/>
  <c r="B234" i="4"/>
  <c r="C234" i="4"/>
  <c r="A235" i="4"/>
  <c r="D235" i="4" s="1"/>
  <c r="B235" i="4"/>
  <c r="C235" i="4"/>
  <c r="A236" i="4"/>
  <c r="D236" i="4" s="1"/>
  <c r="B236" i="4"/>
  <c r="C236" i="4"/>
  <c r="A237" i="4"/>
  <c r="D237" i="4" s="1"/>
  <c r="B237" i="4"/>
  <c r="C237" i="4"/>
  <c r="A238" i="4"/>
  <c r="D238" i="4" s="1"/>
  <c r="B238" i="4"/>
  <c r="C238" i="4"/>
  <c r="A239" i="4"/>
  <c r="B239" i="4"/>
  <c r="C239" i="4"/>
  <c r="A240" i="4"/>
  <c r="B240" i="4"/>
  <c r="C240" i="4"/>
  <c r="A241" i="4"/>
  <c r="D241" i="4" s="1"/>
  <c r="B241" i="4"/>
  <c r="C241" i="4"/>
  <c r="A242" i="4"/>
  <c r="D242" i="4" s="1"/>
  <c r="B242" i="4"/>
  <c r="C242" i="4"/>
  <c r="A243" i="4"/>
  <c r="D243" i="4" s="1"/>
  <c r="B243" i="4"/>
  <c r="C243" i="4"/>
  <c r="A244" i="4"/>
  <c r="D244" i="4" s="1"/>
  <c r="B244" i="4"/>
  <c r="C244" i="4"/>
  <c r="A245" i="4"/>
  <c r="D245" i="4" s="1"/>
  <c r="B245" i="4"/>
  <c r="C245" i="4"/>
  <c r="A246" i="4"/>
  <c r="D246" i="4" s="1"/>
  <c r="B246" i="4"/>
  <c r="C246" i="4"/>
  <c r="A247" i="4"/>
  <c r="B247" i="4"/>
  <c r="C247" i="4"/>
  <c r="A248" i="4"/>
  <c r="B248" i="4"/>
  <c r="C248" i="4"/>
  <c r="A249" i="4"/>
  <c r="D249" i="4" s="1"/>
  <c r="B249" i="4"/>
  <c r="C249" i="4"/>
  <c r="A250" i="4"/>
  <c r="D250" i="4" s="1"/>
  <c r="B250" i="4"/>
  <c r="C250" i="4"/>
  <c r="A251" i="4"/>
  <c r="D251" i="4" s="1"/>
  <c r="B251" i="4"/>
  <c r="C251" i="4"/>
  <c r="A252" i="4"/>
  <c r="D252" i="4" s="1"/>
  <c r="B252" i="4"/>
  <c r="C252" i="4"/>
  <c r="A253" i="4"/>
  <c r="D253" i="4" s="1"/>
  <c r="B253" i="4"/>
  <c r="C253" i="4"/>
  <c r="A254" i="4"/>
  <c r="D254" i="4" s="1"/>
  <c r="B254" i="4"/>
  <c r="C254" i="4"/>
  <c r="A255" i="4"/>
  <c r="D255" i="4" s="1"/>
  <c r="B255" i="4"/>
  <c r="C255" i="4"/>
  <c r="A256" i="4"/>
  <c r="D256" i="4" s="1"/>
  <c r="B256" i="4"/>
  <c r="C256" i="4"/>
  <c r="A257" i="4"/>
  <c r="D257" i="4" s="1"/>
  <c r="B257" i="4"/>
  <c r="C257" i="4"/>
  <c r="A258" i="4"/>
  <c r="D258" i="4" s="1"/>
  <c r="B258" i="4"/>
  <c r="C258" i="4"/>
  <c r="A259" i="4"/>
  <c r="D259" i="4" s="1"/>
  <c r="B259" i="4"/>
  <c r="C259" i="4"/>
  <c r="A260" i="4"/>
  <c r="D260" i="4" s="1"/>
  <c r="B260" i="4"/>
  <c r="C260" i="4"/>
  <c r="A261" i="4"/>
  <c r="D261" i="4" s="1"/>
  <c r="B261" i="4"/>
  <c r="C261" i="4"/>
  <c r="A262" i="4"/>
  <c r="B262" i="4"/>
  <c r="C262" i="4"/>
  <c r="A263" i="4"/>
  <c r="D263" i="4" s="1"/>
  <c r="B263" i="4"/>
  <c r="C263" i="4"/>
  <c r="A264" i="4"/>
  <c r="D264" i="4" s="1"/>
  <c r="B264" i="4"/>
  <c r="C264" i="4"/>
  <c r="A265" i="4"/>
  <c r="D265" i="4" s="1"/>
  <c r="B265" i="4"/>
  <c r="C265" i="4"/>
  <c r="A266" i="4"/>
  <c r="D266" i="4" s="1"/>
  <c r="B266" i="4"/>
  <c r="C266" i="4"/>
  <c r="A267" i="4"/>
  <c r="B267" i="4"/>
  <c r="C267" i="4"/>
  <c r="A268" i="4"/>
  <c r="D268" i="4" s="1"/>
  <c r="B268" i="4"/>
  <c r="C268" i="4"/>
  <c r="A269" i="4"/>
  <c r="D269" i="4" s="1"/>
  <c r="B269" i="4"/>
  <c r="C269" i="4"/>
  <c r="A270" i="4"/>
  <c r="D270" i="4" s="1"/>
  <c r="B270" i="4"/>
  <c r="C270" i="4"/>
  <c r="A271" i="4"/>
  <c r="D271" i="4" s="1"/>
  <c r="B271" i="4"/>
  <c r="C271" i="4"/>
  <c r="A272" i="4"/>
  <c r="D272" i="4" s="1"/>
  <c r="B272" i="4"/>
  <c r="C272" i="4"/>
  <c r="A273" i="4"/>
  <c r="D273" i="4" s="1"/>
  <c r="B273" i="4"/>
  <c r="C273" i="4"/>
  <c r="A274" i="4"/>
  <c r="D274" i="4" s="1"/>
  <c r="B274" i="4"/>
  <c r="C274" i="4"/>
  <c r="A275" i="4"/>
  <c r="E275" i="4" s="1"/>
  <c r="B275" i="4"/>
  <c r="C275" i="4"/>
  <c r="A276" i="4"/>
  <c r="D276" i="4" s="1"/>
  <c r="B276" i="4"/>
  <c r="C276" i="4"/>
  <c r="A277" i="4"/>
  <c r="E277" i="4" s="1"/>
  <c r="B277" i="4"/>
  <c r="C277" i="4"/>
  <c r="A278" i="4"/>
  <c r="B278" i="4"/>
  <c r="C278" i="4"/>
  <c r="A279" i="4"/>
  <c r="D279" i="4" s="1"/>
  <c r="B279" i="4"/>
  <c r="C279" i="4"/>
  <c r="A280" i="4"/>
  <c r="D280" i="4" s="1"/>
  <c r="B280" i="4"/>
  <c r="C280" i="4"/>
  <c r="A281" i="4"/>
  <c r="D281" i="4" s="1"/>
  <c r="B281" i="4"/>
  <c r="C281" i="4"/>
  <c r="A282" i="4"/>
  <c r="D282" i="4" s="1"/>
  <c r="B282" i="4"/>
  <c r="C282" i="4"/>
  <c r="A283" i="4"/>
  <c r="B283" i="4"/>
  <c r="C283" i="4"/>
  <c r="A284" i="4"/>
  <c r="D284" i="4" s="1"/>
  <c r="B284" i="4"/>
  <c r="C284" i="4"/>
  <c r="A285" i="4"/>
  <c r="D285" i="4" s="1"/>
  <c r="B285" i="4"/>
  <c r="C285" i="4"/>
  <c r="A286" i="4"/>
  <c r="D286" i="4" s="1"/>
  <c r="B286" i="4"/>
  <c r="C286" i="4"/>
  <c r="A287" i="4"/>
  <c r="D287" i="4" s="1"/>
  <c r="B287" i="4"/>
  <c r="C287" i="4"/>
  <c r="A288" i="4"/>
  <c r="D288" i="4" s="1"/>
  <c r="B288" i="4"/>
  <c r="C288" i="4"/>
  <c r="A289" i="4"/>
  <c r="D289" i="4" s="1"/>
  <c r="B289" i="4"/>
  <c r="C289" i="4"/>
  <c r="A290" i="4"/>
  <c r="D290" i="4" s="1"/>
  <c r="B290" i="4"/>
  <c r="C290" i="4"/>
  <c r="A291" i="4"/>
  <c r="B291" i="4"/>
  <c r="C291" i="4"/>
  <c r="A292" i="4"/>
  <c r="D292" i="4" s="1"/>
  <c r="B292" i="4"/>
  <c r="C292" i="4"/>
  <c r="A293" i="4"/>
  <c r="D293" i="4" s="1"/>
  <c r="B293" i="4"/>
  <c r="C293" i="4"/>
  <c r="A294" i="4"/>
  <c r="D294" i="4" s="1"/>
  <c r="B294" i="4"/>
  <c r="C294" i="4"/>
  <c r="A295" i="4"/>
  <c r="D295" i="4" s="1"/>
  <c r="B295" i="4"/>
  <c r="C295" i="4"/>
  <c r="A296" i="4"/>
  <c r="D296" i="4" s="1"/>
  <c r="B296" i="4"/>
  <c r="C296" i="4"/>
  <c r="A297" i="4"/>
  <c r="D297" i="4" s="1"/>
  <c r="B297" i="4"/>
  <c r="C297" i="4"/>
  <c r="A298" i="4"/>
  <c r="B298" i="4"/>
  <c r="C298" i="4"/>
  <c r="A299" i="4"/>
  <c r="D299" i="4" s="1"/>
  <c r="B299" i="4"/>
  <c r="C299" i="4"/>
  <c r="A300" i="4"/>
  <c r="D300" i="4" s="1"/>
  <c r="B300" i="4"/>
  <c r="C300" i="4"/>
  <c r="A301" i="4"/>
  <c r="D301" i="4" s="1"/>
  <c r="B301" i="4"/>
  <c r="C301" i="4"/>
  <c r="A302" i="4"/>
  <c r="D302" i="4" s="1"/>
  <c r="B302" i="4"/>
  <c r="C302" i="4"/>
  <c r="A303" i="4"/>
  <c r="B303" i="4"/>
  <c r="C303" i="4"/>
  <c r="A304" i="4"/>
  <c r="D304" i="4" s="1"/>
  <c r="B304" i="4"/>
  <c r="C304" i="4"/>
  <c r="A305" i="4"/>
  <c r="D305" i="4" s="1"/>
  <c r="B305" i="4"/>
  <c r="C305" i="4"/>
  <c r="A306" i="4"/>
  <c r="B306" i="4"/>
  <c r="C306" i="4"/>
  <c r="A307" i="4"/>
  <c r="B307" i="4"/>
  <c r="C307" i="4"/>
  <c r="A308" i="4"/>
  <c r="D308" i="4" s="1"/>
  <c r="B308" i="4"/>
  <c r="C308" i="4"/>
  <c r="A309" i="4"/>
  <c r="D309" i="4" s="1"/>
  <c r="B309" i="4"/>
  <c r="C309" i="4"/>
  <c r="A310" i="4"/>
  <c r="D310" i="4" s="1"/>
  <c r="B310" i="4"/>
  <c r="C310" i="4"/>
  <c r="A311" i="4"/>
  <c r="D311" i="4" s="1"/>
  <c r="B311" i="4"/>
  <c r="C311" i="4"/>
  <c r="A312" i="4"/>
  <c r="D312" i="4" s="1"/>
  <c r="B312" i="4"/>
  <c r="C312" i="4"/>
  <c r="A313" i="4"/>
  <c r="D313" i="4" s="1"/>
  <c r="B313" i="4"/>
  <c r="C313" i="4"/>
  <c r="A314" i="4"/>
  <c r="D314" i="4" s="1"/>
  <c r="B314" i="4"/>
  <c r="C314" i="4"/>
  <c r="A315" i="4"/>
  <c r="D315" i="4" s="1"/>
  <c r="B315" i="4"/>
  <c r="C315" i="4"/>
  <c r="A316" i="4"/>
  <c r="D316" i="4" s="1"/>
  <c r="B316" i="4"/>
  <c r="C316" i="4"/>
  <c r="A317" i="4"/>
  <c r="D317" i="4" s="1"/>
  <c r="B317" i="4"/>
  <c r="C317" i="4"/>
  <c r="A318" i="4"/>
  <c r="B318" i="4"/>
  <c r="C318" i="4"/>
  <c r="A319" i="4"/>
  <c r="D319" i="4" s="1"/>
  <c r="B319" i="4"/>
  <c r="C319" i="4"/>
  <c r="A320" i="4"/>
  <c r="D320" i="4" s="1"/>
  <c r="B320" i="4"/>
  <c r="C320" i="4"/>
  <c r="A321" i="4"/>
  <c r="D321" i="4" s="1"/>
  <c r="B321" i="4"/>
  <c r="C321" i="4"/>
  <c r="A322" i="4"/>
  <c r="D322" i="4" s="1"/>
  <c r="B322" i="4"/>
  <c r="C322" i="4"/>
  <c r="A323" i="4"/>
  <c r="B323" i="4"/>
  <c r="C323" i="4"/>
  <c r="A324" i="4"/>
  <c r="D324" i="4" s="1"/>
  <c r="B324" i="4"/>
  <c r="C324" i="4"/>
  <c r="A325" i="4"/>
  <c r="D325" i="4" s="1"/>
  <c r="B325" i="4"/>
  <c r="C325" i="4"/>
  <c r="A326" i="4"/>
  <c r="D326" i="4" s="1"/>
  <c r="B326" i="4"/>
  <c r="C326" i="4"/>
  <c r="A327" i="4"/>
  <c r="D327" i="4" s="1"/>
  <c r="B327" i="4"/>
  <c r="C327" i="4"/>
  <c r="A328" i="4"/>
  <c r="B328" i="4"/>
  <c r="C328" i="4"/>
  <c r="A329" i="4"/>
  <c r="D329" i="4" s="1"/>
  <c r="B329" i="4"/>
  <c r="C329" i="4"/>
  <c r="A330" i="4"/>
  <c r="B330" i="4"/>
  <c r="C330" i="4"/>
  <c r="A331" i="4"/>
  <c r="D331" i="4" s="1"/>
  <c r="B331" i="4"/>
  <c r="C331" i="4"/>
  <c r="A332" i="4"/>
  <c r="D332" i="4" s="1"/>
  <c r="B332" i="4"/>
  <c r="C332" i="4"/>
  <c r="A333" i="4"/>
  <c r="D333" i="4" s="1"/>
  <c r="B333" i="4"/>
  <c r="C333" i="4"/>
  <c r="A334" i="4"/>
  <c r="B334" i="4"/>
  <c r="C334" i="4"/>
  <c r="A335" i="4"/>
  <c r="D335" i="4" s="1"/>
  <c r="B335" i="4"/>
  <c r="C335" i="4"/>
  <c r="A336" i="4"/>
  <c r="B336" i="4"/>
  <c r="C336" i="4"/>
  <c r="A337" i="4"/>
  <c r="D337" i="4" s="1"/>
  <c r="B337" i="4"/>
  <c r="C337" i="4"/>
  <c r="A338" i="4"/>
  <c r="B338" i="4"/>
  <c r="C338" i="4"/>
  <c r="A339" i="4"/>
  <c r="D339" i="4" s="1"/>
  <c r="B339" i="4"/>
  <c r="C339" i="4"/>
  <c r="A340" i="4"/>
  <c r="B340" i="4"/>
  <c r="C340" i="4"/>
  <c r="A341" i="4"/>
  <c r="D341" i="4" s="1"/>
  <c r="B341" i="4"/>
  <c r="C341" i="4"/>
  <c r="A342" i="4"/>
  <c r="D342" i="4" s="1"/>
  <c r="B342" i="4"/>
  <c r="C342" i="4"/>
  <c r="A343" i="4"/>
  <c r="D343" i="4" s="1"/>
  <c r="B343" i="4"/>
  <c r="C343" i="4"/>
  <c r="A344" i="4"/>
  <c r="B344" i="4"/>
  <c r="C344" i="4"/>
  <c r="A345" i="4"/>
  <c r="B345" i="4"/>
  <c r="C345" i="4"/>
  <c r="A346" i="4"/>
  <c r="B346" i="4"/>
  <c r="C346" i="4"/>
  <c r="A347" i="4"/>
  <c r="B347" i="4"/>
  <c r="C347" i="4"/>
  <c r="A348" i="4"/>
  <c r="D348" i="4" s="1"/>
  <c r="B348" i="4"/>
  <c r="C348" i="4"/>
  <c r="A349" i="4"/>
  <c r="D349" i="4" s="1"/>
  <c r="B349" i="4"/>
  <c r="C349" i="4"/>
  <c r="A350" i="4"/>
  <c r="D350" i="4" s="1"/>
  <c r="B350" i="4"/>
  <c r="C350" i="4"/>
  <c r="A351" i="4"/>
  <c r="B351" i="4"/>
  <c r="C351" i="4"/>
  <c r="A352" i="4"/>
  <c r="B352" i="4"/>
  <c r="C352" i="4"/>
  <c r="A353" i="4"/>
  <c r="D353" i="4" s="1"/>
  <c r="B353" i="4"/>
  <c r="C353" i="4"/>
  <c r="A354" i="4"/>
  <c r="D354" i="4" s="1"/>
  <c r="B354" i="4"/>
  <c r="C354" i="4"/>
  <c r="A355" i="4"/>
  <c r="B355" i="4"/>
  <c r="C355" i="4"/>
  <c r="A356" i="4"/>
  <c r="D356" i="4" s="1"/>
  <c r="B356" i="4"/>
  <c r="C356" i="4"/>
  <c r="A357" i="4"/>
  <c r="D357" i="4" s="1"/>
  <c r="B357" i="4"/>
  <c r="C357" i="4"/>
  <c r="A358" i="4"/>
  <c r="D358" i="4" s="1"/>
  <c r="B358" i="4"/>
  <c r="C358" i="4"/>
  <c r="A359" i="4"/>
  <c r="D359" i="4" s="1"/>
  <c r="B359" i="4"/>
  <c r="C359" i="4"/>
  <c r="A360" i="4"/>
  <c r="D360" i="4" s="1"/>
  <c r="B360" i="4"/>
  <c r="C360" i="4"/>
  <c r="A361" i="4"/>
  <c r="D361" i="4" s="1"/>
  <c r="B361" i="4"/>
  <c r="C361" i="4"/>
  <c r="A362" i="4"/>
  <c r="D362" i="4" s="1"/>
  <c r="B362" i="4"/>
  <c r="C362" i="4"/>
  <c r="A363" i="4"/>
  <c r="D363" i="4" s="1"/>
  <c r="B363" i="4"/>
  <c r="C363" i="4"/>
  <c r="A364" i="4"/>
  <c r="D364" i="4" s="1"/>
  <c r="B364" i="4"/>
  <c r="C364" i="4"/>
  <c r="A365" i="4"/>
  <c r="D365" i="4" s="1"/>
  <c r="B365" i="4"/>
  <c r="C365" i="4"/>
  <c r="A366" i="4"/>
  <c r="D366" i="4" s="1"/>
  <c r="B366" i="4"/>
  <c r="C366" i="4"/>
  <c r="A367" i="4"/>
  <c r="B367" i="4"/>
  <c r="C367" i="4"/>
  <c r="A368" i="4"/>
  <c r="D368" i="4" s="1"/>
  <c r="B368" i="4"/>
  <c r="C368" i="4"/>
  <c r="A369" i="4"/>
  <c r="D369" i="4" s="1"/>
  <c r="B369" i="4"/>
  <c r="C369" i="4"/>
  <c r="A370" i="4"/>
  <c r="D370" i="4" s="1"/>
  <c r="B370" i="4"/>
  <c r="C370" i="4"/>
  <c r="A371" i="4"/>
  <c r="B371" i="4"/>
  <c r="C371" i="4"/>
  <c r="A372" i="4"/>
  <c r="D372" i="4" s="1"/>
  <c r="B372" i="4"/>
  <c r="C372" i="4"/>
  <c r="A373" i="4"/>
  <c r="D373" i="4" s="1"/>
  <c r="B373" i="4"/>
  <c r="C373" i="4"/>
  <c r="A374" i="4"/>
  <c r="D374" i="4" s="1"/>
  <c r="B374" i="4"/>
  <c r="C374" i="4"/>
  <c r="A375" i="4"/>
  <c r="D375" i="4" s="1"/>
  <c r="B375" i="4"/>
  <c r="C375" i="4"/>
  <c r="A376" i="4"/>
  <c r="D376" i="4" s="1"/>
  <c r="B376" i="4"/>
  <c r="C376" i="4"/>
  <c r="A377" i="4"/>
  <c r="D377" i="4" s="1"/>
  <c r="B377" i="4"/>
  <c r="C377" i="4"/>
  <c r="A378" i="4"/>
  <c r="D378" i="4" s="1"/>
  <c r="B378" i="4"/>
  <c r="C378" i="4"/>
  <c r="A379" i="4"/>
  <c r="D379" i="4" s="1"/>
  <c r="B379" i="4"/>
  <c r="C379" i="4"/>
  <c r="A380" i="4"/>
  <c r="B380" i="4"/>
  <c r="C380" i="4"/>
  <c r="A381" i="4"/>
  <c r="D381" i="4" s="1"/>
  <c r="B381" i="4"/>
  <c r="C381" i="4"/>
  <c r="A382" i="4"/>
  <c r="B382" i="4"/>
  <c r="C382" i="4"/>
  <c r="A383" i="4"/>
  <c r="D383" i="4" s="1"/>
  <c r="B383" i="4"/>
  <c r="C383" i="4"/>
  <c r="A384" i="4"/>
  <c r="D384" i="4" s="1"/>
  <c r="B384" i="4"/>
  <c r="C384" i="4"/>
  <c r="A385" i="4"/>
  <c r="D385" i="4" s="1"/>
  <c r="B385" i="4"/>
  <c r="C385" i="4"/>
  <c r="A386" i="4"/>
  <c r="B386" i="4"/>
  <c r="C386" i="4"/>
  <c r="A387" i="4"/>
  <c r="D387" i="4" s="1"/>
  <c r="B387" i="4"/>
  <c r="C387" i="4"/>
  <c r="A388" i="4"/>
  <c r="B388" i="4"/>
  <c r="C388" i="4"/>
  <c r="A389" i="4"/>
  <c r="B389" i="4"/>
  <c r="C389" i="4"/>
  <c r="A390" i="4"/>
  <c r="B390" i="4"/>
  <c r="C390" i="4"/>
  <c r="A391" i="4"/>
  <c r="D391" i="4" s="1"/>
  <c r="B391" i="4"/>
  <c r="C391" i="4"/>
  <c r="A392" i="4"/>
  <c r="D392" i="4" s="1"/>
  <c r="B392" i="4"/>
  <c r="C392" i="4"/>
  <c r="A393" i="4"/>
  <c r="D393" i="4" s="1"/>
  <c r="B393" i="4"/>
  <c r="C393" i="4"/>
  <c r="A394" i="4"/>
  <c r="B394" i="4"/>
  <c r="C394" i="4"/>
  <c r="A395" i="4"/>
  <c r="D395" i="4" s="1"/>
  <c r="B395" i="4"/>
  <c r="C395" i="4"/>
  <c r="A396" i="4"/>
  <c r="B396" i="4"/>
  <c r="C396" i="4"/>
  <c r="A397" i="4"/>
  <c r="B397" i="4"/>
  <c r="C397" i="4"/>
  <c r="A398" i="4"/>
  <c r="B398" i="4"/>
  <c r="C398" i="4"/>
  <c r="A399" i="4"/>
  <c r="D399" i="4" s="1"/>
  <c r="B399" i="4"/>
  <c r="C399" i="4"/>
  <c r="A400" i="4"/>
  <c r="D400" i="4" s="1"/>
  <c r="B400" i="4"/>
  <c r="C400" i="4"/>
  <c r="A401" i="4"/>
  <c r="D401" i="4" s="1"/>
  <c r="B401" i="4"/>
  <c r="C401" i="4"/>
  <c r="A402" i="4"/>
  <c r="D402" i="4" s="1"/>
  <c r="B402" i="4"/>
  <c r="C402" i="4"/>
  <c r="A403" i="4"/>
  <c r="D403" i="4" s="1"/>
  <c r="B403" i="4"/>
  <c r="C403" i="4"/>
  <c r="A404" i="4"/>
  <c r="B404" i="4"/>
  <c r="C404" i="4"/>
  <c r="A405" i="4"/>
  <c r="D405" i="4" s="1"/>
  <c r="B405" i="4"/>
  <c r="C405" i="4"/>
  <c r="A406" i="4"/>
  <c r="B406" i="4"/>
  <c r="C406" i="4"/>
  <c r="A407" i="4"/>
  <c r="D407" i="4" s="1"/>
  <c r="B407" i="4"/>
  <c r="C407" i="4"/>
  <c r="A408" i="4"/>
  <c r="D408" i="4" s="1"/>
  <c r="B408" i="4"/>
  <c r="C408" i="4"/>
  <c r="A409" i="4"/>
  <c r="D409" i="4" s="1"/>
  <c r="B409" i="4"/>
  <c r="C409" i="4"/>
  <c r="A410" i="4"/>
  <c r="D410" i="4" s="1"/>
  <c r="B410" i="4"/>
  <c r="C410" i="4"/>
  <c r="A411" i="4"/>
  <c r="D411" i="4" s="1"/>
  <c r="B411" i="4"/>
  <c r="C411" i="4"/>
  <c r="A412" i="4"/>
  <c r="D412" i="4" s="1"/>
  <c r="B412" i="4"/>
  <c r="C412" i="4"/>
  <c r="A413" i="4"/>
  <c r="D413" i="4" s="1"/>
  <c r="B413" i="4"/>
  <c r="C413" i="4"/>
  <c r="A414" i="4"/>
  <c r="D414" i="4" s="1"/>
  <c r="B414" i="4"/>
  <c r="C414" i="4"/>
  <c r="A415" i="4"/>
  <c r="D415" i="4" s="1"/>
  <c r="B415" i="4"/>
  <c r="C415" i="4"/>
  <c r="A416" i="4"/>
  <c r="D416" i="4" s="1"/>
  <c r="B416" i="4"/>
  <c r="C416" i="4"/>
  <c r="A417" i="4"/>
  <c r="B417" i="4"/>
  <c r="C417" i="4"/>
  <c r="A418" i="4"/>
  <c r="D418" i="4" s="1"/>
  <c r="B418" i="4"/>
  <c r="C418" i="4"/>
  <c r="A419" i="4"/>
  <c r="D419" i="4" s="1"/>
  <c r="B419" i="4"/>
  <c r="C419" i="4"/>
  <c r="A420" i="4"/>
  <c r="B420" i="4"/>
  <c r="C420" i="4"/>
  <c r="A421" i="4"/>
  <c r="D421" i="4" s="1"/>
  <c r="B421" i="4"/>
  <c r="C421" i="4"/>
  <c r="A422" i="4"/>
  <c r="B422" i="4"/>
  <c r="C422" i="4"/>
  <c r="A423" i="4"/>
  <c r="B423" i="4"/>
  <c r="C423" i="4"/>
  <c r="A424" i="4"/>
  <c r="D424" i="4" s="1"/>
  <c r="B424" i="4"/>
  <c r="C424" i="4"/>
  <c r="A425" i="4"/>
  <c r="D425" i="4" s="1"/>
  <c r="B425" i="4"/>
  <c r="C425" i="4"/>
  <c r="A426" i="4"/>
  <c r="D426" i="4" s="1"/>
  <c r="B426" i="4"/>
  <c r="C426" i="4"/>
  <c r="A427" i="4"/>
  <c r="D427" i="4" s="1"/>
  <c r="B427" i="4"/>
  <c r="C427" i="4"/>
  <c r="A428" i="4"/>
  <c r="D428" i="4" s="1"/>
  <c r="B428" i="4"/>
  <c r="C428" i="4"/>
  <c r="A429" i="4"/>
  <c r="D429" i="4" s="1"/>
  <c r="B429" i="4"/>
  <c r="C429" i="4"/>
  <c r="A430" i="4"/>
  <c r="B430" i="4"/>
  <c r="C430" i="4"/>
  <c r="A431" i="4"/>
  <c r="D431" i="4" s="1"/>
  <c r="B431" i="4"/>
  <c r="C431" i="4"/>
  <c r="A432" i="4"/>
  <c r="D432" i="4" s="1"/>
  <c r="B432" i="4"/>
  <c r="C432" i="4"/>
  <c r="A433" i="4"/>
  <c r="D433" i="4" s="1"/>
  <c r="B433" i="4"/>
  <c r="C433" i="4"/>
  <c r="A434" i="4"/>
  <c r="D434" i="4" s="1"/>
  <c r="B434" i="4"/>
  <c r="C434" i="4"/>
  <c r="A435" i="4"/>
  <c r="B435" i="4"/>
  <c r="C435" i="4"/>
  <c r="A436" i="4"/>
  <c r="D436" i="4" s="1"/>
  <c r="B436" i="4"/>
  <c r="C436" i="4"/>
  <c r="A437" i="4"/>
  <c r="D437" i="4" s="1"/>
  <c r="B437" i="4"/>
  <c r="C437" i="4"/>
  <c r="A438" i="4"/>
  <c r="B438" i="4"/>
  <c r="C438" i="4"/>
  <c r="A439" i="4"/>
  <c r="D439" i="4" s="1"/>
  <c r="B439" i="4"/>
  <c r="C439" i="4"/>
  <c r="A440" i="4"/>
  <c r="D440" i="4" s="1"/>
  <c r="B440" i="4"/>
  <c r="C440" i="4"/>
  <c r="A441" i="4"/>
  <c r="B441" i="4"/>
  <c r="C441" i="4"/>
  <c r="A442" i="4"/>
  <c r="D442" i="4" s="1"/>
  <c r="B442" i="4"/>
  <c r="C442" i="4"/>
  <c r="A443" i="4"/>
  <c r="D443" i="4" s="1"/>
  <c r="B443" i="4"/>
  <c r="C443" i="4"/>
  <c r="A444" i="4"/>
  <c r="D444" i="4" s="1"/>
  <c r="B444" i="4"/>
  <c r="C444" i="4"/>
  <c r="A445" i="4"/>
  <c r="D445" i="4" s="1"/>
  <c r="B445" i="4"/>
  <c r="C445" i="4"/>
  <c r="A446" i="4"/>
  <c r="B446" i="4"/>
  <c r="C446" i="4"/>
  <c r="A447" i="4"/>
  <c r="D447" i="4" s="1"/>
  <c r="B447" i="4"/>
  <c r="C447" i="4"/>
  <c r="A448" i="4"/>
  <c r="D448" i="4" s="1"/>
  <c r="B448" i="4"/>
  <c r="C448" i="4"/>
  <c r="A449" i="4"/>
  <c r="D449" i="4" s="1"/>
  <c r="B449" i="4"/>
  <c r="C449" i="4"/>
  <c r="A450" i="4"/>
  <c r="D450" i="4" s="1"/>
  <c r="B450" i="4"/>
  <c r="C450" i="4"/>
  <c r="A451" i="4"/>
  <c r="D451" i="4" s="1"/>
  <c r="B451" i="4"/>
  <c r="C451" i="4"/>
  <c r="A452" i="4"/>
  <c r="D452" i="4" s="1"/>
  <c r="B452" i="4"/>
  <c r="C452" i="4"/>
  <c r="A453" i="4"/>
  <c r="D453" i="4" s="1"/>
  <c r="B453" i="4"/>
  <c r="C453" i="4"/>
  <c r="A454" i="4"/>
  <c r="B454" i="4"/>
  <c r="C454" i="4"/>
  <c r="A455" i="4"/>
  <c r="D455" i="4" s="1"/>
  <c r="B455" i="4"/>
  <c r="C455" i="4"/>
  <c r="A456" i="4"/>
  <c r="D456" i="4" s="1"/>
  <c r="B456" i="4"/>
  <c r="C456" i="4"/>
  <c r="A457" i="4"/>
  <c r="D457" i="4" s="1"/>
  <c r="B457" i="4"/>
  <c r="C457" i="4"/>
  <c r="A458" i="4"/>
  <c r="D458" i="4" s="1"/>
  <c r="B458" i="4"/>
  <c r="C458" i="4"/>
  <c r="A459" i="4"/>
  <c r="D459" i="4" s="1"/>
  <c r="B459" i="4"/>
  <c r="C459" i="4"/>
  <c r="A460" i="4"/>
  <c r="D460" i="4" s="1"/>
  <c r="B460" i="4"/>
  <c r="C460" i="4"/>
  <c r="A461" i="4"/>
  <c r="B461" i="4"/>
  <c r="C461" i="4"/>
  <c r="A462" i="4"/>
  <c r="B462" i="4"/>
  <c r="C462" i="4"/>
  <c r="A463" i="4"/>
  <c r="D463" i="4" s="1"/>
  <c r="B463" i="4"/>
  <c r="C463" i="4"/>
  <c r="A464" i="4"/>
  <c r="B464" i="4"/>
  <c r="C464" i="4"/>
  <c r="A465" i="4"/>
  <c r="B465" i="4"/>
  <c r="C465" i="4"/>
  <c r="A466" i="4"/>
  <c r="B466" i="4"/>
  <c r="C466" i="4"/>
  <c r="A467" i="4"/>
  <c r="D467" i="4" s="1"/>
  <c r="B467" i="4"/>
  <c r="C467" i="4"/>
  <c r="A468" i="4"/>
  <c r="D468" i="4" s="1"/>
  <c r="B468" i="4"/>
  <c r="C468" i="4"/>
  <c r="A469" i="4"/>
  <c r="D469" i="4" s="1"/>
  <c r="B469" i="4"/>
  <c r="C469" i="4"/>
  <c r="A470" i="4"/>
  <c r="D470" i="4" s="1"/>
  <c r="B470" i="4"/>
  <c r="C470" i="4"/>
  <c r="A471" i="4"/>
  <c r="D471" i="4" s="1"/>
  <c r="B471" i="4"/>
  <c r="C471" i="4"/>
  <c r="A472" i="4"/>
  <c r="D472" i="4" s="1"/>
  <c r="B472" i="4"/>
  <c r="C472" i="4"/>
  <c r="A473" i="4"/>
  <c r="B473" i="4"/>
  <c r="C473" i="4"/>
  <c r="A474" i="4"/>
  <c r="D474" i="4" s="1"/>
  <c r="B474" i="4"/>
  <c r="C474" i="4"/>
  <c r="A475" i="4"/>
  <c r="D475" i="4" s="1"/>
  <c r="B475" i="4"/>
  <c r="C475" i="4"/>
  <c r="A476" i="4"/>
  <c r="D476" i="4" s="1"/>
  <c r="B476" i="4"/>
  <c r="C476" i="4"/>
  <c r="A477" i="4"/>
  <c r="D477" i="4" s="1"/>
  <c r="B477" i="4"/>
  <c r="C477" i="4"/>
  <c r="A478" i="4"/>
  <c r="D478" i="4" s="1"/>
  <c r="B478" i="4"/>
  <c r="C478" i="4"/>
  <c r="A479" i="4"/>
  <c r="D479" i="4" s="1"/>
  <c r="B479" i="4"/>
  <c r="C479" i="4"/>
  <c r="A480" i="4"/>
  <c r="D480" i="4" s="1"/>
  <c r="B480" i="4"/>
  <c r="C480" i="4"/>
  <c r="A481" i="4"/>
  <c r="D481" i="4" s="1"/>
  <c r="B481" i="4"/>
  <c r="C481" i="4"/>
  <c r="A482" i="4"/>
  <c r="D482" i="4" s="1"/>
  <c r="B482" i="4"/>
  <c r="C482" i="4"/>
  <c r="A483" i="4"/>
  <c r="D483" i="4" s="1"/>
  <c r="B483" i="4"/>
  <c r="C483" i="4"/>
  <c r="A484" i="4"/>
  <c r="B484" i="4"/>
  <c r="C484" i="4"/>
  <c r="A485" i="4"/>
  <c r="B485" i="4"/>
  <c r="C485" i="4"/>
  <c r="A486" i="4"/>
  <c r="D486" i="4" s="1"/>
  <c r="B486" i="4"/>
  <c r="C486" i="4"/>
  <c r="A487" i="4"/>
  <c r="D487" i="4" s="1"/>
  <c r="B487" i="4"/>
  <c r="C487" i="4"/>
  <c r="A488" i="4"/>
  <c r="D488" i="4" s="1"/>
  <c r="B488" i="4"/>
  <c r="C488" i="4"/>
  <c r="A489" i="4"/>
  <c r="B489" i="4"/>
  <c r="C489" i="4"/>
  <c r="A490" i="4"/>
  <c r="B490" i="4"/>
  <c r="C490" i="4"/>
  <c r="A491" i="4"/>
  <c r="B491" i="4"/>
  <c r="C491" i="4"/>
  <c r="A492" i="4"/>
  <c r="B492" i="4"/>
  <c r="C492" i="4"/>
  <c r="A493" i="4"/>
  <c r="D493" i="4" s="1"/>
  <c r="B493" i="4"/>
  <c r="C493" i="4"/>
  <c r="A494" i="4"/>
  <c r="D494" i="4" s="1"/>
  <c r="B494" i="4"/>
  <c r="C494" i="4"/>
  <c r="A495" i="4"/>
  <c r="D495" i="4" s="1"/>
  <c r="B495" i="4"/>
  <c r="C495" i="4"/>
  <c r="A496" i="4"/>
  <c r="D496" i="4" s="1"/>
  <c r="B496" i="4"/>
  <c r="C496" i="4"/>
  <c r="A497" i="4"/>
  <c r="B497" i="4"/>
  <c r="C497" i="4"/>
  <c r="A498" i="4"/>
  <c r="B498" i="4"/>
  <c r="C498" i="4"/>
  <c r="A499" i="4"/>
  <c r="B499" i="4"/>
  <c r="C499" i="4"/>
  <c r="A500" i="4"/>
  <c r="B500" i="4"/>
  <c r="C500" i="4"/>
  <c r="A501" i="4"/>
  <c r="D501" i="4" s="1"/>
  <c r="B501" i="4"/>
  <c r="C501" i="4"/>
  <c r="A502" i="4"/>
  <c r="D502" i="4" s="1"/>
  <c r="B502" i="4"/>
  <c r="C502" i="4"/>
  <c r="A503" i="4"/>
  <c r="D503" i="4" s="1"/>
  <c r="B503" i="4"/>
  <c r="C503" i="4"/>
  <c r="A504" i="4"/>
  <c r="D504" i="4" s="1"/>
  <c r="B504" i="4"/>
  <c r="C504" i="4"/>
  <c r="A505" i="4"/>
  <c r="D505" i="4" s="1"/>
  <c r="B505" i="4"/>
  <c r="C505" i="4"/>
  <c r="A506" i="4"/>
  <c r="B506" i="4"/>
  <c r="C506" i="4"/>
  <c r="A507" i="4"/>
  <c r="B507" i="4"/>
  <c r="C507" i="4"/>
  <c r="A508" i="4"/>
  <c r="B508" i="4"/>
  <c r="C508" i="4"/>
  <c r="A509" i="4"/>
  <c r="B509" i="4"/>
  <c r="C509" i="4"/>
  <c r="A510" i="4"/>
  <c r="B510" i="4"/>
  <c r="C510" i="4"/>
  <c r="A511" i="4"/>
  <c r="B511" i="4"/>
  <c r="C511" i="4"/>
  <c r="A512" i="4"/>
  <c r="B512" i="4"/>
  <c r="C512" i="4"/>
  <c r="A513" i="4"/>
  <c r="D513" i="4" s="1"/>
  <c r="B513" i="4"/>
  <c r="C513" i="4"/>
  <c r="A514" i="4"/>
  <c r="D514" i="4" s="1"/>
  <c r="B514" i="4"/>
  <c r="C514" i="4"/>
  <c r="A515" i="4"/>
  <c r="B515" i="4"/>
  <c r="C515" i="4"/>
  <c r="A516" i="4"/>
  <c r="B516" i="4"/>
  <c r="C516" i="4"/>
  <c r="A517" i="4"/>
  <c r="D517" i="4" s="1"/>
  <c r="B517" i="4"/>
  <c r="C517" i="4"/>
  <c r="A518" i="4"/>
  <c r="D518" i="4" s="1"/>
  <c r="B518" i="4"/>
  <c r="C518" i="4"/>
  <c r="A519" i="4"/>
  <c r="D519" i="4" s="1"/>
  <c r="B519" i="4"/>
  <c r="C519" i="4"/>
  <c r="A520" i="4"/>
  <c r="D520" i="4" s="1"/>
  <c r="B520" i="4"/>
  <c r="C520" i="4"/>
  <c r="A521" i="4"/>
  <c r="B521" i="4"/>
  <c r="C521" i="4"/>
  <c r="A522" i="4"/>
  <c r="B522" i="4"/>
  <c r="C522" i="4"/>
  <c r="A523" i="4"/>
  <c r="B523" i="4"/>
  <c r="C523" i="4"/>
  <c r="A524" i="4"/>
  <c r="B524" i="4"/>
  <c r="C524" i="4"/>
  <c r="A525" i="4"/>
  <c r="D525" i="4" s="1"/>
  <c r="B525" i="4"/>
  <c r="C525" i="4"/>
  <c r="A526" i="4"/>
  <c r="D526" i="4" s="1"/>
  <c r="B526" i="4"/>
  <c r="C526" i="4"/>
  <c r="A527" i="4"/>
  <c r="D527" i="4" s="1"/>
  <c r="B527" i="4"/>
  <c r="C527" i="4"/>
  <c r="A528" i="4"/>
  <c r="D528" i="4" s="1"/>
  <c r="B528" i="4"/>
  <c r="C528" i="4"/>
  <c r="A529" i="4"/>
  <c r="D529" i="4" s="1"/>
  <c r="B529" i="4"/>
  <c r="C529" i="4"/>
  <c r="A530" i="4"/>
  <c r="D530" i="4" s="1"/>
  <c r="B530" i="4"/>
  <c r="C530" i="4"/>
  <c r="A531" i="4"/>
  <c r="B531" i="4"/>
  <c r="C531" i="4"/>
  <c r="A532" i="4"/>
  <c r="B532" i="4"/>
  <c r="C532" i="4"/>
  <c r="A533" i="4"/>
  <c r="D533" i="4" s="1"/>
  <c r="B533" i="4"/>
  <c r="C533" i="4"/>
  <c r="A534" i="4"/>
  <c r="D534" i="4" s="1"/>
  <c r="B534" i="4"/>
  <c r="C534" i="4"/>
  <c r="A535" i="4"/>
  <c r="D535" i="4" s="1"/>
  <c r="B535" i="4"/>
  <c r="C535" i="4"/>
  <c r="A536" i="4"/>
  <c r="D536" i="4" s="1"/>
  <c r="B536" i="4"/>
  <c r="C536" i="4"/>
  <c r="A537" i="4"/>
  <c r="D537" i="4" s="1"/>
  <c r="B537" i="4"/>
  <c r="C537" i="4"/>
  <c r="A538" i="4"/>
  <c r="D538" i="4" s="1"/>
  <c r="B538" i="4"/>
  <c r="C538" i="4"/>
  <c r="A539" i="4"/>
  <c r="B539" i="4"/>
  <c r="C539" i="4"/>
  <c r="A540" i="4"/>
  <c r="B540" i="4"/>
  <c r="C540" i="4"/>
  <c r="A541" i="4"/>
  <c r="B541" i="4"/>
  <c r="C541" i="4"/>
  <c r="A542" i="4"/>
  <c r="B542" i="4"/>
  <c r="C542" i="4"/>
  <c r="A543" i="4"/>
  <c r="B543" i="4"/>
  <c r="C543" i="4"/>
  <c r="A544" i="4"/>
  <c r="B544" i="4"/>
  <c r="C544" i="4"/>
  <c r="A545" i="4"/>
  <c r="B545" i="4"/>
  <c r="C545" i="4"/>
  <c r="A546" i="4"/>
  <c r="D546" i="4" s="1"/>
  <c r="B546" i="4"/>
  <c r="C546" i="4"/>
  <c r="A547" i="4"/>
  <c r="B547" i="4"/>
  <c r="C547" i="4"/>
  <c r="A548" i="4"/>
  <c r="B548" i="4"/>
  <c r="C548" i="4"/>
  <c r="A549" i="4"/>
  <c r="D549" i="4" s="1"/>
  <c r="B549" i="4"/>
  <c r="C549" i="4"/>
  <c r="A550" i="4"/>
  <c r="B550" i="4"/>
  <c r="C550" i="4"/>
  <c r="A551" i="4"/>
  <c r="B551" i="4"/>
  <c r="C551" i="4"/>
  <c r="A552" i="4"/>
  <c r="D552" i="4" s="1"/>
  <c r="B552" i="4"/>
  <c r="C552" i="4"/>
  <c r="A553" i="4"/>
  <c r="B553" i="4"/>
  <c r="C553" i="4"/>
  <c r="A554" i="4"/>
  <c r="D554" i="4" s="1"/>
  <c r="B554" i="4"/>
  <c r="C554" i="4"/>
  <c r="A555" i="4"/>
  <c r="B555" i="4"/>
  <c r="C555" i="4"/>
  <c r="A556" i="4"/>
  <c r="B556" i="4"/>
  <c r="C556" i="4"/>
  <c r="A557" i="4"/>
  <c r="D557" i="4" s="1"/>
  <c r="B557" i="4"/>
  <c r="C557" i="4"/>
  <c r="A558" i="4"/>
  <c r="D558" i="4" s="1"/>
  <c r="B558" i="4"/>
  <c r="C558" i="4"/>
  <c r="A559" i="4"/>
  <c r="B559" i="4"/>
  <c r="C559" i="4"/>
  <c r="A560" i="4"/>
  <c r="D560" i="4" s="1"/>
  <c r="B560" i="4"/>
  <c r="C560" i="4"/>
  <c r="A561" i="4"/>
  <c r="B561" i="4"/>
  <c r="C561" i="4"/>
  <c r="A562" i="4"/>
  <c r="D562" i="4" s="1"/>
  <c r="B562" i="4"/>
  <c r="C562" i="4"/>
  <c r="A563" i="4"/>
  <c r="B563" i="4"/>
  <c r="C563" i="4"/>
  <c r="A564" i="4"/>
  <c r="B564" i="4"/>
  <c r="C564" i="4"/>
  <c r="A565" i="4"/>
  <c r="D565" i="4" s="1"/>
  <c r="B565" i="4"/>
  <c r="C565" i="4"/>
  <c r="A566" i="4"/>
  <c r="B566" i="4"/>
  <c r="C566" i="4"/>
  <c r="A567" i="4"/>
  <c r="B567" i="4"/>
  <c r="C567" i="4"/>
  <c r="A568" i="4"/>
  <c r="D568" i="4" s="1"/>
  <c r="B568" i="4"/>
  <c r="C568" i="4"/>
  <c r="A569" i="4"/>
  <c r="B569" i="4"/>
  <c r="C569" i="4"/>
  <c r="A570" i="4"/>
  <c r="D570" i="4" s="1"/>
  <c r="B570" i="4"/>
  <c r="C570" i="4"/>
  <c r="A571" i="4"/>
  <c r="B571" i="4"/>
  <c r="C571" i="4"/>
  <c r="A572" i="4"/>
  <c r="B572" i="4"/>
  <c r="C572" i="4"/>
  <c r="A573" i="4"/>
  <c r="D573" i="4" s="1"/>
  <c r="B573" i="4"/>
  <c r="C573" i="4"/>
  <c r="A574" i="4"/>
  <c r="B574" i="4"/>
  <c r="C574" i="4"/>
  <c r="A575" i="4"/>
  <c r="B575" i="4"/>
  <c r="C575" i="4"/>
  <c r="A576" i="4"/>
  <c r="B576" i="4"/>
  <c r="C576" i="4"/>
  <c r="A577" i="4"/>
  <c r="D577" i="4" s="1"/>
  <c r="B577" i="4"/>
  <c r="C577" i="4"/>
  <c r="A578" i="4"/>
  <c r="D578" i="4" s="1"/>
  <c r="B578" i="4"/>
  <c r="C578" i="4"/>
  <c r="A579" i="4"/>
  <c r="B579" i="4"/>
  <c r="C579" i="4"/>
  <c r="A580" i="4"/>
  <c r="D580" i="4" s="1"/>
  <c r="B580" i="4"/>
  <c r="C580" i="4"/>
  <c r="A581" i="4"/>
  <c r="D581" i="4" s="1"/>
  <c r="B581" i="4"/>
  <c r="C581" i="4"/>
  <c r="A582" i="4"/>
  <c r="D582" i="4" s="1"/>
  <c r="B582" i="4"/>
  <c r="C582" i="4"/>
  <c r="A583" i="4"/>
  <c r="B583" i="4"/>
  <c r="C583" i="4"/>
  <c r="A584" i="4"/>
  <c r="D584" i="4" s="1"/>
  <c r="B584" i="4"/>
  <c r="C584" i="4"/>
  <c r="A585" i="4"/>
  <c r="D585" i="4" s="1"/>
  <c r="B585" i="4"/>
  <c r="C585" i="4"/>
  <c r="A586" i="4"/>
  <c r="B586" i="4"/>
  <c r="C586" i="4"/>
  <c r="A587" i="4"/>
  <c r="B587" i="4"/>
  <c r="C587" i="4"/>
  <c r="A588" i="4"/>
  <c r="B588" i="4"/>
  <c r="C588" i="4"/>
  <c r="A589" i="4"/>
  <c r="B589" i="4"/>
  <c r="C589" i="4"/>
  <c r="A590" i="4"/>
  <c r="B590" i="4"/>
  <c r="C590" i="4"/>
  <c r="A591" i="4"/>
  <c r="B591" i="4"/>
  <c r="C591" i="4"/>
  <c r="A592" i="4"/>
  <c r="B592" i="4"/>
  <c r="C592" i="4"/>
  <c r="A593" i="4"/>
  <c r="B593" i="4"/>
  <c r="C593" i="4"/>
  <c r="A594" i="4"/>
  <c r="D594" i="4" s="1"/>
  <c r="B594" i="4"/>
  <c r="C594" i="4"/>
  <c r="A595" i="4"/>
  <c r="B595" i="4"/>
  <c r="C595" i="4"/>
  <c r="A596" i="4"/>
  <c r="B596" i="4"/>
  <c r="C596" i="4"/>
  <c r="A597" i="4"/>
  <c r="B597" i="4"/>
  <c r="C597" i="4"/>
  <c r="A598" i="4"/>
  <c r="D598" i="4" s="1"/>
  <c r="B598" i="4"/>
  <c r="C598" i="4"/>
  <c r="A599" i="4"/>
  <c r="B599" i="4"/>
  <c r="C599" i="4"/>
  <c r="A600" i="4"/>
  <c r="B600" i="4"/>
  <c r="C600" i="4"/>
  <c r="A601" i="4"/>
  <c r="D601" i="4" s="1"/>
  <c r="B601" i="4"/>
  <c r="C601" i="4"/>
  <c r="A602" i="4"/>
  <c r="D602" i="4" s="1"/>
  <c r="B602" i="4"/>
  <c r="C602" i="4"/>
  <c r="A603" i="4"/>
  <c r="B603" i="4"/>
  <c r="C603" i="4"/>
  <c r="A604" i="4"/>
  <c r="D604" i="4" s="1"/>
  <c r="B604" i="4"/>
  <c r="C604" i="4"/>
  <c r="A605" i="4"/>
  <c r="D605" i="4" s="1"/>
  <c r="B605" i="4"/>
  <c r="C605" i="4"/>
  <c r="A606" i="4"/>
  <c r="B606" i="4"/>
  <c r="C606" i="4"/>
  <c r="A607" i="4"/>
  <c r="B607" i="4"/>
  <c r="C607" i="4"/>
  <c r="A608" i="4"/>
  <c r="B608" i="4"/>
  <c r="C608" i="4"/>
  <c r="A609" i="4"/>
  <c r="D609" i="4" s="1"/>
  <c r="B609" i="4"/>
  <c r="C609" i="4"/>
  <c r="A610" i="4"/>
  <c r="D610" i="4" s="1"/>
  <c r="B610" i="4"/>
  <c r="C610" i="4"/>
  <c r="A611" i="4"/>
  <c r="B611" i="4"/>
  <c r="C611" i="4"/>
  <c r="A612" i="4"/>
  <c r="B612" i="4"/>
  <c r="C612" i="4"/>
  <c r="A613" i="4"/>
  <c r="B613" i="4"/>
  <c r="C613" i="4"/>
  <c r="A614" i="4"/>
  <c r="B614" i="4"/>
  <c r="C614" i="4"/>
  <c r="A615" i="4"/>
  <c r="B615" i="4"/>
  <c r="C615" i="4"/>
  <c r="A616" i="4"/>
  <c r="B616" i="4"/>
  <c r="C616" i="4"/>
  <c r="A617" i="4"/>
  <c r="D617" i="4" s="1"/>
  <c r="B617" i="4"/>
  <c r="C617" i="4"/>
  <c r="A618" i="4"/>
  <c r="D618" i="4" s="1"/>
  <c r="B618" i="4"/>
  <c r="C618" i="4"/>
  <c r="A619" i="4"/>
  <c r="B619" i="4"/>
  <c r="C619" i="4"/>
  <c r="A620" i="4"/>
  <c r="D620" i="4" s="1"/>
  <c r="B620" i="4"/>
  <c r="C620" i="4"/>
  <c r="A621" i="4"/>
  <c r="D621" i="4" s="1"/>
  <c r="B621" i="4"/>
  <c r="C621" i="4"/>
  <c r="A622" i="4"/>
  <c r="B622" i="4"/>
  <c r="C622" i="4"/>
  <c r="A623" i="4"/>
  <c r="B623" i="4"/>
  <c r="C623" i="4"/>
  <c r="A624" i="4"/>
  <c r="B624" i="4"/>
  <c r="C624" i="4"/>
  <c r="A625" i="4"/>
  <c r="D625" i="4" s="1"/>
  <c r="B625" i="4"/>
  <c r="C625" i="4"/>
  <c r="A626" i="4"/>
  <c r="D626" i="4" s="1"/>
  <c r="B626" i="4"/>
  <c r="C626" i="4"/>
  <c r="A627" i="4"/>
  <c r="B627" i="4"/>
  <c r="C627" i="4"/>
  <c r="A628" i="4"/>
  <c r="D628" i="4" s="1"/>
  <c r="B628" i="4"/>
  <c r="C628" i="4"/>
  <c r="A629" i="4"/>
  <c r="B629" i="4"/>
  <c r="C629" i="4"/>
  <c r="A630" i="4"/>
  <c r="D630" i="4" s="1"/>
  <c r="B630" i="4"/>
  <c r="C630" i="4"/>
  <c r="A631" i="4"/>
  <c r="B631" i="4"/>
  <c r="C631" i="4"/>
  <c r="A632" i="4"/>
  <c r="B632" i="4"/>
  <c r="C632" i="4"/>
  <c r="A633" i="4"/>
  <c r="D633" i="4" s="1"/>
  <c r="B633" i="4"/>
  <c r="C633" i="4"/>
  <c r="A634" i="4"/>
  <c r="D634" i="4" s="1"/>
  <c r="B634" i="4"/>
  <c r="C634" i="4"/>
  <c r="A635" i="4"/>
  <c r="B635" i="4"/>
  <c r="C635" i="4"/>
  <c r="A636" i="4"/>
  <c r="B636" i="4"/>
  <c r="C636" i="4"/>
  <c r="A637" i="4"/>
  <c r="D637" i="4" s="1"/>
  <c r="B637" i="4"/>
  <c r="C637" i="4"/>
  <c r="A638" i="4"/>
  <c r="D638" i="4" s="1"/>
  <c r="B638" i="4"/>
  <c r="C638" i="4"/>
  <c r="A639" i="4"/>
  <c r="B639" i="4"/>
  <c r="C639" i="4"/>
  <c r="A640" i="4"/>
  <c r="B640" i="4"/>
  <c r="C640" i="4"/>
  <c r="A641" i="4"/>
  <c r="D641" i="4" s="1"/>
  <c r="B641" i="4"/>
  <c r="C641" i="4"/>
  <c r="A642" i="4"/>
  <c r="D642" i="4" s="1"/>
  <c r="B642" i="4"/>
  <c r="C642" i="4"/>
  <c r="A643" i="4"/>
  <c r="B643" i="4"/>
  <c r="C643" i="4"/>
  <c r="A644" i="4"/>
  <c r="D644" i="4" s="1"/>
  <c r="B644" i="4"/>
  <c r="C644" i="4"/>
  <c r="A645" i="4"/>
  <c r="D645" i="4" s="1"/>
  <c r="B645" i="4"/>
  <c r="C645" i="4"/>
  <c r="A646" i="4"/>
  <c r="D646" i="4" s="1"/>
  <c r="B646" i="4"/>
  <c r="C646" i="4"/>
  <c r="A647" i="4"/>
  <c r="B647" i="4"/>
  <c r="C647" i="4"/>
  <c r="A648" i="4"/>
  <c r="B648" i="4"/>
  <c r="C648" i="4"/>
  <c r="A649" i="4"/>
  <c r="D649" i="4" s="1"/>
  <c r="B649" i="4"/>
  <c r="C649" i="4"/>
  <c r="A650" i="4"/>
  <c r="D650" i="4" s="1"/>
  <c r="B650" i="4"/>
  <c r="C650" i="4"/>
  <c r="A651" i="4"/>
  <c r="B651" i="4"/>
  <c r="C651" i="4"/>
  <c r="A652" i="4"/>
  <c r="D652" i="4" s="1"/>
  <c r="B652" i="4"/>
  <c r="C652" i="4"/>
  <c r="A653" i="4"/>
  <c r="D653" i="4" s="1"/>
  <c r="B653" i="4"/>
  <c r="C653" i="4"/>
  <c r="A654" i="4"/>
  <c r="D654" i="4" s="1"/>
  <c r="B654" i="4"/>
  <c r="C654" i="4"/>
  <c r="A655" i="4"/>
  <c r="B655" i="4"/>
  <c r="C655" i="4"/>
  <c r="A656" i="4"/>
  <c r="B656" i="4"/>
  <c r="C656" i="4"/>
  <c r="A657" i="4"/>
  <c r="D657" i="4" s="1"/>
  <c r="B657" i="4"/>
  <c r="C657" i="4"/>
  <c r="A658" i="4"/>
  <c r="B658" i="4"/>
  <c r="C658" i="4"/>
  <c r="A659" i="4"/>
  <c r="B659" i="4"/>
  <c r="C659" i="4"/>
  <c r="A660" i="4"/>
  <c r="D660" i="4" s="1"/>
  <c r="B660" i="4"/>
  <c r="C660" i="4"/>
  <c r="A661" i="4"/>
  <c r="D661" i="4" s="1"/>
  <c r="B661" i="4"/>
  <c r="C661" i="4"/>
  <c r="A662" i="4"/>
  <c r="D662" i="4" s="1"/>
  <c r="B662" i="4"/>
  <c r="C662" i="4"/>
  <c r="A663" i="4"/>
  <c r="B663" i="4"/>
  <c r="C663" i="4"/>
  <c r="A664" i="4"/>
  <c r="B664" i="4"/>
  <c r="C664" i="4"/>
  <c r="A665" i="4"/>
  <c r="D665" i="4" s="1"/>
  <c r="B665" i="4"/>
  <c r="C665" i="4"/>
  <c r="A666" i="4"/>
  <c r="D666" i="4" s="1"/>
  <c r="B666" i="4"/>
  <c r="C666" i="4"/>
  <c r="A667" i="4"/>
  <c r="B667" i="4"/>
  <c r="C667" i="4"/>
  <c r="A668" i="4"/>
  <c r="D668" i="4" s="1"/>
  <c r="B668" i="4"/>
  <c r="C668" i="4"/>
  <c r="A669" i="4"/>
  <c r="D669" i="4" s="1"/>
  <c r="B669" i="4"/>
  <c r="C669" i="4"/>
  <c r="A670" i="4"/>
  <c r="D670" i="4" s="1"/>
  <c r="B670" i="4"/>
  <c r="C670" i="4"/>
  <c r="A671" i="4"/>
  <c r="B671" i="4"/>
  <c r="C671" i="4"/>
  <c r="A672" i="4"/>
  <c r="D672" i="4" s="1"/>
  <c r="B672" i="4"/>
  <c r="C672" i="4"/>
  <c r="A673" i="4"/>
  <c r="D673" i="4" s="1"/>
  <c r="B673" i="4"/>
  <c r="C673" i="4"/>
  <c r="A674" i="4"/>
  <c r="B674" i="4"/>
  <c r="C674" i="4"/>
  <c r="A675" i="4"/>
  <c r="D675" i="4" s="1"/>
  <c r="B675" i="4"/>
  <c r="C675" i="4"/>
  <c r="A676" i="4"/>
  <c r="D676" i="4" s="1"/>
  <c r="B676" i="4"/>
  <c r="C676" i="4"/>
  <c r="A677" i="4"/>
  <c r="B677" i="4"/>
  <c r="C677" i="4"/>
  <c r="A678" i="4"/>
  <c r="D678" i="4" s="1"/>
  <c r="B678" i="4"/>
  <c r="C678" i="4"/>
  <c r="A679" i="4"/>
  <c r="D679" i="4" s="1"/>
  <c r="B679" i="4"/>
  <c r="C679" i="4"/>
  <c r="A680" i="4"/>
  <c r="D680" i="4" s="1"/>
  <c r="B680" i="4"/>
  <c r="C680" i="4"/>
  <c r="A681" i="4"/>
  <c r="D681" i="4" s="1"/>
  <c r="B681" i="4"/>
  <c r="C681" i="4"/>
  <c r="A682" i="4"/>
  <c r="D682" i="4" s="1"/>
  <c r="B682" i="4"/>
  <c r="C682" i="4"/>
  <c r="A683" i="4"/>
  <c r="D683" i="4" s="1"/>
  <c r="B683" i="4"/>
  <c r="C683" i="4"/>
  <c r="A684" i="4"/>
  <c r="D684" i="4" s="1"/>
  <c r="B684" i="4"/>
  <c r="C684" i="4"/>
  <c r="A685" i="4"/>
  <c r="B685" i="4"/>
  <c r="C685" i="4"/>
  <c r="A686" i="4"/>
  <c r="D686" i="4" s="1"/>
  <c r="B686" i="4"/>
  <c r="C686" i="4"/>
  <c r="A687" i="4"/>
  <c r="B687" i="4"/>
  <c r="C687" i="4"/>
  <c r="A688" i="4"/>
  <c r="B688" i="4"/>
  <c r="C688" i="4"/>
  <c r="A689" i="4"/>
  <c r="D689" i="4" s="1"/>
  <c r="B689" i="4"/>
  <c r="C689" i="4"/>
  <c r="A690" i="4"/>
  <c r="B690" i="4"/>
  <c r="C690" i="4"/>
  <c r="A691" i="4"/>
  <c r="B691" i="4"/>
  <c r="C691" i="4"/>
  <c r="A692" i="4"/>
  <c r="D692" i="4" s="1"/>
  <c r="B692" i="4"/>
  <c r="C692" i="4"/>
  <c r="A693" i="4"/>
  <c r="B693" i="4"/>
  <c r="C693" i="4"/>
  <c r="A694" i="4"/>
  <c r="B694" i="4"/>
  <c r="C694" i="4"/>
  <c r="A695" i="4"/>
  <c r="B695" i="4"/>
  <c r="C695" i="4"/>
  <c r="A696" i="4"/>
  <c r="B696" i="4"/>
  <c r="C696" i="4"/>
  <c r="A697" i="4"/>
  <c r="B697" i="4"/>
  <c r="C697" i="4"/>
  <c r="A698" i="4"/>
  <c r="D698" i="4" s="1"/>
  <c r="B698" i="4"/>
  <c r="C698" i="4"/>
  <c r="A699" i="4"/>
  <c r="B699" i="4"/>
  <c r="C699" i="4"/>
  <c r="A700" i="4"/>
  <c r="D700" i="4" s="1"/>
  <c r="B700" i="4"/>
  <c r="C700" i="4"/>
  <c r="A701" i="4"/>
  <c r="B701" i="4"/>
  <c r="C701" i="4"/>
  <c r="A702" i="4"/>
  <c r="B702" i="4"/>
  <c r="C702" i="4"/>
  <c r="A703" i="4"/>
  <c r="D703" i="4" s="1"/>
  <c r="B703" i="4"/>
  <c r="C703" i="4"/>
  <c r="A704" i="4"/>
  <c r="D704" i="4" s="1"/>
  <c r="B704" i="4"/>
  <c r="C704" i="4"/>
  <c r="A705" i="4"/>
  <c r="D705" i="4" s="1"/>
  <c r="B705" i="4"/>
  <c r="C705" i="4"/>
  <c r="A706" i="4"/>
  <c r="B706" i="4"/>
  <c r="C706" i="4"/>
  <c r="A707" i="4"/>
  <c r="B707" i="4"/>
  <c r="C707" i="4"/>
  <c r="A708" i="4"/>
  <c r="D708" i="4" s="1"/>
  <c r="B708" i="4"/>
  <c r="C708" i="4"/>
  <c r="A709" i="4"/>
  <c r="B709" i="4"/>
  <c r="C709" i="4"/>
  <c r="A710" i="4"/>
  <c r="D710" i="4" s="1"/>
  <c r="B710" i="4"/>
  <c r="C710" i="4"/>
  <c r="A711" i="4"/>
  <c r="B711" i="4"/>
  <c r="C711" i="4"/>
  <c r="A712" i="4"/>
  <c r="B712" i="4"/>
  <c r="C712" i="4"/>
  <c r="A713" i="4"/>
  <c r="D713" i="4" s="1"/>
  <c r="B713" i="4"/>
  <c r="C713" i="4"/>
  <c r="A714" i="4"/>
  <c r="D714" i="4" s="1"/>
  <c r="B714" i="4"/>
  <c r="C714" i="4"/>
  <c r="A715" i="4"/>
  <c r="D715" i="4" s="1"/>
  <c r="B715" i="4"/>
  <c r="C715" i="4"/>
  <c r="A716" i="4"/>
  <c r="D716" i="4" s="1"/>
  <c r="B716" i="4"/>
  <c r="C716" i="4"/>
  <c r="A717" i="4"/>
  <c r="D717" i="4" s="1"/>
  <c r="B717" i="4"/>
  <c r="C717" i="4"/>
  <c r="A718" i="4"/>
  <c r="D718" i="4" s="1"/>
  <c r="B718" i="4"/>
  <c r="C718" i="4"/>
  <c r="A719" i="4"/>
  <c r="D719" i="4" s="1"/>
  <c r="B719" i="4"/>
  <c r="C719" i="4"/>
  <c r="A720" i="4"/>
  <c r="D720" i="4" s="1"/>
  <c r="B720" i="4"/>
  <c r="C720" i="4"/>
  <c r="A721" i="4"/>
  <c r="B721" i="4"/>
  <c r="C721" i="4"/>
  <c r="A722" i="4"/>
  <c r="D722" i="4" s="1"/>
  <c r="B722" i="4"/>
  <c r="C722" i="4"/>
  <c r="A723" i="4"/>
  <c r="D723" i="4" s="1"/>
  <c r="B723" i="4"/>
  <c r="C723" i="4"/>
  <c r="A724" i="4"/>
  <c r="D724" i="4" s="1"/>
  <c r="B724" i="4"/>
  <c r="C724" i="4"/>
  <c r="A725" i="4"/>
  <c r="B725" i="4"/>
  <c r="C725" i="4"/>
  <c r="A726" i="4"/>
  <c r="D726" i="4" s="1"/>
  <c r="B726" i="4"/>
  <c r="C726" i="4"/>
  <c r="A727" i="4"/>
  <c r="B727" i="4"/>
  <c r="C727" i="4"/>
  <c r="A728" i="4"/>
  <c r="B728" i="4"/>
  <c r="C728" i="4"/>
  <c r="A729" i="4"/>
  <c r="D729" i="4" s="1"/>
  <c r="B729" i="4"/>
  <c r="C729" i="4"/>
  <c r="A730" i="4"/>
  <c r="D730" i="4" s="1"/>
  <c r="B730" i="4"/>
  <c r="C730" i="4"/>
  <c r="A731" i="4"/>
  <c r="B731" i="4"/>
  <c r="C731" i="4"/>
  <c r="A732" i="4"/>
  <c r="D732" i="4" s="1"/>
  <c r="B732" i="4"/>
  <c r="C732" i="4"/>
  <c r="A733" i="4"/>
  <c r="B733" i="4"/>
  <c r="C733" i="4"/>
  <c r="A734" i="4"/>
  <c r="B734" i="4"/>
  <c r="C734" i="4"/>
  <c r="A735" i="4"/>
  <c r="D735" i="4" s="1"/>
  <c r="B735" i="4"/>
  <c r="C735" i="4"/>
  <c r="A736" i="4"/>
  <c r="D736" i="4" s="1"/>
  <c r="B736" i="4"/>
  <c r="C736" i="4"/>
  <c r="A737" i="4"/>
  <c r="B737" i="4"/>
  <c r="C737" i="4"/>
  <c r="A738" i="4"/>
  <c r="D738" i="4" s="1"/>
  <c r="B738" i="4"/>
  <c r="C738" i="4"/>
  <c r="A739" i="4"/>
  <c r="D739" i="4" s="1"/>
  <c r="B739" i="4"/>
  <c r="C739" i="4"/>
  <c r="A740" i="4"/>
  <c r="D740" i="4" s="1"/>
  <c r="B740" i="4"/>
  <c r="C740" i="4"/>
  <c r="A741" i="4"/>
  <c r="D741" i="4" s="1"/>
  <c r="B741" i="4"/>
  <c r="C741" i="4"/>
  <c r="A742" i="4"/>
  <c r="D742" i="4" s="1"/>
  <c r="B742" i="4"/>
  <c r="C742" i="4"/>
  <c r="A743" i="4"/>
  <c r="B743" i="4"/>
  <c r="C743" i="4"/>
  <c r="A744" i="4"/>
  <c r="D744" i="4" s="1"/>
  <c r="B744" i="4"/>
  <c r="C744" i="4"/>
  <c r="A745" i="4"/>
  <c r="B745" i="4"/>
  <c r="C745" i="4"/>
  <c r="A746" i="4"/>
  <c r="B746" i="4"/>
  <c r="C746" i="4"/>
  <c r="A747" i="4"/>
  <c r="B747" i="4"/>
  <c r="C747" i="4"/>
  <c r="A748" i="4"/>
  <c r="D748" i="4" s="1"/>
  <c r="B748" i="4"/>
  <c r="C748" i="4"/>
  <c r="A749" i="4"/>
  <c r="D749" i="4" s="1"/>
  <c r="B749" i="4"/>
  <c r="C749" i="4"/>
  <c r="A750" i="4"/>
  <c r="D750" i="4" s="1"/>
  <c r="B750" i="4"/>
  <c r="C750" i="4"/>
  <c r="A751" i="4"/>
  <c r="B751" i="4"/>
  <c r="C751" i="4"/>
  <c r="A752" i="4"/>
  <c r="D752" i="4" s="1"/>
  <c r="B752" i="4"/>
  <c r="C752" i="4"/>
  <c r="A753" i="4"/>
  <c r="B753" i="4"/>
  <c r="C753" i="4"/>
  <c r="A754" i="4"/>
  <c r="D754" i="4" s="1"/>
  <c r="B754" i="4"/>
  <c r="C754" i="4"/>
  <c r="A755" i="4"/>
  <c r="B755" i="4"/>
  <c r="C755" i="4"/>
  <c r="A756" i="4"/>
  <c r="D756" i="4" s="1"/>
  <c r="B756" i="4"/>
  <c r="C756" i="4"/>
  <c r="A757" i="4"/>
  <c r="D757" i="4" s="1"/>
  <c r="B757" i="4"/>
  <c r="C757" i="4"/>
  <c r="A758" i="4"/>
  <c r="D758" i="4" s="1"/>
  <c r="B758" i="4"/>
  <c r="C758" i="4"/>
  <c r="A759" i="4"/>
  <c r="B759" i="4"/>
  <c r="C759" i="4"/>
  <c r="A760" i="4"/>
  <c r="D760" i="4" s="1"/>
  <c r="B760" i="4"/>
  <c r="C760" i="4"/>
  <c r="A761" i="4"/>
  <c r="B761" i="4"/>
  <c r="C761" i="4"/>
  <c r="A762" i="4"/>
  <c r="B762" i="4"/>
  <c r="C762" i="4"/>
  <c r="A763" i="4"/>
  <c r="B763" i="4"/>
  <c r="C763" i="4"/>
  <c r="A764" i="4"/>
  <c r="D764" i="4" s="1"/>
  <c r="B764" i="4"/>
  <c r="C764" i="4"/>
  <c r="A765" i="4"/>
  <c r="B765" i="4"/>
  <c r="C765" i="4"/>
  <c r="A766" i="4"/>
  <c r="D766" i="4" s="1"/>
  <c r="B766" i="4"/>
  <c r="C766" i="4"/>
  <c r="A767" i="4"/>
  <c r="B767" i="4"/>
  <c r="C767" i="4"/>
  <c r="A768" i="4"/>
  <c r="D768" i="4" s="1"/>
  <c r="B768" i="4"/>
  <c r="C768" i="4"/>
  <c r="A769" i="4"/>
  <c r="B769" i="4"/>
  <c r="C769" i="4"/>
  <c r="A770" i="4"/>
  <c r="B770" i="4"/>
  <c r="C770" i="4"/>
  <c r="A771" i="4"/>
  <c r="B771" i="4"/>
  <c r="C771" i="4"/>
  <c r="A772" i="4"/>
  <c r="D772" i="4" s="1"/>
  <c r="B772" i="4"/>
  <c r="C772" i="4"/>
  <c r="A773" i="4"/>
  <c r="D773" i="4" s="1"/>
  <c r="B773" i="4"/>
  <c r="C773" i="4"/>
  <c r="A774" i="4"/>
  <c r="B774" i="4"/>
  <c r="C774" i="4"/>
  <c r="A775" i="4"/>
  <c r="B775" i="4"/>
  <c r="C775" i="4"/>
  <c r="A776" i="4"/>
  <c r="D776" i="4" s="1"/>
  <c r="B776" i="4"/>
  <c r="C776" i="4"/>
  <c r="A777" i="4"/>
  <c r="B777" i="4"/>
  <c r="C777" i="4"/>
  <c r="A778" i="4"/>
  <c r="B778" i="4"/>
  <c r="C778" i="4"/>
  <c r="A779" i="4"/>
  <c r="B779" i="4"/>
  <c r="C779" i="4"/>
  <c r="A780" i="4"/>
  <c r="D780" i="4" s="1"/>
  <c r="B780" i="4"/>
  <c r="C780" i="4"/>
  <c r="A781" i="4"/>
  <c r="D781" i="4" s="1"/>
  <c r="B781" i="4"/>
  <c r="C781" i="4"/>
  <c r="A782" i="4"/>
  <c r="D782" i="4" s="1"/>
  <c r="B782" i="4"/>
  <c r="C782" i="4"/>
  <c r="A783" i="4"/>
  <c r="B783" i="4"/>
  <c r="C783" i="4"/>
  <c r="A784" i="4"/>
  <c r="D784" i="4" s="1"/>
  <c r="B784" i="4"/>
  <c r="C784" i="4"/>
  <c r="A785" i="4"/>
  <c r="D785" i="4" s="1"/>
  <c r="B785" i="4"/>
  <c r="C785" i="4"/>
  <c r="A786" i="4"/>
  <c r="B786" i="4"/>
  <c r="C786" i="4"/>
  <c r="A787" i="4"/>
  <c r="B787" i="4"/>
  <c r="C787" i="4"/>
  <c r="A788" i="4"/>
  <c r="D788" i="4" s="1"/>
  <c r="B788" i="4"/>
  <c r="C788" i="4"/>
  <c r="A789" i="4"/>
  <c r="D789" i="4" s="1"/>
  <c r="B789" i="4"/>
  <c r="C789" i="4"/>
  <c r="A790" i="4"/>
  <c r="B790" i="4"/>
  <c r="C790" i="4"/>
  <c r="A791" i="4"/>
  <c r="D791" i="4" s="1"/>
  <c r="B791" i="4"/>
  <c r="C791" i="4"/>
  <c r="A792" i="4"/>
  <c r="D792" i="4" s="1"/>
  <c r="B792" i="4"/>
  <c r="C792" i="4"/>
  <c r="A793" i="4"/>
  <c r="B793" i="4"/>
  <c r="C793" i="4"/>
  <c r="A794" i="4"/>
  <c r="D794" i="4" s="1"/>
  <c r="B794" i="4"/>
  <c r="C794" i="4"/>
  <c r="A795" i="4"/>
  <c r="D795" i="4" s="1"/>
  <c r="B795" i="4"/>
  <c r="C795" i="4"/>
  <c r="A796" i="4"/>
  <c r="D796" i="4" s="1"/>
  <c r="B796" i="4"/>
  <c r="C796" i="4"/>
  <c r="A797" i="4"/>
  <c r="D797" i="4" s="1"/>
  <c r="B797" i="4"/>
  <c r="C797" i="4"/>
  <c r="A798" i="4"/>
  <c r="D798" i="4" s="1"/>
  <c r="B798" i="4"/>
  <c r="C798" i="4"/>
  <c r="A799" i="4"/>
  <c r="B799" i="4"/>
  <c r="C799" i="4"/>
  <c r="A800" i="4"/>
  <c r="D800" i="4" s="1"/>
  <c r="B800" i="4"/>
  <c r="C800" i="4"/>
  <c r="A801" i="4"/>
  <c r="D801" i="4" s="1"/>
  <c r="B801" i="4"/>
  <c r="C801" i="4"/>
  <c r="A802" i="4"/>
  <c r="D802" i="4" s="1"/>
  <c r="B802" i="4"/>
  <c r="C802" i="4"/>
  <c r="A803" i="4"/>
  <c r="B803" i="4"/>
  <c r="C803" i="4"/>
  <c r="A804" i="4"/>
  <c r="D804" i="4" s="1"/>
  <c r="B804" i="4"/>
  <c r="C804" i="4"/>
  <c r="A805" i="4"/>
  <c r="B805" i="4"/>
  <c r="C805" i="4"/>
  <c r="A806" i="4"/>
  <c r="B806" i="4"/>
  <c r="C806" i="4"/>
  <c r="A807" i="4"/>
  <c r="D807" i="4" s="1"/>
  <c r="B807" i="4"/>
  <c r="C807" i="4"/>
  <c r="A808" i="4"/>
  <c r="B808" i="4"/>
  <c r="C808" i="4"/>
  <c r="A809" i="4"/>
  <c r="B809" i="4"/>
  <c r="C809" i="4"/>
  <c r="A810" i="4"/>
  <c r="D810" i="4" s="1"/>
  <c r="B810" i="4"/>
  <c r="C810" i="4"/>
  <c r="A811" i="4"/>
  <c r="B811" i="4"/>
  <c r="C811" i="4"/>
  <c r="A812" i="4"/>
  <c r="D812" i="4" s="1"/>
  <c r="B812" i="4"/>
  <c r="C812" i="4"/>
  <c r="A813" i="4"/>
  <c r="D813" i="4" s="1"/>
  <c r="B813" i="4"/>
  <c r="C813" i="4"/>
  <c r="A814" i="4"/>
  <c r="B814" i="4"/>
  <c r="C814" i="4"/>
  <c r="A815" i="4"/>
  <c r="B815" i="4"/>
  <c r="C815" i="4"/>
  <c r="A816" i="4"/>
  <c r="D816" i="4" s="1"/>
  <c r="B816" i="4"/>
  <c r="C816" i="4"/>
  <c r="A817" i="4"/>
  <c r="D817" i="4" s="1"/>
  <c r="B817" i="4"/>
  <c r="C817" i="4"/>
  <c r="A818" i="4"/>
  <c r="D818" i="4" s="1"/>
  <c r="B818" i="4"/>
  <c r="C818" i="4"/>
  <c r="A819" i="4"/>
  <c r="D819" i="4" s="1"/>
  <c r="B819" i="4"/>
  <c r="C819" i="4"/>
  <c r="A820" i="4"/>
  <c r="D820" i="4" s="1"/>
  <c r="B820" i="4"/>
  <c r="C820" i="4"/>
  <c r="A821" i="4"/>
  <c r="D821" i="4" s="1"/>
  <c r="B821" i="4"/>
  <c r="C821" i="4"/>
  <c r="A822" i="4"/>
  <c r="B822" i="4"/>
  <c r="C822" i="4"/>
  <c r="A823" i="4"/>
  <c r="D823" i="4" s="1"/>
  <c r="B823" i="4"/>
  <c r="C823" i="4"/>
  <c r="A824" i="4"/>
  <c r="D824" i="4" s="1"/>
  <c r="B824" i="4"/>
  <c r="C824" i="4"/>
  <c r="A825" i="4"/>
  <c r="D825" i="4" s="1"/>
  <c r="B825" i="4"/>
  <c r="C825" i="4"/>
  <c r="A826" i="4"/>
  <c r="D826" i="4" s="1"/>
  <c r="B826" i="4"/>
  <c r="C826" i="4"/>
  <c r="A827" i="4"/>
  <c r="B827" i="4"/>
  <c r="C827" i="4"/>
  <c r="A828" i="4"/>
  <c r="D828" i="4" s="1"/>
  <c r="B828" i="4"/>
  <c r="C828" i="4"/>
  <c r="A829" i="4"/>
  <c r="D829" i="4" s="1"/>
  <c r="B829" i="4"/>
  <c r="C829" i="4"/>
  <c r="A830" i="4"/>
  <c r="B830" i="4"/>
  <c r="C830" i="4"/>
  <c r="A831" i="4"/>
  <c r="D831" i="4" s="1"/>
  <c r="B831" i="4"/>
  <c r="C831" i="4"/>
  <c r="A832" i="4"/>
  <c r="D832" i="4" s="1"/>
  <c r="B832" i="4"/>
  <c r="C832" i="4"/>
  <c r="A833" i="4"/>
  <c r="D833" i="4" s="1"/>
  <c r="B833" i="4"/>
  <c r="C833" i="4"/>
  <c r="A834" i="4"/>
  <c r="D834" i="4" s="1"/>
  <c r="B834" i="4"/>
  <c r="C834" i="4"/>
  <c r="A835" i="4"/>
  <c r="D835" i="4" s="1"/>
  <c r="B835" i="4"/>
  <c r="C835" i="4"/>
  <c r="A836" i="4"/>
  <c r="D836" i="4" s="1"/>
  <c r="B836" i="4"/>
  <c r="C836" i="4"/>
  <c r="A837" i="4"/>
  <c r="D837" i="4" s="1"/>
  <c r="B837" i="4"/>
  <c r="C837" i="4"/>
  <c r="A838" i="4"/>
  <c r="D838" i="4" s="1"/>
  <c r="B838" i="4"/>
  <c r="C838" i="4"/>
  <c r="A839" i="4"/>
  <c r="D839" i="4" s="1"/>
  <c r="B839" i="4"/>
  <c r="C839" i="4"/>
  <c r="A840" i="4"/>
  <c r="D840" i="4" s="1"/>
  <c r="B840" i="4"/>
  <c r="C840" i="4"/>
  <c r="A841" i="4"/>
  <c r="D841" i="4" s="1"/>
  <c r="B841" i="4"/>
  <c r="C841" i="4"/>
  <c r="A842" i="4"/>
  <c r="D842" i="4" s="1"/>
  <c r="B842" i="4"/>
  <c r="C842" i="4"/>
  <c r="A843" i="4"/>
  <c r="D843" i="4" s="1"/>
  <c r="B843" i="4"/>
  <c r="C843" i="4"/>
  <c r="A844" i="4"/>
  <c r="D844" i="4" s="1"/>
  <c r="B844" i="4"/>
  <c r="C844" i="4"/>
  <c r="A845" i="4"/>
  <c r="D845" i="4" s="1"/>
  <c r="B845" i="4"/>
  <c r="C845" i="4"/>
  <c r="A846" i="4"/>
  <c r="D846" i="4" s="1"/>
  <c r="B846" i="4"/>
  <c r="C846" i="4"/>
  <c r="A847" i="4"/>
  <c r="D847" i="4" s="1"/>
  <c r="B847" i="4"/>
  <c r="C847" i="4"/>
  <c r="A848" i="4"/>
  <c r="D848" i="4" s="1"/>
  <c r="B848" i="4"/>
  <c r="C848" i="4"/>
  <c r="A849" i="4"/>
  <c r="D849" i="4" s="1"/>
  <c r="B849" i="4"/>
  <c r="C849" i="4"/>
  <c r="A850" i="4"/>
  <c r="D850" i="4" s="1"/>
  <c r="B850" i="4"/>
  <c r="C850" i="4"/>
  <c r="A851" i="4"/>
  <c r="B851" i="4"/>
  <c r="C851" i="4"/>
  <c r="A852" i="4"/>
  <c r="D852" i="4" s="1"/>
  <c r="B852" i="4"/>
  <c r="C852" i="4"/>
  <c r="A853" i="4"/>
  <c r="D853" i="4" s="1"/>
  <c r="B853" i="4"/>
  <c r="C853" i="4"/>
  <c r="A854" i="4"/>
  <c r="D854" i="4" s="1"/>
  <c r="B854" i="4"/>
  <c r="C854" i="4"/>
  <c r="A855" i="4"/>
  <c r="B855" i="4"/>
  <c r="C855" i="4"/>
  <c r="A856" i="4"/>
  <c r="D856" i="4" s="1"/>
  <c r="B856" i="4"/>
  <c r="C856" i="4"/>
  <c r="A857" i="4"/>
  <c r="D857" i="4" s="1"/>
  <c r="B857" i="4"/>
  <c r="C857" i="4"/>
  <c r="A858" i="4"/>
  <c r="D858" i="4" s="1"/>
  <c r="B858" i="4"/>
  <c r="C858" i="4"/>
  <c r="A859" i="4"/>
  <c r="B859" i="4"/>
  <c r="C859" i="4"/>
  <c r="A860" i="4"/>
  <c r="D860" i="4" s="1"/>
  <c r="B860" i="4"/>
  <c r="C860" i="4"/>
  <c r="A861" i="4"/>
  <c r="D861" i="4" s="1"/>
  <c r="B861" i="4"/>
  <c r="C861" i="4"/>
  <c r="A862" i="4"/>
  <c r="D862" i="4" s="1"/>
  <c r="B862" i="4"/>
  <c r="C862" i="4"/>
  <c r="A863" i="4"/>
  <c r="B863" i="4"/>
  <c r="C863" i="4"/>
  <c r="A864" i="4"/>
  <c r="D864" i="4" s="1"/>
  <c r="B864" i="4"/>
  <c r="C864" i="4"/>
  <c r="A865" i="4"/>
  <c r="D865" i="4" s="1"/>
  <c r="B865" i="4"/>
  <c r="C865" i="4"/>
  <c r="A866" i="4"/>
  <c r="D866" i="4" s="1"/>
  <c r="B866" i="4"/>
  <c r="C866" i="4"/>
  <c r="A867" i="4"/>
  <c r="B867" i="4"/>
  <c r="C867" i="4"/>
  <c r="A868" i="4"/>
  <c r="D868" i="4" s="1"/>
  <c r="B868" i="4"/>
  <c r="C868" i="4"/>
  <c r="A869" i="4"/>
  <c r="D869" i="4" s="1"/>
  <c r="B869" i="4"/>
  <c r="C869" i="4"/>
  <c r="A870" i="4"/>
  <c r="D870" i="4" s="1"/>
  <c r="B870" i="4"/>
  <c r="C870" i="4"/>
  <c r="A871" i="4"/>
  <c r="B871" i="4"/>
  <c r="C871" i="4"/>
  <c r="A872" i="4"/>
  <c r="D872" i="4" s="1"/>
  <c r="B872" i="4"/>
  <c r="C872" i="4"/>
  <c r="A873" i="4"/>
  <c r="D873" i="4" s="1"/>
  <c r="B873" i="4"/>
  <c r="C873" i="4"/>
  <c r="A874" i="4"/>
  <c r="D874" i="4" s="1"/>
  <c r="B874" i="4"/>
  <c r="C874" i="4"/>
  <c r="A875" i="4"/>
  <c r="B875" i="4"/>
  <c r="C875" i="4"/>
  <c r="A876" i="4"/>
  <c r="D876" i="4" s="1"/>
  <c r="B876" i="4"/>
  <c r="C876" i="4"/>
  <c r="A877" i="4"/>
  <c r="D877" i="4" s="1"/>
  <c r="B877" i="4"/>
  <c r="C877" i="4"/>
  <c r="A878" i="4"/>
  <c r="D878" i="4" s="1"/>
  <c r="B878" i="4"/>
  <c r="C878" i="4"/>
  <c r="A879" i="4"/>
  <c r="B879" i="4"/>
  <c r="C879" i="4"/>
  <c r="A880" i="4"/>
  <c r="D880" i="4" s="1"/>
  <c r="B880" i="4"/>
  <c r="C880" i="4"/>
  <c r="A881" i="4"/>
  <c r="D881" i="4" s="1"/>
  <c r="B881" i="4"/>
  <c r="C881" i="4"/>
  <c r="A882" i="4"/>
  <c r="D882" i="4" s="1"/>
  <c r="B882" i="4"/>
  <c r="C882" i="4"/>
  <c r="A883" i="4"/>
  <c r="B883" i="4"/>
  <c r="C883" i="4"/>
  <c r="A884" i="4"/>
  <c r="D884" i="4" s="1"/>
  <c r="B884" i="4"/>
  <c r="C884" i="4"/>
  <c r="A885" i="4"/>
  <c r="D885" i="4" s="1"/>
  <c r="B885" i="4"/>
  <c r="C885" i="4"/>
  <c r="A886" i="4"/>
  <c r="D886" i="4" s="1"/>
  <c r="B886" i="4"/>
  <c r="C886" i="4"/>
  <c r="A887" i="4"/>
  <c r="B887" i="4"/>
  <c r="C887" i="4"/>
  <c r="A888" i="4"/>
  <c r="D888" i="4" s="1"/>
  <c r="B888" i="4"/>
  <c r="C888" i="4"/>
  <c r="A889" i="4"/>
  <c r="D889" i="4" s="1"/>
  <c r="B889" i="4"/>
  <c r="C889" i="4"/>
  <c r="A890" i="4"/>
  <c r="D890" i="4" s="1"/>
  <c r="B890" i="4"/>
  <c r="C890" i="4"/>
  <c r="A891" i="4"/>
  <c r="B891" i="4"/>
  <c r="C891" i="4"/>
  <c r="A892" i="4"/>
  <c r="D892" i="4" s="1"/>
  <c r="B892" i="4"/>
  <c r="C892" i="4"/>
  <c r="A893" i="4"/>
  <c r="D893" i="4" s="1"/>
  <c r="B893" i="4"/>
  <c r="C893" i="4"/>
  <c r="A894" i="4"/>
  <c r="D894" i="4" s="1"/>
  <c r="B894" i="4"/>
  <c r="C894" i="4"/>
  <c r="A895" i="4"/>
  <c r="D895" i="4" s="1"/>
  <c r="B895" i="4"/>
  <c r="C895" i="4"/>
  <c r="A896" i="4"/>
  <c r="D896" i="4" s="1"/>
  <c r="B896" i="4"/>
  <c r="C896" i="4"/>
  <c r="A897" i="4"/>
  <c r="D897" i="4" s="1"/>
  <c r="B897" i="4"/>
  <c r="C897" i="4"/>
  <c r="A898" i="4"/>
  <c r="D898" i="4" s="1"/>
  <c r="B898" i="4"/>
  <c r="C898" i="4"/>
  <c r="A899" i="4"/>
  <c r="D899" i="4" s="1"/>
  <c r="B899" i="4"/>
  <c r="C899" i="4"/>
  <c r="A900" i="4"/>
  <c r="D900" i="4" s="1"/>
  <c r="B900" i="4"/>
  <c r="C900" i="4"/>
  <c r="A901" i="4"/>
  <c r="D901" i="4" s="1"/>
  <c r="B901" i="4"/>
  <c r="C901" i="4"/>
  <c r="A902" i="4"/>
  <c r="D902" i="4" s="1"/>
  <c r="B902" i="4"/>
  <c r="C902" i="4"/>
  <c r="A903" i="4"/>
  <c r="D903" i="4" s="1"/>
  <c r="B903" i="4"/>
  <c r="C903" i="4"/>
  <c r="A904" i="4"/>
  <c r="D904" i="4" s="1"/>
  <c r="B904" i="4"/>
  <c r="C904" i="4"/>
  <c r="A905" i="4"/>
  <c r="D905" i="4" s="1"/>
  <c r="B905" i="4"/>
  <c r="C905" i="4"/>
  <c r="A906" i="4"/>
  <c r="D906" i="4" s="1"/>
  <c r="B906" i="4"/>
  <c r="C906" i="4"/>
  <c r="A907" i="4"/>
  <c r="D907" i="4" s="1"/>
  <c r="B907" i="4"/>
  <c r="C907" i="4"/>
  <c r="A908" i="4"/>
  <c r="D908" i="4" s="1"/>
  <c r="B908" i="4"/>
  <c r="C908" i="4"/>
  <c r="A909" i="4"/>
  <c r="D909" i="4" s="1"/>
  <c r="B909" i="4"/>
  <c r="C909" i="4"/>
  <c r="A910" i="4"/>
  <c r="D910" i="4" s="1"/>
  <c r="B910" i="4"/>
  <c r="C910" i="4"/>
  <c r="A911" i="4"/>
  <c r="D911" i="4" s="1"/>
  <c r="B911" i="4"/>
  <c r="C911" i="4"/>
  <c r="A912" i="4"/>
  <c r="D912" i="4" s="1"/>
  <c r="B912" i="4"/>
  <c r="C912" i="4"/>
  <c r="A913" i="4"/>
  <c r="D913" i="4" s="1"/>
  <c r="B913" i="4"/>
  <c r="C913" i="4"/>
  <c r="A914" i="4"/>
  <c r="D914" i="4" s="1"/>
  <c r="B914" i="4"/>
  <c r="C914" i="4"/>
  <c r="A915" i="4"/>
  <c r="D915" i="4" s="1"/>
  <c r="B915" i="4"/>
  <c r="C915" i="4"/>
  <c r="A916" i="4"/>
  <c r="D916" i="4" s="1"/>
  <c r="B916" i="4"/>
  <c r="C916" i="4"/>
  <c r="A917" i="4"/>
  <c r="D917" i="4" s="1"/>
  <c r="B917" i="4"/>
  <c r="C917" i="4"/>
  <c r="A918" i="4"/>
  <c r="D918" i="4" s="1"/>
  <c r="B918" i="4"/>
  <c r="C918" i="4"/>
  <c r="A919" i="4"/>
  <c r="D919" i="4" s="1"/>
  <c r="B919" i="4"/>
  <c r="C919" i="4"/>
  <c r="A920" i="4"/>
  <c r="D920" i="4" s="1"/>
  <c r="B920" i="4"/>
  <c r="C920" i="4"/>
  <c r="A921" i="4"/>
  <c r="D921" i="4" s="1"/>
  <c r="B921" i="4"/>
  <c r="C921" i="4"/>
  <c r="A922" i="4"/>
  <c r="D922" i="4" s="1"/>
  <c r="B922" i="4"/>
  <c r="C922" i="4"/>
  <c r="A923" i="4"/>
  <c r="D923" i="4" s="1"/>
  <c r="B923" i="4"/>
  <c r="C923" i="4"/>
  <c r="A924" i="4"/>
  <c r="D924" i="4" s="1"/>
  <c r="B924" i="4"/>
  <c r="C924" i="4"/>
  <c r="A925" i="4"/>
  <c r="D925" i="4" s="1"/>
  <c r="B925" i="4"/>
  <c r="C925" i="4"/>
  <c r="A926" i="4"/>
  <c r="D926" i="4" s="1"/>
  <c r="B926" i="4"/>
  <c r="C926" i="4"/>
  <c r="A927" i="4"/>
  <c r="D927" i="4" s="1"/>
  <c r="B927" i="4"/>
  <c r="C927" i="4"/>
  <c r="A928" i="4"/>
  <c r="D928" i="4" s="1"/>
  <c r="B928" i="4"/>
  <c r="C928" i="4"/>
  <c r="A929" i="4"/>
  <c r="D929" i="4" s="1"/>
  <c r="B929" i="4"/>
  <c r="C929" i="4"/>
  <c r="A930" i="4"/>
  <c r="D930" i="4" s="1"/>
  <c r="B930" i="4"/>
  <c r="C930" i="4"/>
  <c r="A931" i="4"/>
  <c r="D931" i="4" s="1"/>
  <c r="B931" i="4"/>
  <c r="C931" i="4"/>
  <c r="A932" i="4"/>
  <c r="D932" i="4" s="1"/>
  <c r="B932" i="4"/>
  <c r="C932" i="4"/>
  <c r="A933" i="4"/>
  <c r="D933" i="4" s="1"/>
  <c r="B933" i="4"/>
  <c r="C933" i="4"/>
  <c r="A934" i="4"/>
  <c r="D934" i="4" s="1"/>
  <c r="B934" i="4"/>
  <c r="C934" i="4"/>
  <c r="A935" i="4"/>
  <c r="D935" i="4" s="1"/>
  <c r="B935" i="4"/>
  <c r="C935" i="4"/>
  <c r="A936" i="4"/>
  <c r="D936" i="4" s="1"/>
  <c r="B936" i="4"/>
  <c r="C936" i="4"/>
  <c r="A937" i="4"/>
  <c r="D937" i="4" s="1"/>
  <c r="B937" i="4"/>
  <c r="C937" i="4"/>
  <c r="A938" i="4"/>
  <c r="D938" i="4" s="1"/>
  <c r="B938" i="4"/>
  <c r="C938" i="4"/>
  <c r="A939" i="4"/>
  <c r="D939" i="4" s="1"/>
  <c r="B939" i="4"/>
  <c r="C939" i="4"/>
  <c r="A940" i="4"/>
  <c r="D940" i="4" s="1"/>
  <c r="B940" i="4"/>
  <c r="C940" i="4"/>
  <c r="A941" i="4"/>
  <c r="D941" i="4" s="1"/>
  <c r="B941" i="4"/>
  <c r="C941" i="4"/>
  <c r="A942" i="4"/>
  <c r="D942" i="4" s="1"/>
  <c r="B942" i="4"/>
  <c r="C942" i="4"/>
  <c r="A943" i="4"/>
  <c r="D943" i="4" s="1"/>
  <c r="B943" i="4"/>
  <c r="C943" i="4"/>
  <c r="A944" i="4"/>
  <c r="D944" i="4" s="1"/>
  <c r="B944" i="4"/>
  <c r="C944" i="4"/>
  <c r="A945" i="4"/>
  <c r="D945" i="4" s="1"/>
  <c r="B945" i="4"/>
  <c r="C945" i="4"/>
  <c r="A946" i="4"/>
  <c r="D946" i="4" s="1"/>
  <c r="B946" i="4"/>
  <c r="C946" i="4"/>
  <c r="A947" i="4"/>
  <c r="D947" i="4" s="1"/>
  <c r="B947" i="4"/>
  <c r="C947" i="4"/>
  <c r="A948" i="4"/>
  <c r="D948" i="4" s="1"/>
  <c r="B948" i="4"/>
  <c r="C948" i="4"/>
  <c r="A949" i="4"/>
  <c r="D949" i="4" s="1"/>
  <c r="B949" i="4"/>
  <c r="C949" i="4"/>
  <c r="A950" i="4"/>
  <c r="D950" i="4" s="1"/>
  <c r="B950" i="4"/>
  <c r="C950" i="4"/>
  <c r="A951" i="4"/>
  <c r="D951" i="4" s="1"/>
  <c r="B951" i="4"/>
  <c r="C951" i="4"/>
  <c r="A952" i="4"/>
  <c r="D952" i="4" s="1"/>
  <c r="B952" i="4"/>
  <c r="C952" i="4"/>
  <c r="A953" i="4"/>
  <c r="D953" i="4" s="1"/>
  <c r="B953" i="4"/>
  <c r="C953" i="4"/>
  <c r="A954" i="4"/>
  <c r="D954" i="4" s="1"/>
  <c r="B954" i="4"/>
  <c r="C954" i="4"/>
  <c r="A955" i="4"/>
  <c r="D955" i="4" s="1"/>
  <c r="B955" i="4"/>
  <c r="C955" i="4"/>
  <c r="A956" i="4"/>
  <c r="D956" i="4" s="1"/>
  <c r="B956" i="4"/>
  <c r="C956" i="4"/>
  <c r="A957" i="4"/>
  <c r="D957" i="4" s="1"/>
  <c r="B957" i="4"/>
  <c r="C957" i="4"/>
  <c r="A958" i="4"/>
  <c r="D958" i="4" s="1"/>
  <c r="B958" i="4"/>
  <c r="C958" i="4"/>
  <c r="A959" i="4"/>
  <c r="D959" i="4" s="1"/>
  <c r="B959" i="4"/>
  <c r="C959" i="4"/>
  <c r="A960" i="4"/>
  <c r="D960" i="4" s="1"/>
  <c r="B960" i="4"/>
  <c r="C960" i="4"/>
  <c r="A961" i="4"/>
  <c r="D961" i="4" s="1"/>
  <c r="B961" i="4"/>
  <c r="C961" i="4"/>
  <c r="A962" i="4"/>
  <c r="D962" i="4" s="1"/>
  <c r="B962" i="4"/>
  <c r="C962" i="4"/>
  <c r="A963" i="4"/>
  <c r="D963" i="4" s="1"/>
  <c r="B963" i="4"/>
  <c r="C963" i="4"/>
  <c r="A964" i="4"/>
  <c r="D964" i="4" s="1"/>
  <c r="B964" i="4"/>
  <c r="C964" i="4"/>
  <c r="A965" i="4"/>
  <c r="D965" i="4" s="1"/>
  <c r="B965" i="4"/>
  <c r="C965" i="4"/>
  <c r="E946" i="4" l="1"/>
  <c r="G946" i="4" s="1"/>
  <c r="F965" i="4"/>
  <c r="E958" i="4"/>
  <c r="G958" i="4" s="1"/>
  <c r="E934" i="4"/>
  <c r="E929" i="4"/>
  <c r="G929" i="4" s="1"/>
  <c r="E921" i="4"/>
  <c r="G921" i="4" s="1"/>
  <c r="F962" i="4"/>
  <c r="F917" i="4"/>
  <c r="F936" i="4"/>
  <c r="E965" i="4"/>
  <c r="G965" i="4" s="1"/>
  <c r="E950" i="4"/>
  <c r="G950" i="4" s="1"/>
  <c r="F941" i="4"/>
  <c r="E925" i="4"/>
  <c r="G925" i="4" s="1"/>
  <c r="E962" i="4"/>
  <c r="G962" i="4" s="1"/>
  <c r="E942" i="4"/>
  <c r="G942" i="4" s="1"/>
  <c r="E917" i="4"/>
  <c r="G917" i="4" s="1"/>
  <c r="E964" i="4"/>
  <c r="G964" i="4" s="1"/>
  <c r="E961" i="4"/>
  <c r="G961" i="4" s="1"/>
  <c r="E960" i="4"/>
  <c r="G960" i="4" s="1"/>
  <c r="E957" i="4"/>
  <c r="G957" i="4" s="1"/>
  <c r="E952" i="4"/>
  <c r="G952" i="4" s="1"/>
  <c r="E949" i="4"/>
  <c r="G949" i="4" s="1"/>
  <c r="E948" i="4"/>
  <c r="G948" i="4" s="1"/>
  <c r="E945" i="4"/>
  <c r="G945" i="4" s="1"/>
  <c r="E944" i="4"/>
  <c r="G944" i="4" s="1"/>
  <c r="E941" i="4"/>
  <c r="G941" i="4" s="1"/>
  <c r="F937" i="4"/>
  <c r="E926" i="4"/>
  <c r="G926" i="4" s="1"/>
  <c r="F940" i="4"/>
  <c r="E938" i="4"/>
  <c r="G938" i="4" s="1"/>
  <c r="F934" i="4"/>
  <c r="E924" i="4"/>
  <c r="G924" i="4" s="1"/>
  <c r="E923" i="4"/>
  <c r="G923" i="4" s="1"/>
  <c r="E920" i="4"/>
  <c r="G920" i="4" s="1"/>
  <c r="E919" i="4"/>
  <c r="G919" i="4" s="1"/>
  <c r="E916" i="4"/>
  <c r="G916" i="4" s="1"/>
  <c r="E915" i="4"/>
  <c r="G915" i="4" s="1"/>
  <c r="E954" i="4"/>
  <c r="G954" i="4" s="1"/>
  <c r="E940" i="4"/>
  <c r="G940" i="4" s="1"/>
  <c r="E936" i="4"/>
  <c r="G936" i="4" s="1"/>
  <c r="F956" i="4"/>
  <c r="E937" i="4"/>
  <c r="G937" i="4" s="1"/>
  <c r="E930" i="4"/>
  <c r="G930" i="4" s="1"/>
  <c r="F964" i="4"/>
  <c r="F957" i="4"/>
  <c r="E928" i="4"/>
  <c r="G928" i="4" s="1"/>
  <c r="F920" i="4"/>
  <c r="F919" i="4"/>
  <c r="E364" i="4"/>
  <c r="G364" i="4" s="1"/>
  <c r="E311" i="4"/>
  <c r="G311" i="4" s="1"/>
  <c r="E956" i="4"/>
  <c r="G956" i="4" s="1"/>
  <c r="F933" i="4"/>
  <c r="E951" i="4"/>
  <c r="G951" i="4" s="1"/>
  <c r="F945" i="4"/>
  <c r="F944" i="4"/>
  <c r="E933" i="4"/>
  <c r="G933" i="4" s="1"/>
  <c r="E932" i="4"/>
  <c r="G932" i="4" s="1"/>
  <c r="F928" i="4"/>
  <c r="E953" i="4"/>
  <c r="G953" i="4" s="1"/>
  <c r="F932" i="4"/>
  <c r="F946" i="4"/>
  <c r="F929" i="4"/>
  <c r="E935" i="4"/>
  <c r="G935" i="4" s="1"/>
  <c r="F927" i="4"/>
  <c r="D277" i="4"/>
  <c r="F277" i="4" s="1"/>
  <c r="E366" i="4"/>
  <c r="G366" i="4" s="1"/>
  <c r="E295" i="4"/>
  <c r="G295" i="4" s="1"/>
  <c r="E215" i="4"/>
  <c r="G215" i="4" s="1"/>
  <c r="F802" i="4"/>
  <c r="E893" i="4"/>
  <c r="G893" i="4" s="1"/>
  <c r="E681" i="4"/>
  <c r="G681" i="4" s="1"/>
  <c r="E273" i="4"/>
  <c r="G273" i="4" s="1"/>
  <c r="E151" i="4"/>
  <c r="G151" i="4" s="1"/>
  <c r="D134" i="4"/>
  <c r="F134" i="4" s="1"/>
  <c r="F652" i="4"/>
  <c r="F644" i="4"/>
  <c r="E609" i="4"/>
  <c r="G609" i="4" s="1"/>
  <c r="D275" i="4"/>
  <c r="F275" i="4" s="1"/>
  <c r="F959" i="4"/>
  <c r="E204" i="4"/>
  <c r="G204" i="4" s="1"/>
  <c r="E199" i="4"/>
  <c r="G199" i="4" s="1"/>
  <c r="E626" i="4"/>
  <c r="G626" i="4" s="1"/>
  <c r="E628" i="4"/>
  <c r="G628" i="4" s="1"/>
  <c r="E720" i="4"/>
  <c r="G720" i="4" s="1"/>
  <c r="E638" i="4"/>
  <c r="G638" i="4" s="1"/>
  <c r="E838" i="4"/>
  <c r="G838" i="4" s="1"/>
  <c r="E730" i="4"/>
  <c r="G730" i="4" s="1"/>
  <c r="E578" i="4"/>
  <c r="G578" i="4" s="1"/>
  <c r="F133" i="4"/>
  <c r="F125" i="4"/>
  <c r="E225" i="4"/>
  <c r="G225" i="4" s="1"/>
  <c r="E136" i="4"/>
  <c r="G136" i="4" s="1"/>
  <c r="F116" i="4"/>
  <c r="F110" i="4"/>
  <c r="F120" i="4"/>
  <c r="F130" i="4"/>
  <c r="F122" i="4"/>
  <c r="F281" i="4"/>
  <c r="E196" i="4"/>
  <c r="G196" i="4" s="1"/>
  <c r="E178" i="4"/>
  <c r="G178" i="4" s="1"/>
  <c r="E130" i="4"/>
  <c r="G130" i="4" s="1"/>
  <c r="E128" i="4"/>
  <c r="G128" i="4" s="1"/>
  <c r="D126" i="4"/>
  <c r="F126" i="4" s="1"/>
  <c r="E385" i="4"/>
  <c r="G385" i="4" s="1"/>
  <c r="F142" i="4"/>
  <c r="F137" i="4"/>
  <c r="E132" i="4"/>
  <c r="G132" i="4" s="1"/>
  <c r="F128" i="4"/>
  <c r="F175" i="4"/>
  <c r="F149" i="4"/>
  <c r="F132" i="4"/>
  <c r="F109" i="4"/>
  <c r="E538" i="4"/>
  <c r="G538" i="4" s="1"/>
  <c r="E297" i="4"/>
  <c r="G297" i="4" s="1"/>
  <c r="E279" i="4"/>
  <c r="G279" i="4" s="1"/>
  <c r="E192" i="4"/>
  <c r="G192" i="4" s="1"/>
  <c r="E158" i="4"/>
  <c r="G158" i="4" s="1"/>
  <c r="E140" i="4"/>
  <c r="G140" i="4" s="1"/>
  <c r="F136" i="4"/>
  <c r="E113" i="4"/>
  <c r="G113" i="4" s="1"/>
  <c r="F266" i="4"/>
  <c r="E122" i="4"/>
  <c r="G122" i="4" s="1"/>
  <c r="E120" i="4"/>
  <c r="G120" i="4" s="1"/>
  <c r="E274" i="4"/>
  <c r="G274" i="4" s="1"/>
  <c r="E219" i="4"/>
  <c r="G219" i="4" s="1"/>
  <c r="F153" i="4"/>
  <c r="F129" i="4"/>
  <c r="E124" i="4"/>
  <c r="G124" i="4" s="1"/>
  <c r="E605" i="4"/>
  <c r="G605" i="4" s="1"/>
  <c r="E558" i="4"/>
  <c r="G558" i="4" s="1"/>
  <c r="F245" i="4"/>
  <c r="E203" i="4"/>
  <c r="G203" i="4" s="1"/>
  <c r="F189" i="4"/>
  <c r="F160" i="4"/>
  <c r="D152" i="4"/>
  <c r="F152" i="4" s="1"/>
  <c r="E150" i="4"/>
  <c r="G150" i="4" s="1"/>
  <c r="F138" i="4"/>
  <c r="E133" i="4"/>
  <c r="G133" i="4" s="1"/>
  <c r="E129" i="4"/>
  <c r="G129" i="4" s="1"/>
  <c r="E125" i="4"/>
  <c r="G125" i="4" s="1"/>
  <c r="E119" i="4"/>
  <c r="G119" i="4" s="1"/>
  <c r="E114" i="4"/>
  <c r="G114" i="4" s="1"/>
  <c r="E112" i="4"/>
  <c r="G112" i="4" s="1"/>
  <c r="E716" i="4"/>
  <c r="G716" i="4" s="1"/>
  <c r="E637" i="4"/>
  <c r="G637" i="4" s="1"/>
  <c r="F630" i="4"/>
  <c r="E625" i="4"/>
  <c r="G625" i="4" s="1"/>
  <c r="F445" i="4"/>
  <c r="E249" i="4"/>
  <c r="G249" i="4" s="1"/>
  <c r="F221" i="4"/>
  <c r="E602" i="4"/>
  <c r="G602" i="4" s="1"/>
  <c r="E526" i="4"/>
  <c r="G526" i="4" s="1"/>
  <c r="E259" i="4"/>
  <c r="G259" i="4" s="1"/>
  <c r="F513" i="4"/>
  <c r="F681" i="4"/>
  <c r="E621" i="4"/>
  <c r="G621" i="4" s="1"/>
  <c r="E525" i="4"/>
  <c r="G525" i="4" s="1"/>
  <c r="F256" i="4"/>
  <c r="E819" i="4"/>
  <c r="G819" i="4" s="1"/>
  <c r="E802" i="4"/>
  <c r="G802" i="4" s="1"/>
  <c r="E700" i="4"/>
  <c r="G700" i="4" s="1"/>
  <c r="E680" i="4"/>
  <c r="G680" i="4" s="1"/>
  <c r="E679" i="4"/>
  <c r="G679" i="4" s="1"/>
  <c r="E368" i="4"/>
  <c r="G368" i="4" s="1"/>
  <c r="E363" i="4"/>
  <c r="G363" i="4" s="1"/>
  <c r="E362" i="4"/>
  <c r="G362" i="4" s="1"/>
  <c r="E650" i="4"/>
  <c r="G650" i="4" s="1"/>
  <c r="E604" i="4"/>
  <c r="G604" i="4" s="1"/>
  <c r="E601" i="4"/>
  <c r="G601" i="4" s="1"/>
  <c r="E403" i="4"/>
  <c r="G403" i="4" s="1"/>
  <c r="F913" i="4"/>
  <c r="F872" i="4"/>
  <c r="E870" i="4"/>
  <c r="G870" i="4" s="1"/>
  <c r="E821" i="4"/>
  <c r="G821" i="4" s="1"/>
  <c r="E798" i="4"/>
  <c r="G798" i="4" s="1"/>
  <c r="E724" i="4"/>
  <c r="G724" i="4" s="1"/>
  <c r="E684" i="4"/>
  <c r="G684" i="4" s="1"/>
  <c r="E642" i="4"/>
  <c r="G642" i="4" s="1"/>
  <c r="E618" i="4"/>
  <c r="G618" i="4" s="1"/>
  <c r="E617" i="4"/>
  <c r="G617" i="4" s="1"/>
  <c r="F610" i="4"/>
  <c r="E537" i="4"/>
  <c r="G537" i="4" s="1"/>
  <c r="F443" i="4"/>
  <c r="F415" i="4"/>
  <c r="E413" i="4"/>
  <c r="G413" i="4" s="1"/>
  <c r="E378" i="4"/>
  <c r="G378" i="4" s="1"/>
  <c r="E354" i="4"/>
  <c r="G354" i="4" s="1"/>
  <c r="E313" i="4"/>
  <c r="G313" i="4" s="1"/>
  <c r="F301" i="4"/>
  <c r="E299" i="4"/>
  <c r="G299" i="4" s="1"/>
  <c r="E294" i="4"/>
  <c r="G294" i="4" s="1"/>
  <c r="E293" i="4"/>
  <c r="G293" i="4" s="1"/>
  <c r="E261" i="4"/>
  <c r="G261" i="4" s="1"/>
  <c r="E251" i="4"/>
  <c r="G251" i="4" s="1"/>
  <c r="E245" i="4"/>
  <c r="G245" i="4" s="1"/>
  <c r="E244" i="4"/>
  <c r="G244" i="4" s="1"/>
  <c r="E212" i="4"/>
  <c r="G212" i="4" s="1"/>
  <c r="E211" i="4"/>
  <c r="G211" i="4" s="1"/>
  <c r="F208" i="4"/>
  <c r="E198" i="4"/>
  <c r="G198" i="4" s="1"/>
  <c r="E195" i="4"/>
  <c r="G195" i="4" s="1"/>
  <c r="E164" i="4"/>
  <c r="G164" i="4" s="1"/>
  <c r="F798" i="4"/>
  <c r="F533" i="4"/>
  <c r="E445" i="4"/>
  <c r="G445" i="4" s="1"/>
  <c r="F905" i="4"/>
  <c r="E823" i="4"/>
  <c r="G823" i="4" s="1"/>
  <c r="E818" i="4"/>
  <c r="G818" i="4" s="1"/>
  <c r="E817" i="4"/>
  <c r="G817" i="4" s="1"/>
  <c r="F750" i="4"/>
  <c r="F740" i="4"/>
  <c r="E726" i="4"/>
  <c r="G726" i="4" s="1"/>
  <c r="E723" i="4"/>
  <c r="G723" i="4" s="1"/>
  <c r="E722" i="4"/>
  <c r="G722" i="4" s="1"/>
  <c r="E719" i="4"/>
  <c r="G719" i="4" s="1"/>
  <c r="E718" i="4"/>
  <c r="G718" i="4" s="1"/>
  <c r="E715" i="4"/>
  <c r="G715" i="4" s="1"/>
  <c r="E714" i="4"/>
  <c r="G714" i="4" s="1"/>
  <c r="F672" i="4"/>
  <c r="E890" i="4"/>
  <c r="G890" i="4" s="1"/>
  <c r="F878" i="4"/>
  <c r="E850" i="4"/>
  <c r="G850" i="4" s="1"/>
  <c r="F903" i="4"/>
  <c r="E901" i="4"/>
  <c r="G901" i="4" s="1"/>
  <c r="E882" i="4"/>
  <c r="G882" i="4" s="1"/>
  <c r="F857" i="4"/>
  <c r="E842" i="4"/>
  <c r="G842" i="4" s="1"/>
  <c r="E742" i="4"/>
  <c r="G742" i="4" s="1"/>
  <c r="E732" i="4"/>
  <c r="G732" i="4" s="1"/>
  <c r="E729" i="4"/>
  <c r="G729" i="4" s="1"/>
  <c r="F717" i="4"/>
  <c r="F713" i="4"/>
  <c r="E686" i="4"/>
  <c r="G686" i="4" s="1"/>
  <c r="E683" i="4"/>
  <c r="G683" i="4" s="1"/>
  <c r="E682" i="4"/>
  <c r="G682" i="4" s="1"/>
  <c r="F678" i="4"/>
  <c r="F562" i="4"/>
  <c r="E477" i="4"/>
  <c r="G477" i="4" s="1"/>
  <c r="F474" i="4"/>
  <c r="E468" i="4"/>
  <c r="G468" i="4" s="1"/>
  <c r="F453" i="4"/>
  <c r="F449" i="4"/>
  <c r="E447" i="4"/>
  <c r="G447" i="4" s="1"/>
  <c r="E444" i="4"/>
  <c r="G444" i="4" s="1"/>
  <c r="E393" i="4"/>
  <c r="G393" i="4" s="1"/>
  <c r="E377" i="4"/>
  <c r="G377" i="4" s="1"/>
  <c r="E376" i="4"/>
  <c r="G376" i="4" s="1"/>
  <c r="F358" i="4"/>
  <c r="E356" i="4"/>
  <c r="G356" i="4" s="1"/>
  <c r="E329" i="4"/>
  <c r="G329" i="4" s="1"/>
  <c r="F321" i="4"/>
  <c r="F317" i="4"/>
  <c r="E315" i="4"/>
  <c r="G315" i="4" s="1"/>
  <c r="E310" i="4"/>
  <c r="G310" i="4" s="1"/>
  <c r="F243" i="4"/>
  <c r="E241" i="4"/>
  <c r="G241" i="4" s="1"/>
  <c r="F234" i="4"/>
  <c r="F230" i="4"/>
  <c r="E223" i="4"/>
  <c r="G223" i="4" s="1"/>
  <c r="F219" i="4"/>
  <c r="E217" i="4"/>
  <c r="G217" i="4" s="1"/>
  <c r="F213" i="4"/>
  <c r="F211" i="4"/>
  <c r="F201" i="4"/>
  <c r="E160" i="4"/>
  <c r="G160" i="4" s="1"/>
  <c r="E146" i="4"/>
  <c r="G146" i="4" s="1"/>
  <c r="E182" i="4"/>
  <c r="G182" i="4" s="1"/>
  <c r="F174" i="4"/>
  <c r="E172" i="4"/>
  <c r="G172" i="4" s="1"/>
  <c r="F169" i="4"/>
  <c r="F164" i="4"/>
  <c r="F881" i="4"/>
  <c r="E862" i="4"/>
  <c r="G862" i="4" s="1"/>
  <c r="F846" i="4"/>
  <c r="E804" i="4"/>
  <c r="G804" i="4" s="1"/>
  <c r="E801" i="4"/>
  <c r="G801" i="4" s="1"/>
  <c r="E800" i="4"/>
  <c r="G800" i="4" s="1"/>
  <c r="E797" i="4"/>
  <c r="G797" i="4" s="1"/>
  <c r="E796" i="4"/>
  <c r="G796" i="4" s="1"/>
  <c r="F760" i="4"/>
  <c r="E758" i="4"/>
  <c r="G758" i="4" s="1"/>
  <c r="E662" i="4"/>
  <c r="G662" i="4" s="1"/>
  <c r="E909" i="4"/>
  <c r="G909" i="4" s="1"/>
  <c r="E776" i="4"/>
  <c r="G776" i="4" s="1"/>
  <c r="F773" i="4"/>
  <c r="E750" i="4"/>
  <c r="G750" i="4" s="1"/>
  <c r="F742" i="4"/>
  <c r="E740" i="4"/>
  <c r="G740" i="4" s="1"/>
  <c r="F708" i="4"/>
  <c r="F704" i="4"/>
  <c r="F660" i="4"/>
  <c r="E654" i="4"/>
  <c r="G654" i="4" s="1"/>
  <c r="E653" i="4"/>
  <c r="G653" i="4" s="1"/>
  <c r="E652" i="4"/>
  <c r="G652" i="4" s="1"/>
  <c r="E645" i="4"/>
  <c r="G645" i="4" s="1"/>
  <c r="E644" i="4"/>
  <c r="G644" i="4" s="1"/>
  <c r="E641" i="4"/>
  <c r="G641" i="4" s="1"/>
  <c r="E598" i="4"/>
  <c r="G598" i="4" s="1"/>
  <c r="E585" i="4"/>
  <c r="G585" i="4" s="1"/>
  <c r="E546" i="4"/>
  <c r="G546" i="4" s="1"/>
  <c r="F536" i="4"/>
  <c r="E534" i="4"/>
  <c r="G534" i="4" s="1"/>
  <c r="E529" i="4"/>
  <c r="G529" i="4" s="1"/>
  <c r="E514" i="4"/>
  <c r="G514" i="4" s="1"/>
  <c r="E505" i="4"/>
  <c r="G505" i="4" s="1"/>
  <c r="F393" i="4"/>
  <c r="F376" i="4"/>
  <c r="E327" i="4"/>
  <c r="G327" i="4" s="1"/>
  <c r="F217" i="4"/>
  <c r="F935" i="4"/>
  <c r="F931" i="4"/>
  <c r="F951" i="4"/>
  <c r="F832" i="4"/>
  <c r="F628" i="4"/>
  <c r="F938" i="4"/>
  <c r="F686" i="4"/>
  <c r="F724" i="4"/>
  <c r="F605" i="4"/>
  <c r="F602" i="4"/>
  <c r="E913" i="4"/>
  <c r="G913" i="4" s="1"/>
  <c r="F904" i="4"/>
  <c r="F899" i="4"/>
  <c r="E897" i="4"/>
  <c r="G897" i="4" s="1"/>
  <c r="F888" i="4"/>
  <c r="E886" i="4"/>
  <c r="G886" i="4" s="1"/>
  <c r="F882" i="4"/>
  <c r="F873" i="4"/>
  <c r="E866" i="4"/>
  <c r="G866" i="4" s="1"/>
  <c r="F862" i="4"/>
  <c r="E846" i="4"/>
  <c r="G846" i="4" s="1"/>
  <c r="E764" i="4"/>
  <c r="G764" i="4" s="1"/>
  <c r="E757" i="4"/>
  <c r="G757" i="4" s="1"/>
  <c r="F754" i="4"/>
  <c r="E752" i="4"/>
  <c r="G752" i="4" s="1"/>
  <c r="E749" i="4"/>
  <c r="G749" i="4" s="1"/>
  <c r="E744" i="4"/>
  <c r="G744" i="4" s="1"/>
  <c r="E741" i="4"/>
  <c r="G741" i="4" s="1"/>
  <c r="E710" i="4"/>
  <c r="G710" i="4" s="1"/>
  <c r="E692" i="4"/>
  <c r="G692" i="4" s="1"/>
  <c r="E582" i="4"/>
  <c r="G582" i="4" s="1"/>
  <c r="E581" i="4"/>
  <c r="G581" i="4" s="1"/>
  <c r="E580" i="4"/>
  <c r="G580" i="4" s="1"/>
  <c r="E573" i="4"/>
  <c r="G573" i="4" s="1"/>
  <c r="F565" i="4"/>
  <c r="E554" i="4"/>
  <c r="G554" i="4" s="1"/>
  <c r="F501" i="4"/>
  <c r="E467" i="4"/>
  <c r="G467" i="4" s="1"/>
  <c r="F413" i="4"/>
  <c r="F409" i="4"/>
  <c r="E407" i="4"/>
  <c r="G407" i="4" s="1"/>
  <c r="F383" i="4"/>
  <c r="E375" i="4"/>
  <c r="G375" i="4" s="1"/>
  <c r="F372" i="4"/>
  <c r="E370" i="4"/>
  <c r="G370" i="4" s="1"/>
  <c r="E350" i="4"/>
  <c r="G350" i="4" s="1"/>
  <c r="F324" i="4"/>
  <c r="F302" i="4"/>
  <c r="F282" i="4"/>
  <c r="F907" i="4"/>
  <c r="E905" i="4"/>
  <c r="G905" i="4" s="1"/>
  <c r="F885" i="4"/>
  <c r="E878" i="4"/>
  <c r="G878" i="4" s="1"/>
  <c r="F856" i="4"/>
  <c r="E854" i="4"/>
  <c r="G854" i="4" s="1"/>
  <c r="F838" i="4"/>
  <c r="F835" i="4"/>
  <c r="F834" i="4"/>
  <c r="E788" i="4"/>
  <c r="G788" i="4" s="1"/>
  <c r="F785" i="4"/>
  <c r="F752" i="4"/>
  <c r="F748" i="4"/>
  <c r="E739" i="4"/>
  <c r="G739" i="4" s="1"/>
  <c r="E738" i="4"/>
  <c r="G738" i="4" s="1"/>
  <c r="F662" i="4"/>
  <c r="E660" i="4"/>
  <c r="G660" i="4" s="1"/>
  <c r="F580" i="4"/>
  <c r="F577" i="4"/>
  <c r="E570" i="4"/>
  <c r="G570" i="4" s="1"/>
  <c r="E493" i="4"/>
  <c r="G493" i="4" s="1"/>
  <c r="F421" i="4"/>
  <c r="E419" i="4"/>
  <c r="G419" i="4" s="1"/>
  <c r="F401" i="4"/>
  <c r="E395" i="4"/>
  <c r="G395" i="4" s="1"/>
  <c r="E392" i="4"/>
  <c r="G392" i="4" s="1"/>
  <c r="E387" i="4"/>
  <c r="G387" i="4" s="1"/>
  <c r="E384" i="4"/>
  <c r="G384" i="4" s="1"/>
  <c r="F381" i="4"/>
  <c r="E379" i="4"/>
  <c r="G379" i="4" s="1"/>
  <c r="F374" i="4"/>
  <c r="F362" i="4"/>
  <c r="E360" i="4"/>
  <c r="G360" i="4" s="1"/>
  <c r="F349" i="4"/>
  <c r="F341" i="4"/>
  <c r="F337" i="4"/>
  <c r="E335" i="4"/>
  <c r="G335" i="4" s="1"/>
  <c r="E326" i="4"/>
  <c r="G326" i="4" s="1"/>
  <c r="E325" i="4"/>
  <c r="G325" i="4" s="1"/>
  <c r="F309" i="4"/>
  <c r="F289" i="4"/>
  <c r="E287" i="4"/>
  <c r="G287" i="4" s="1"/>
  <c r="F280" i="4"/>
  <c r="F250" i="4"/>
  <c r="E227" i="4"/>
  <c r="G227" i="4" s="1"/>
  <c r="F223" i="4"/>
  <c r="F203" i="4"/>
  <c r="F192" i="4"/>
  <c r="F188" i="4"/>
  <c r="E186" i="4"/>
  <c r="G186" i="4" s="1"/>
  <c r="F182" i="4"/>
  <c r="E180" i="4"/>
  <c r="G180" i="4" s="1"/>
  <c r="E177" i="4"/>
  <c r="G177" i="4" s="1"/>
  <c r="E176" i="4"/>
  <c r="G176" i="4" s="1"/>
  <c r="F168" i="4"/>
  <c r="E166" i="4"/>
  <c r="G166" i="4" s="1"/>
  <c r="E163" i="4"/>
  <c r="G163" i="4" s="1"/>
  <c r="F150" i="4"/>
  <c r="E148" i="4"/>
  <c r="G148" i="4" s="1"/>
  <c r="E145" i="4"/>
  <c r="G145" i="4" s="1"/>
  <c r="E144" i="4"/>
  <c r="G144" i="4" s="1"/>
  <c r="F111" i="4"/>
  <c r="F720" i="4"/>
  <c r="F378" i="4"/>
  <c r="F364" i="4"/>
  <c r="G134" i="4"/>
  <c r="F124" i="4"/>
  <c r="F119" i="4"/>
  <c r="D809" i="4"/>
  <c r="F809" i="4" s="1"/>
  <c r="E809" i="4"/>
  <c r="G809" i="4" s="1"/>
  <c r="D787" i="4"/>
  <c r="F787" i="4" s="1"/>
  <c r="E787" i="4"/>
  <c r="G787" i="4" s="1"/>
  <c r="D778" i="4"/>
  <c r="F778" i="4" s="1"/>
  <c r="E778" i="4"/>
  <c r="G778" i="4" s="1"/>
  <c r="D763" i="4"/>
  <c r="F763" i="4" s="1"/>
  <c r="E763" i="4"/>
  <c r="G763" i="4" s="1"/>
  <c r="F716" i="4"/>
  <c r="D706" i="4"/>
  <c r="F706" i="4" s="1"/>
  <c r="E706" i="4"/>
  <c r="G706" i="4" s="1"/>
  <c r="E670" i="4"/>
  <c r="G670" i="4" s="1"/>
  <c r="F621" i="4"/>
  <c r="D561" i="4"/>
  <c r="F561" i="4" s="1"/>
  <c r="E561" i="4"/>
  <c r="G561" i="4" s="1"/>
  <c r="D556" i="4"/>
  <c r="F556" i="4" s="1"/>
  <c r="E556" i="4"/>
  <c r="G556" i="4" s="1"/>
  <c r="D542" i="4"/>
  <c r="F542" i="4" s="1"/>
  <c r="E542" i="4"/>
  <c r="G542" i="4" s="1"/>
  <c r="D435" i="4"/>
  <c r="F435" i="4" s="1"/>
  <c r="E435" i="4"/>
  <c r="G435" i="4" s="1"/>
  <c r="F890" i="4"/>
  <c r="E888" i="4"/>
  <c r="G888" i="4" s="1"/>
  <c r="F874" i="4"/>
  <c r="E872" i="4"/>
  <c r="G872" i="4" s="1"/>
  <c r="F858" i="4"/>
  <c r="E856" i="4"/>
  <c r="G856" i="4" s="1"/>
  <c r="F826" i="4"/>
  <c r="D779" i="4"/>
  <c r="F779" i="4" s="1"/>
  <c r="E779" i="4"/>
  <c r="G779" i="4" s="1"/>
  <c r="D774" i="4"/>
  <c r="F774" i="4" s="1"/>
  <c r="E774" i="4"/>
  <c r="G774" i="4" s="1"/>
  <c r="E772" i="4"/>
  <c r="G772" i="4" s="1"/>
  <c r="F764" i="4"/>
  <c r="D759" i="4"/>
  <c r="F759" i="4" s="1"/>
  <c r="E759" i="4"/>
  <c r="G759" i="4" s="1"/>
  <c r="F756" i="4"/>
  <c r="E754" i="4"/>
  <c r="G754" i="4" s="1"/>
  <c r="E736" i="4"/>
  <c r="G736" i="4" s="1"/>
  <c r="D712" i="4"/>
  <c r="F712" i="4" s="1"/>
  <c r="E712" i="4"/>
  <c r="G712" i="4" s="1"/>
  <c r="D694" i="4"/>
  <c r="F694" i="4" s="1"/>
  <c r="E694" i="4"/>
  <c r="G694" i="4" s="1"/>
  <c r="D667" i="4"/>
  <c r="F667" i="4" s="1"/>
  <c r="E667" i="4"/>
  <c r="G667" i="4" s="1"/>
  <c r="D572" i="4"/>
  <c r="F572" i="4" s="1"/>
  <c r="E572" i="4"/>
  <c r="G572" i="4" s="1"/>
  <c r="D461" i="4"/>
  <c r="F461" i="4" s="1"/>
  <c r="E461" i="4"/>
  <c r="G461" i="4" s="1"/>
  <c r="F880" i="4"/>
  <c r="F877" i="4"/>
  <c r="F869" i="4"/>
  <c r="F864" i="4"/>
  <c r="F861" i="4"/>
  <c r="E810" i="4"/>
  <c r="G810" i="4" s="1"/>
  <c r="D790" i="4"/>
  <c r="F790" i="4" s="1"/>
  <c r="E790" i="4"/>
  <c r="G790" i="4" s="1"/>
  <c r="D775" i="4"/>
  <c r="F775" i="4" s="1"/>
  <c r="E775" i="4"/>
  <c r="G775" i="4" s="1"/>
  <c r="D770" i="4"/>
  <c r="F770" i="4" s="1"/>
  <c r="E770" i="4"/>
  <c r="G770" i="4" s="1"/>
  <c r="D658" i="4"/>
  <c r="F658" i="4" s="1"/>
  <c r="E658" i="4"/>
  <c r="G658" i="4" s="1"/>
  <c r="D614" i="4"/>
  <c r="F614" i="4" s="1"/>
  <c r="E614" i="4"/>
  <c r="G614" i="4" s="1"/>
  <c r="D564" i="4"/>
  <c r="F564" i="4" s="1"/>
  <c r="E564" i="4"/>
  <c r="G564" i="4" s="1"/>
  <c r="E562" i="4"/>
  <c r="G562" i="4" s="1"/>
  <c r="D553" i="4"/>
  <c r="F553" i="4" s="1"/>
  <c r="E553" i="4"/>
  <c r="G553" i="4" s="1"/>
  <c r="F876" i="4"/>
  <c r="E874" i="4"/>
  <c r="G874" i="4" s="1"/>
  <c r="F868" i="4"/>
  <c r="F865" i="4"/>
  <c r="E858" i="4"/>
  <c r="G858" i="4" s="1"/>
  <c r="F837" i="4"/>
  <c r="E834" i="4"/>
  <c r="G834" i="4" s="1"/>
  <c r="F831" i="4"/>
  <c r="D827" i="4"/>
  <c r="F827" i="4" s="1"/>
  <c r="E827" i="4"/>
  <c r="G827" i="4" s="1"/>
  <c r="D699" i="4"/>
  <c r="F699" i="4" s="1"/>
  <c r="E699" i="4"/>
  <c r="G699" i="4" s="1"/>
  <c r="D690" i="4"/>
  <c r="F690" i="4" s="1"/>
  <c r="E690" i="4"/>
  <c r="G690" i="4" s="1"/>
  <c r="D664" i="4"/>
  <c r="F664" i="4" s="1"/>
  <c r="E664" i="4"/>
  <c r="G664" i="4" s="1"/>
  <c r="E912" i="4"/>
  <c r="G912" i="4" s="1"/>
  <c r="E911" i="4"/>
  <c r="G911" i="4" s="1"/>
  <c r="E908" i="4"/>
  <c r="G908" i="4" s="1"/>
  <c r="E907" i="4"/>
  <c r="G907" i="4" s="1"/>
  <c r="E904" i="4"/>
  <c r="G904" i="4" s="1"/>
  <c r="E903" i="4"/>
  <c r="G903" i="4" s="1"/>
  <c r="E900" i="4"/>
  <c r="G900" i="4" s="1"/>
  <c r="E899" i="4"/>
  <c r="G899" i="4" s="1"/>
  <c r="E896" i="4"/>
  <c r="G896" i="4" s="1"/>
  <c r="E895" i="4"/>
  <c r="G895" i="4" s="1"/>
  <c r="E892" i="4"/>
  <c r="G892" i="4" s="1"/>
  <c r="F886" i="4"/>
  <c r="E884" i="4"/>
  <c r="G884" i="4" s="1"/>
  <c r="E881" i="4"/>
  <c r="G881" i="4" s="1"/>
  <c r="E880" i="4"/>
  <c r="G880" i="4" s="1"/>
  <c r="E877" i="4"/>
  <c r="G877" i="4" s="1"/>
  <c r="E876" i="4"/>
  <c r="G876" i="4" s="1"/>
  <c r="E868" i="4"/>
  <c r="G868" i="4" s="1"/>
  <c r="E865" i="4"/>
  <c r="G865" i="4" s="1"/>
  <c r="E864" i="4"/>
  <c r="G864" i="4" s="1"/>
  <c r="E861" i="4"/>
  <c r="G861" i="4" s="1"/>
  <c r="E860" i="4"/>
  <c r="G860" i="4" s="1"/>
  <c r="F854" i="4"/>
  <c r="E852" i="4"/>
  <c r="G852" i="4" s="1"/>
  <c r="E849" i="4"/>
  <c r="G849" i="4" s="1"/>
  <c r="E848" i="4"/>
  <c r="G848" i="4" s="1"/>
  <c r="E837" i="4"/>
  <c r="G837" i="4" s="1"/>
  <c r="D808" i="4"/>
  <c r="F808" i="4" s="1"/>
  <c r="E808" i="4"/>
  <c r="G808" i="4" s="1"/>
  <c r="F795" i="4"/>
  <c r="D786" i="4"/>
  <c r="F786" i="4" s="1"/>
  <c r="E786" i="4"/>
  <c r="G786" i="4" s="1"/>
  <c r="E780" i="4"/>
  <c r="G780" i="4" s="1"/>
  <c r="D771" i="4"/>
  <c r="F771" i="4" s="1"/>
  <c r="E771" i="4"/>
  <c r="G771" i="4" s="1"/>
  <c r="D762" i="4"/>
  <c r="F762" i="4" s="1"/>
  <c r="E762" i="4"/>
  <c r="G762" i="4" s="1"/>
  <c r="E760" i="4"/>
  <c r="G760" i="4" s="1"/>
  <c r="F758" i="4"/>
  <c r="D753" i="4"/>
  <c r="F753" i="4" s="1"/>
  <c r="E753" i="4"/>
  <c r="G753" i="4" s="1"/>
  <c r="D709" i="4"/>
  <c r="F709" i="4" s="1"/>
  <c r="E709" i="4"/>
  <c r="G709" i="4" s="1"/>
  <c r="D691" i="4"/>
  <c r="F691" i="4" s="1"/>
  <c r="E691" i="4"/>
  <c r="G691" i="4" s="1"/>
  <c r="E668" i="4"/>
  <c r="G668" i="4" s="1"/>
  <c r="D659" i="4"/>
  <c r="F659" i="4" s="1"/>
  <c r="E659" i="4"/>
  <c r="G659" i="4" s="1"/>
  <c r="D586" i="4"/>
  <c r="F586" i="4" s="1"/>
  <c r="E586" i="4"/>
  <c r="G586" i="4" s="1"/>
  <c r="D569" i="4"/>
  <c r="F569" i="4" s="1"/>
  <c r="E569" i="4"/>
  <c r="G569" i="4" s="1"/>
  <c r="D550" i="4"/>
  <c r="F550" i="4" s="1"/>
  <c r="E550" i="4"/>
  <c r="G550" i="4" s="1"/>
  <c r="D545" i="4"/>
  <c r="F545" i="4" s="1"/>
  <c r="E545" i="4"/>
  <c r="G545" i="4" s="1"/>
  <c r="D541" i="4"/>
  <c r="F541" i="4" s="1"/>
  <c r="E541" i="4"/>
  <c r="G541" i="4" s="1"/>
  <c r="F538" i="4"/>
  <c r="D509" i="4"/>
  <c r="F509" i="4" s="1"/>
  <c r="E509" i="4"/>
  <c r="G509" i="4" s="1"/>
  <c r="D423" i="4"/>
  <c r="F423" i="4" s="1"/>
  <c r="E423" i="4"/>
  <c r="G423" i="4" s="1"/>
  <c r="D394" i="4"/>
  <c r="F394" i="4" s="1"/>
  <c r="E394" i="4"/>
  <c r="G394" i="4" s="1"/>
  <c r="D386" i="4"/>
  <c r="F386" i="4" s="1"/>
  <c r="E386" i="4"/>
  <c r="G386" i="4" s="1"/>
  <c r="D291" i="4"/>
  <c r="F291" i="4" s="1"/>
  <c r="E291" i="4"/>
  <c r="G291" i="4" s="1"/>
  <c r="F703" i="4"/>
  <c r="F675" i="4"/>
  <c r="F666" i="4"/>
  <c r="F514" i="4"/>
  <c r="F463" i="4"/>
  <c r="F459" i="4"/>
  <c r="D441" i="4"/>
  <c r="F441" i="4" s="1"/>
  <c r="E441" i="4"/>
  <c r="G441" i="4" s="1"/>
  <c r="F437" i="4"/>
  <c r="F432" i="4"/>
  <c r="F395" i="4"/>
  <c r="F387" i="4"/>
  <c r="D307" i="4"/>
  <c r="F307" i="4" s="1"/>
  <c r="E307" i="4"/>
  <c r="G307" i="4" s="1"/>
  <c r="D464" i="4"/>
  <c r="F464" i="4" s="1"/>
  <c r="E464" i="4"/>
  <c r="G464" i="4" s="1"/>
  <c r="D397" i="4"/>
  <c r="F397" i="4" s="1"/>
  <c r="E397" i="4"/>
  <c r="G397" i="4" s="1"/>
  <c r="D389" i="4"/>
  <c r="F389" i="4" s="1"/>
  <c r="E389" i="4"/>
  <c r="G389" i="4" s="1"/>
  <c r="F385" i="4"/>
  <c r="F914" i="4"/>
  <c r="F910" i="4"/>
  <c r="F894" i="4"/>
  <c r="F839" i="4"/>
  <c r="F829" i="4"/>
  <c r="F817" i="4"/>
  <c r="F813" i="4"/>
  <c r="F792" i="4"/>
  <c r="F768" i="4"/>
  <c r="F757" i="4"/>
  <c r="F736" i="4"/>
  <c r="F714" i="4"/>
  <c r="F698" i="4"/>
  <c r="F637" i="4"/>
  <c r="F633" i="4"/>
  <c r="F625" i="4"/>
  <c r="D566" i="4"/>
  <c r="F566" i="4" s="1"/>
  <c r="E566" i="4"/>
  <c r="G566" i="4" s="1"/>
  <c r="F557" i="4"/>
  <c r="E504" i="4"/>
  <c r="G504" i="4" s="1"/>
  <c r="E503" i="4"/>
  <c r="G503" i="4" s="1"/>
  <c r="E502" i="4"/>
  <c r="G502" i="4" s="1"/>
  <c r="E501" i="4"/>
  <c r="G501" i="4" s="1"/>
  <c r="D485" i="4"/>
  <c r="F485" i="4" s="1"/>
  <c r="E485" i="4"/>
  <c r="G485" i="4" s="1"/>
  <c r="F481" i="4"/>
  <c r="F476" i="4"/>
  <c r="D417" i="4"/>
  <c r="F417" i="4" s="1"/>
  <c r="E417" i="4"/>
  <c r="G417" i="4" s="1"/>
  <c r="E415" i="4"/>
  <c r="G415" i="4" s="1"/>
  <c r="E402" i="4"/>
  <c r="G402" i="4" s="1"/>
  <c r="E401" i="4"/>
  <c r="G401" i="4" s="1"/>
  <c r="D323" i="4"/>
  <c r="F323" i="4" s="1"/>
  <c r="E323" i="4"/>
  <c r="G323" i="4" s="1"/>
  <c r="F598" i="4"/>
  <c r="F594" i="4"/>
  <c r="F549" i="4"/>
  <c r="F525" i="4"/>
  <c r="F482" i="4"/>
  <c r="F470" i="4"/>
  <c r="F460" i="4"/>
  <c r="F456" i="4"/>
  <c r="F429" i="4"/>
  <c r="F425" i="4"/>
  <c r="F419" i="4"/>
  <c r="F399" i="4"/>
  <c r="F391" i="4"/>
  <c r="F360" i="4"/>
  <c r="F348" i="4"/>
  <c r="F335" i="4"/>
  <c r="F331" i="4"/>
  <c r="F325" i="4"/>
  <c r="F315" i="4"/>
  <c r="F293" i="4"/>
  <c r="F268" i="4"/>
  <c r="F255" i="4"/>
  <c r="E243" i="4"/>
  <c r="G243" i="4" s="1"/>
  <c r="F235" i="4"/>
  <c r="F231" i="4"/>
  <c r="F227" i="4"/>
  <c r="F226" i="4"/>
  <c r="F225" i="4"/>
  <c r="E221" i="4"/>
  <c r="G221" i="4" s="1"/>
  <c r="E216" i="4"/>
  <c r="G216" i="4" s="1"/>
  <c r="F215" i="4"/>
  <c r="E210" i="4"/>
  <c r="G210" i="4" s="1"/>
  <c r="E209" i="4"/>
  <c r="G209" i="4" s="1"/>
  <c r="E208" i="4"/>
  <c r="G208" i="4" s="1"/>
  <c r="E207" i="4"/>
  <c r="G207" i="4" s="1"/>
  <c r="E200" i="4"/>
  <c r="G200" i="4" s="1"/>
  <c r="F195" i="4"/>
  <c r="E181" i="4"/>
  <c r="G181" i="4" s="1"/>
  <c r="F180" i="4"/>
  <c r="F176" i="4"/>
  <c r="E174" i="4"/>
  <c r="G174" i="4" s="1"/>
  <c r="E162" i="4"/>
  <c r="G162" i="4" s="1"/>
  <c r="G152" i="4"/>
  <c r="E149" i="4"/>
  <c r="G149" i="4" s="1"/>
  <c r="E142" i="4"/>
  <c r="G142" i="4" s="1"/>
  <c r="E139" i="4"/>
  <c r="G139" i="4" s="1"/>
  <c r="E138" i="4"/>
  <c r="G138" i="4" s="1"/>
  <c r="F117" i="4"/>
  <c r="F329" i="4"/>
  <c r="F313" i="4"/>
  <c r="F311" i="4"/>
  <c r="F251" i="4"/>
  <c r="F199" i="4"/>
  <c r="F178" i="4"/>
  <c r="F146" i="4"/>
  <c r="F112" i="4"/>
  <c r="D822" i="4"/>
  <c r="F822" i="4" s="1"/>
  <c r="E822" i="4"/>
  <c r="G822" i="4" s="1"/>
  <c r="D616" i="4"/>
  <c r="F616" i="4" s="1"/>
  <c r="E616" i="4"/>
  <c r="G616" i="4" s="1"/>
  <c r="D597" i="4"/>
  <c r="F597" i="4" s="1"/>
  <c r="E597" i="4"/>
  <c r="G597" i="4" s="1"/>
  <c r="D588" i="4"/>
  <c r="F588" i="4" s="1"/>
  <c r="E588" i="4"/>
  <c r="G588" i="4" s="1"/>
  <c r="D522" i="4"/>
  <c r="F522" i="4" s="1"/>
  <c r="E522" i="4"/>
  <c r="G522" i="4" s="1"/>
  <c r="D506" i="4"/>
  <c r="F506" i="4" s="1"/>
  <c r="E506" i="4"/>
  <c r="G506" i="4" s="1"/>
  <c r="D500" i="4"/>
  <c r="F500" i="4" s="1"/>
  <c r="E500" i="4"/>
  <c r="G500" i="4" s="1"/>
  <c r="D473" i="4"/>
  <c r="F473" i="4" s="1"/>
  <c r="E473" i="4"/>
  <c r="G473" i="4" s="1"/>
  <c r="F819" i="4"/>
  <c r="D803" i="4"/>
  <c r="F803" i="4" s="1"/>
  <c r="E803" i="4"/>
  <c r="G803" i="4" s="1"/>
  <c r="F788" i="4"/>
  <c r="F776" i="4"/>
  <c r="D743" i="4"/>
  <c r="F743" i="4" s="1"/>
  <c r="E743" i="4"/>
  <c r="G743" i="4" s="1"/>
  <c r="F710" i="4"/>
  <c r="D663" i="4"/>
  <c r="F663" i="4" s="1"/>
  <c r="E663" i="4"/>
  <c r="G663" i="4" s="1"/>
  <c r="D830" i="4"/>
  <c r="F830" i="4" s="1"/>
  <c r="E830" i="4"/>
  <c r="G830" i="4" s="1"/>
  <c r="E826" i="4"/>
  <c r="G826" i="4" s="1"/>
  <c r="E825" i="4"/>
  <c r="G825" i="4" s="1"/>
  <c r="D814" i="4"/>
  <c r="F814" i="4" s="1"/>
  <c r="E814" i="4"/>
  <c r="G814" i="4" s="1"/>
  <c r="E812" i="4"/>
  <c r="G812" i="4" s="1"/>
  <c r="F810" i="4"/>
  <c r="E766" i="4"/>
  <c r="G766" i="4" s="1"/>
  <c r="D755" i="4"/>
  <c r="F755" i="4" s="1"/>
  <c r="E755" i="4"/>
  <c r="G755" i="4" s="1"/>
  <c r="E748" i="4"/>
  <c r="G748" i="4" s="1"/>
  <c r="F744" i="4"/>
  <c r="E708" i="4"/>
  <c r="G708" i="4" s="1"/>
  <c r="E705" i="4"/>
  <c r="G705" i="4" s="1"/>
  <c r="E704" i="4"/>
  <c r="G704" i="4" s="1"/>
  <c r="E703" i="4"/>
  <c r="G703" i="4" s="1"/>
  <c r="E689" i="4"/>
  <c r="G689" i="4" s="1"/>
  <c r="D677" i="4"/>
  <c r="F677" i="4" s="1"/>
  <c r="E677" i="4"/>
  <c r="G677" i="4" s="1"/>
  <c r="E675" i="4"/>
  <c r="G675" i="4" s="1"/>
  <c r="D671" i="4"/>
  <c r="F671" i="4" s="1"/>
  <c r="E671" i="4"/>
  <c r="G671" i="4" s="1"/>
  <c r="D632" i="4"/>
  <c r="F632" i="4" s="1"/>
  <c r="E632" i="4"/>
  <c r="G632" i="4" s="1"/>
  <c r="E630" i="4"/>
  <c r="G630" i="4" s="1"/>
  <c r="D596" i="4"/>
  <c r="F596" i="4" s="1"/>
  <c r="E596" i="4"/>
  <c r="G596" i="4" s="1"/>
  <c r="E594" i="4"/>
  <c r="G594" i="4" s="1"/>
  <c r="E577" i="4"/>
  <c r="G577" i="4" s="1"/>
  <c r="D574" i="4"/>
  <c r="F574" i="4" s="1"/>
  <c r="E574" i="4"/>
  <c r="G574" i="4" s="1"/>
  <c r="E565" i="4"/>
  <c r="G565" i="4" s="1"/>
  <c r="E549" i="4"/>
  <c r="G549" i="4" s="1"/>
  <c r="D532" i="4"/>
  <c r="F532" i="4" s="1"/>
  <c r="E532" i="4"/>
  <c r="G532" i="4" s="1"/>
  <c r="D521" i="4"/>
  <c r="F521" i="4" s="1"/>
  <c r="E521" i="4"/>
  <c r="G521" i="4" s="1"/>
  <c r="D516" i="4"/>
  <c r="F516" i="4" s="1"/>
  <c r="E516" i="4"/>
  <c r="G516" i="4" s="1"/>
  <c r="D499" i="4"/>
  <c r="F499" i="4" s="1"/>
  <c r="E499" i="4"/>
  <c r="G499" i="4" s="1"/>
  <c r="D806" i="4"/>
  <c r="F806" i="4" s="1"/>
  <c r="E806" i="4"/>
  <c r="G806" i="4" s="1"/>
  <c r="E782" i="4"/>
  <c r="G782" i="4" s="1"/>
  <c r="D711" i="4"/>
  <c r="F711" i="4" s="1"/>
  <c r="E711" i="4"/>
  <c r="G711" i="4" s="1"/>
  <c r="E831" i="4"/>
  <c r="G831" i="4" s="1"/>
  <c r="D811" i="4"/>
  <c r="F811" i="4" s="1"/>
  <c r="E811" i="4"/>
  <c r="G811" i="4" s="1"/>
  <c r="F807" i="4"/>
  <c r="F794" i="4"/>
  <c r="E792" i="4"/>
  <c r="G792" i="4" s="1"/>
  <c r="E789" i="4"/>
  <c r="G789" i="4" s="1"/>
  <c r="E784" i="4"/>
  <c r="G784" i="4" s="1"/>
  <c r="E781" i="4"/>
  <c r="G781" i="4" s="1"/>
  <c r="D765" i="4"/>
  <c r="F765" i="4" s="1"/>
  <c r="E765" i="4"/>
  <c r="G765" i="4" s="1"/>
  <c r="E756" i="4"/>
  <c r="G756" i="4" s="1"/>
  <c r="D747" i="4"/>
  <c r="F747" i="4" s="1"/>
  <c r="E747" i="4"/>
  <c r="G747" i="4" s="1"/>
  <c r="F738" i="4"/>
  <c r="F732" i="4"/>
  <c r="E713" i="4"/>
  <c r="G713" i="4" s="1"/>
  <c r="D688" i="4"/>
  <c r="F688" i="4" s="1"/>
  <c r="E688" i="4"/>
  <c r="G688" i="4" s="1"/>
  <c r="E678" i="4"/>
  <c r="G678" i="4" s="1"/>
  <c r="D674" i="4"/>
  <c r="F674" i="4" s="1"/>
  <c r="E674" i="4"/>
  <c r="G674" i="4" s="1"/>
  <c r="E672" i="4"/>
  <c r="G672" i="4" s="1"/>
  <c r="F670" i="4"/>
  <c r="F668" i="4"/>
  <c r="E666" i="4"/>
  <c r="G666" i="4" s="1"/>
  <c r="F650" i="4"/>
  <c r="E649" i="4"/>
  <c r="G649" i="4" s="1"/>
  <c r="E633" i="4"/>
  <c r="G633" i="4" s="1"/>
  <c r="D612" i="4"/>
  <c r="F612" i="4" s="1"/>
  <c r="E612" i="4"/>
  <c r="G612" i="4" s="1"/>
  <c r="E610" i="4"/>
  <c r="G610" i="4" s="1"/>
  <c r="D593" i="4"/>
  <c r="F593" i="4" s="1"/>
  <c r="E593" i="4"/>
  <c r="G593" i="4" s="1"/>
  <c r="D589" i="4"/>
  <c r="F589" i="4" s="1"/>
  <c r="E589" i="4"/>
  <c r="G589" i="4" s="1"/>
  <c r="F585" i="4"/>
  <c r="F573" i="4"/>
  <c r="F570" i="4"/>
  <c r="E557" i="4"/>
  <c r="G557" i="4" s="1"/>
  <c r="F554" i="4"/>
  <c r="D548" i="4"/>
  <c r="F548" i="4" s="1"/>
  <c r="E548" i="4"/>
  <c r="G548" i="4" s="1"/>
  <c r="D539" i="4"/>
  <c r="F539" i="4" s="1"/>
  <c r="E539" i="4"/>
  <c r="G539" i="4" s="1"/>
  <c r="E533" i="4"/>
  <c r="G533" i="4" s="1"/>
  <c r="D523" i="4"/>
  <c r="F523" i="4" s="1"/>
  <c r="E523" i="4"/>
  <c r="G523" i="4" s="1"/>
  <c r="E517" i="4"/>
  <c r="G517" i="4" s="1"/>
  <c r="D507" i="4"/>
  <c r="F507" i="4" s="1"/>
  <c r="E507" i="4"/>
  <c r="G507" i="4" s="1"/>
  <c r="D497" i="4"/>
  <c r="F497" i="4" s="1"/>
  <c r="E497" i="4"/>
  <c r="G497" i="4" s="1"/>
  <c r="D769" i="4"/>
  <c r="F769" i="4" s="1"/>
  <c r="E769" i="4"/>
  <c r="G769" i="4" s="1"/>
  <c r="D746" i="4"/>
  <c r="F746" i="4" s="1"/>
  <c r="E746" i="4"/>
  <c r="G746" i="4" s="1"/>
  <c r="D737" i="4"/>
  <c r="F737" i="4" s="1"/>
  <c r="E737" i="4"/>
  <c r="G737" i="4" s="1"/>
  <c r="D731" i="4"/>
  <c r="F731" i="4" s="1"/>
  <c r="E731" i="4"/>
  <c r="G731" i="4" s="1"/>
  <c r="D547" i="4"/>
  <c r="F547" i="4" s="1"/>
  <c r="E547" i="4"/>
  <c r="G547" i="4" s="1"/>
  <c r="F780" i="4"/>
  <c r="F772" i="4"/>
  <c r="D734" i="4"/>
  <c r="F734" i="4" s="1"/>
  <c r="E734" i="4"/>
  <c r="G734" i="4" s="1"/>
  <c r="F730" i="4"/>
  <c r="D725" i="4"/>
  <c r="F725" i="4" s="1"/>
  <c r="E725" i="4"/>
  <c r="G725" i="4" s="1"/>
  <c r="D622" i="4"/>
  <c r="F622" i="4" s="1"/>
  <c r="E622" i="4"/>
  <c r="G622" i="4" s="1"/>
  <c r="D613" i="4"/>
  <c r="F613" i="4" s="1"/>
  <c r="E613" i="4"/>
  <c r="G613" i="4" s="1"/>
  <c r="D600" i="4"/>
  <c r="F600" i="4" s="1"/>
  <c r="E600" i="4"/>
  <c r="G600" i="4" s="1"/>
  <c r="D590" i="4"/>
  <c r="F590" i="4" s="1"/>
  <c r="E590" i="4"/>
  <c r="G590" i="4" s="1"/>
  <c r="F546" i="4"/>
  <c r="D540" i="4"/>
  <c r="F540" i="4" s="1"/>
  <c r="E540" i="4"/>
  <c r="G540" i="4" s="1"/>
  <c r="D531" i="4"/>
  <c r="F531" i="4" s="1"/>
  <c r="E531" i="4"/>
  <c r="G531" i="4" s="1"/>
  <c r="D524" i="4"/>
  <c r="F524" i="4" s="1"/>
  <c r="E524" i="4"/>
  <c r="G524" i="4" s="1"/>
  <c r="D515" i="4"/>
  <c r="F515" i="4" s="1"/>
  <c r="E515" i="4"/>
  <c r="G515" i="4" s="1"/>
  <c r="D508" i="4"/>
  <c r="F508" i="4" s="1"/>
  <c r="E508" i="4"/>
  <c r="G508" i="4" s="1"/>
  <c r="F505" i="4"/>
  <c r="D498" i="4"/>
  <c r="F498" i="4" s="1"/>
  <c r="E498" i="4"/>
  <c r="G498" i="4" s="1"/>
  <c r="D489" i="4"/>
  <c r="F489" i="4" s="1"/>
  <c r="E489" i="4"/>
  <c r="G489" i="4" s="1"/>
  <c r="F818" i="4"/>
  <c r="F816" i="4"/>
  <c r="F801" i="4"/>
  <c r="F800" i="4"/>
  <c r="F797" i="4"/>
  <c r="F796" i="4"/>
  <c r="F791" i="4"/>
  <c r="F784" i="4"/>
  <c r="F741" i="4"/>
  <c r="F729" i="4"/>
  <c r="F723" i="4"/>
  <c r="F722" i="4"/>
  <c r="F719" i="4"/>
  <c r="F718" i="4"/>
  <c r="F676" i="4"/>
  <c r="F646" i="4"/>
  <c r="F641" i="4"/>
  <c r="F634" i="4"/>
  <c r="F582" i="4"/>
  <c r="F526" i="4"/>
  <c r="F493" i="4"/>
  <c r="F483" i="4"/>
  <c r="E481" i="4"/>
  <c r="G481" i="4" s="1"/>
  <c r="F477" i="4"/>
  <c r="F452" i="4"/>
  <c r="F444" i="4"/>
  <c r="F436" i="4"/>
  <c r="F431" i="4"/>
  <c r="E429" i="4"/>
  <c r="G429" i="4" s="1"/>
  <c r="F427" i="4"/>
  <c r="F418" i="4"/>
  <c r="F416" i="4"/>
  <c r="E412" i="4"/>
  <c r="G412" i="4" s="1"/>
  <c r="F407" i="4"/>
  <c r="E400" i="4"/>
  <c r="G400" i="4" s="1"/>
  <c r="E399" i="4"/>
  <c r="G399" i="4" s="1"/>
  <c r="F369" i="4"/>
  <c r="F368" i="4"/>
  <c r="F354" i="4"/>
  <c r="F350" i="4"/>
  <c r="E348" i="4"/>
  <c r="G348" i="4" s="1"/>
  <c r="D345" i="4"/>
  <c r="F345" i="4" s="1"/>
  <c r="E345" i="4"/>
  <c r="G345" i="4" s="1"/>
  <c r="E343" i="4"/>
  <c r="G343" i="4" s="1"/>
  <c r="E342" i="4"/>
  <c r="G342" i="4" s="1"/>
  <c r="F339" i="4"/>
  <c r="E337" i="4"/>
  <c r="G337" i="4" s="1"/>
  <c r="F333" i="4"/>
  <c r="E322" i="4"/>
  <c r="G322" i="4" s="1"/>
  <c r="E321" i="4"/>
  <c r="G321" i="4" s="1"/>
  <c r="E309" i="4"/>
  <c r="G309" i="4" s="1"/>
  <c r="F305" i="4"/>
  <c r="D283" i="4"/>
  <c r="F283" i="4" s="1"/>
  <c r="E283" i="4"/>
  <c r="G283" i="4" s="1"/>
  <c r="E281" i="4"/>
  <c r="G281" i="4" s="1"/>
  <c r="D267" i="4"/>
  <c r="F267" i="4" s="1"/>
  <c r="E267" i="4"/>
  <c r="G267" i="4" s="1"/>
  <c r="D239" i="4"/>
  <c r="F239" i="4" s="1"/>
  <c r="E239" i="4"/>
  <c r="G239" i="4" s="1"/>
  <c r="F366" i="4"/>
  <c r="D352" i="4"/>
  <c r="F352" i="4" s="1"/>
  <c r="E352" i="4"/>
  <c r="G352" i="4" s="1"/>
  <c r="D346" i="4"/>
  <c r="F346" i="4" s="1"/>
  <c r="E346" i="4"/>
  <c r="G346" i="4" s="1"/>
  <c r="D306" i="4"/>
  <c r="F306" i="4" s="1"/>
  <c r="E306" i="4"/>
  <c r="G306" i="4" s="1"/>
  <c r="D278" i="4"/>
  <c r="F278" i="4" s="1"/>
  <c r="E278" i="4"/>
  <c r="G278" i="4" s="1"/>
  <c r="F654" i="4"/>
  <c r="F653" i="4"/>
  <c r="F638" i="4"/>
  <c r="F618" i="4"/>
  <c r="F568" i="4"/>
  <c r="F560" i="4"/>
  <c r="F552" i="4"/>
  <c r="F534" i="4"/>
  <c r="F530" i="4"/>
  <c r="F529" i="4"/>
  <c r="F475" i="4"/>
  <c r="F467" i="4"/>
  <c r="E463" i="4"/>
  <c r="G463" i="4" s="1"/>
  <c r="F455" i="4"/>
  <c r="E453" i="4"/>
  <c r="G453" i="4" s="1"/>
  <c r="F451" i="4"/>
  <c r="F450" i="4"/>
  <c r="E443" i="4"/>
  <c r="G443" i="4" s="1"/>
  <c r="E437" i="4"/>
  <c r="G437" i="4" s="1"/>
  <c r="F428" i="4"/>
  <c r="E421" i="4"/>
  <c r="G421" i="4" s="1"/>
  <c r="E414" i="4"/>
  <c r="G414" i="4" s="1"/>
  <c r="F411" i="4"/>
  <c r="E409" i="4"/>
  <c r="G409" i="4" s="1"/>
  <c r="F405" i="4"/>
  <c r="F377" i="4"/>
  <c r="E359" i="4"/>
  <c r="G359" i="4" s="1"/>
  <c r="F353" i="4"/>
  <c r="D347" i="4"/>
  <c r="F347" i="4" s="1"/>
  <c r="E347" i="4"/>
  <c r="G347" i="4" s="1"/>
  <c r="F308" i="4"/>
  <c r="D303" i="4"/>
  <c r="F303" i="4" s="1"/>
  <c r="E303" i="4"/>
  <c r="G303" i="4" s="1"/>
  <c r="E301" i="4"/>
  <c r="G301" i="4" s="1"/>
  <c r="E290" i="4"/>
  <c r="G290" i="4" s="1"/>
  <c r="E289" i="4"/>
  <c r="G289" i="4" s="1"/>
  <c r="F279" i="4"/>
  <c r="F259" i="4"/>
  <c r="E253" i="4"/>
  <c r="G253" i="4" s="1"/>
  <c r="E252" i="4"/>
  <c r="G252" i="4" s="1"/>
  <c r="F242" i="4"/>
  <c r="F468" i="4"/>
  <c r="F261" i="4"/>
  <c r="D247" i="4"/>
  <c r="F247" i="4" s="1"/>
  <c r="E247" i="4"/>
  <c r="G247" i="4" s="1"/>
  <c r="F365" i="4"/>
  <c r="F356" i="4"/>
  <c r="F319" i="4"/>
  <c r="F314" i="4"/>
  <c r="F312" i="4"/>
  <c r="E305" i="4"/>
  <c r="G305" i="4" s="1"/>
  <c r="F299" i="4"/>
  <c r="F292" i="4"/>
  <c r="F287" i="4"/>
  <c r="E285" i="4"/>
  <c r="G285" i="4" s="1"/>
  <c r="F273" i="4"/>
  <c r="E271" i="4"/>
  <c r="G271" i="4" s="1"/>
  <c r="E270" i="4"/>
  <c r="G270" i="4" s="1"/>
  <c r="E269" i="4"/>
  <c r="G269" i="4" s="1"/>
  <c r="F265" i="4"/>
  <c r="E263" i="4"/>
  <c r="G263" i="4" s="1"/>
  <c r="E258" i="4"/>
  <c r="G258" i="4" s="1"/>
  <c r="E257" i="4"/>
  <c r="G257" i="4" s="1"/>
  <c r="F237" i="4"/>
  <c r="F233" i="4"/>
  <c r="F229" i="4"/>
  <c r="E224" i="4"/>
  <c r="G224" i="4" s="1"/>
  <c r="F216" i="4"/>
  <c r="F209" i="4"/>
  <c r="E206" i="4"/>
  <c r="G206" i="4" s="1"/>
  <c r="F187" i="4"/>
  <c r="F186" i="4"/>
  <c r="E184" i="4"/>
  <c r="G184" i="4" s="1"/>
  <c r="F173" i="4"/>
  <c r="F172" i="4"/>
  <c r="E170" i="4"/>
  <c r="G170" i="4" s="1"/>
  <c r="E165" i="4"/>
  <c r="G165" i="4" s="1"/>
  <c r="E161" i="4"/>
  <c r="G161" i="4" s="1"/>
  <c r="F159" i="4"/>
  <c r="F158" i="4"/>
  <c r="E156" i="4"/>
  <c r="G156" i="4" s="1"/>
  <c r="E155" i="4"/>
  <c r="G155" i="4" s="1"/>
  <c r="E154" i="4"/>
  <c r="G154" i="4" s="1"/>
  <c r="E147" i="4"/>
  <c r="G147" i="4" s="1"/>
  <c r="E141" i="4"/>
  <c r="G141" i="4" s="1"/>
  <c r="F135" i="4"/>
  <c r="F131" i="4"/>
  <c r="F127" i="4"/>
  <c r="F123" i="4"/>
  <c r="F118" i="4"/>
  <c r="E116" i="4"/>
  <c r="G116" i="4" s="1"/>
  <c r="E111" i="4"/>
  <c r="G111" i="4" s="1"/>
  <c r="E110" i="4"/>
  <c r="G110" i="4" s="1"/>
  <c r="E109" i="4"/>
  <c r="G109" i="4" s="1"/>
  <c r="E108" i="4"/>
  <c r="G108" i="4" s="1"/>
  <c r="G126" i="4"/>
  <c r="F222" i="4"/>
  <c r="F220" i="4"/>
  <c r="F205" i="4"/>
  <c r="E202" i="4"/>
  <c r="G202" i="4" s="1"/>
  <c r="E201" i="4"/>
  <c r="G201" i="4" s="1"/>
  <c r="F193" i="4"/>
  <c r="F191" i="4"/>
  <c r="F190" i="4"/>
  <c r="E188" i="4"/>
  <c r="G188" i="4" s="1"/>
  <c r="F296" i="4"/>
  <c r="F286" i="4"/>
  <c r="F285" i="4"/>
  <c r="F276" i="4"/>
  <c r="F271" i="4"/>
  <c r="F269" i="4"/>
  <c r="F258" i="4"/>
  <c r="F257" i="4"/>
  <c r="F236" i="4"/>
  <c r="F232" i="4"/>
  <c r="F228" i="4"/>
  <c r="F224" i="4"/>
  <c r="E222" i="4"/>
  <c r="G222" i="4" s="1"/>
  <c r="F218" i="4"/>
  <c r="E214" i="4"/>
  <c r="G214" i="4" s="1"/>
  <c r="F197" i="4"/>
  <c r="E194" i="4"/>
  <c r="G194" i="4" s="1"/>
  <c r="E193" i="4"/>
  <c r="G193" i="4" s="1"/>
  <c r="E190" i="4"/>
  <c r="G190" i="4" s="1"/>
  <c r="F185" i="4"/>
  <c r="F184" i="4"/>
  <c r="E179" i="4"/>
  <c r="G179" i="4" s="1"/>
  <c r="F171" i="4"/>
  <c r="F170" i="4"/>
  <c r="E168" i="4"/>
  <c r="G168" i="4" s="1"/>
  <c r="F157" i="4"/>
  <c r="F156" i="4"/>
  <c r="F155" i="4"/>
  <c r="F154" i="4"/>
  <c r="E143" i="4"/>
  <c r="G143" i="4" s="1"/>
  <c r="F108" i="4"/>
  <c r="E939" i="4"/>
  <c r="G939" i="4" s="1"/>
  <c r="F963" i="4"/>
  <c r="E959" i="4"/>
  <c r="G959" i="4" s="1"/>
  <c r="F947" i="4"/>
  <c r="E943" i="4"/>
  <c r="G943" i="4" s="1"/>
  <c r="E963" i="4"/>
  <c r="G963" i="4" s="1"/>
  <c r="F955" i="4"/>
  <c r="E947" i="4"/>
  <c r="G947" i="4" s="1"/>
  <c r="F942" i="4"/>
  <c r="E931" i="4"/>
  <c r="G931" i="4" s="1"/>
  <c r="F926" i="4"/>
  <c r="F924" i="4"/>
  <c r="E922" i="4"/>
  <c r="G922" i="4" s="1"/>
  <c r="E918" i="4"/>
  <c r="G918" i="4" s="1"/>
  <c r="F916" i="4"/>
  <c r="E914" i="4"/>
  <c r="G914" i="4" s="1"/>
  <c r="F912" i="4"/>
  <c r="E910" i="4"/>
  <c r="G910" i="4" s="1"/>
  <c r="F908" i="4"/>
  <c r="E906" i="4"/>
  <c r="G906" i="4" s="1"/>
  <c r="E902" i="4"/>
  <c r="G902" i="4" s="1"/>
  <c r="F900" i="4"/>
  <c r="E898" i="4"/>
  <c r="G898" i="4" s="1"/>
  <c r="F896" i="4"/>
  <c r="E894" i="4"/>
  <c r="G894" i="4" s="1"/>
  <c r="E889" i="4"/>
  <c r="G889" i="4" s="1"/>
  <c r="D887" i="4"/>
  <c r="F887" i="4" s="1"/>
  <c r="E887" i="4"/>
  <c r="G887" i="4" s="1"/>
  <c r="E873" i="4"/>
  <c r="G873" i="4" s="1"/>
  <c r="D871" i="4"/>
  <c r="F871" i="4" s="1"/>
  <c r="E871" i="4"/>
  <c r="G871" i="4" s="1"/>
  <c r="E857" i="4"/>
  <c r="G857" i="4" s="1"/>
  <c r="D855" i="4"/>
  <c r="F855" i="4" s="1"/>
  <c r="E855" i="4"/>
  <c r="G855" i="4" s="1"/>
  <c r="F847" i="4"/>
  <c r="E841" i="4"/>
  <c r="G841" i="4" s="1"/>
  <c r="E840" i="4"/>
  <c r="G840" i="4" s="1"/>
  <c r="E836" i="4"/>
  <c r="G836" i="4" s="1"/>
  <c r="E833" i="4"/>
  <c r="G833" i="4" s="1"/>
  <c r="E829" i="4"/>
  <c r="G829" i="4" s="1"/>
  <c r="D891" i="4"/>
  <c r="F891" i="4" s="1"/>
  <c r="E891" i="4"/>
  <c r="G891" i="4" s="1"/>
  <c r="D875" i="4"/>
  <c r="F875" i="4" s="1"/>
  <c r="E875" i="4"/>
  <c r="G875" i="4" s="1"/>
  <c r="D859" i="4"/>
  <c r="F859" i="4" s="1"/>
  <c r="E859" i="4"/>
  <c r="G859" i="4" s="1"/>
  <c r="D879" i="4"/>
  <c r="F879" i="4" s="1"/>
  <c r="E879" i="4"/>
  <c r="G879" i="4" s="1"/>
  <c r="D863" i="4"/>
  <c r="F863" i="4" s="1"/>
  <c r="E863" i="4"/>
  <c r="G863" i="4" s="1"/>
  <c r="E955" i="4"/>
  <c r="G955" i="4" s="1"/>
  <c r="F930" i="4"/>
  <c r="E927" i="4"/>
  <c r="G927" i="4" s="1"/>
  <c r="F922" i="4"/>
  <c r="F918" i="4"/>
  <c r="F906" i="4"/>
  <c r="F902" i="4"/>
  <c r="F898" i="4"/>
  <c r="E885" i="4"/>
  <c r="G885" i="4" s="1"/>
  <c r="D883" i="4"/>
  <c r="F883" i="4" s="1"/>
  <c r="E883" i="4"/>
  <c r="G883" i="4" s="1"/>
  <c r="E869" i="4"/>
  <c r="G869" i="4" s="1"/>
  <c r="D867" i="4"/>
  <c r="F867" i="4" s="1"/>
  <c r="E867" i="4"/>
  <c r="G867" i="4" s="1"/>
  <c r="E853" i="4"/>
  <c r="G853" i="4" s="1"/>
  <c r="D851" i="4"/>
  <c r="F851" i="4" s="1"/>
  <c r="E851" i="4"/>
  <c r="G851" i="4" s="1"/>
  <c r="E845" i="4"/>
  <c r="G845" i="4" s="1"/>
  <c r="E844" i="4"/>
  <c r="G844" i="4" s="1"/>
  <c r="F843" i="4"/>
  <c r="F828" i="4"/>
  <c r="D805" i="4"/>
  <c r="F805" i="4" s="1"/>
  <c r="E805" i="4"/>
  <c r="G805" i="4" s="1"/>
  <c r="D783" i="4"/>
  <c r="F783" i="4" s="1"/>
  <c r="E783" i="4"/>
  <c r="G783" i="4" s="1"/>
  <c r="F961" i="4"/>
  <c r="F953" i="4"/>
  <c r="F949" i="4"/>
  <c r="G934" i="4"/>
  <c r="F925" i="4"/>
  <c r="F923" i="4"/>
  <c r="F921" i="4"/>
  <c r="F915" i="4"/>
  <c r="F911" i="4"/>
  <c r="F909" i="4"/>
  <c r="F901" i="4"/>
  <c r="F897" i="4"/>
  <c r="F895" i="4"/>
  <c r="F893" i="4"/>
  <c r="F889" i="4"/>
  <c r="F853" i="4"/>
  <c r="F849" i="4"/>
  <c r="E847" i="4"/>
  <c r="G847" i="4" s="1"/>
  <c r="F845" i="4"/>
  <c r="E843" i="4"/>
  <c r="G843" i="4" s="1"/>
  <c r="F841" i="4"/>
  <c r="E839" i="4"/>
  <c r="G839" i="4" s="1"/>
  <c r="E835" i="4"/>
  <c r="G835" i="4" s="1"/>
  <c r="E832" i="4"/>
  <c r="G832" i="4" s="1"/>
  <c r="E828" i="4"/>
  <c r="G828" i="4" s="1"/>
  <c r="E824" i="4"/>
  <c r="G824" i="4" s="1"/>
  <c r="E820" i="4"/>
  <c r="G820" i="4" s="1"/>
  <c r="E816" i="4"/>
  <c r="G816" i="4" s="1"/>
  <c r="E813" i="4"/>
  <c r="G813" i="4" s="1"/>
  <c r="E807" i="4"/>
  <c r="G807" i="4" s="1"/>
  <c r="E795" i="4"/>
  <c r="G795" i="4" s="1"/>
  <c r="E794" i="4"/>
  <c r="G794" i="4" s="1"/>
  <c r="E791" i="4"/>
  <c r="G791" i="4" s="1"/>
  <c r="F789" i="4"/>
  <c r="E785" i="4"/>
  <c r="G785" i="4" s="1"/>
  <c r="E773" i="4"/>
  <c r="G773" i="4" s="1"/>
  <c r="E768" i="4"/>
  <c r="G768" i="4" s="1"/>
  <c r="F766" i="4"/>
  <c r="D761" i="4"/>
  <c r="F761" i="4" s="1"/>
  <c r="E761" i="4"/>
  <c r="G761" i="4" s="1"/>
  <c r="F735" i="4"/>
  <c r="D727" i="4"/>
  <c r="F727" i="4" s="1"/>
  <c r="E727" i="4"/>
  <c r="G727" i="4" s="1"/>
  <c r="E717" i="4"/>
  <c r="G717" i="4" s="1"/>
  <c r="E698" i="4"/>
  <c r="G698" i="4" s="1"/>
  <c r="D685" i="4"/>
  <c r="F685" i="4" s="1"/>
  <c r="E685" i="4"/>
  <c r="G685" i="4" s="1"/>
  <c r="F812" i="4"/>
  <c r="F804" i="4"/>
  <c r="D799" i="4"/>
  <c r="F799" i="4" s="1"/>
  <c r="E799" i="4"/>
  <c r="G799" i="4" s="1"/>
  <c r="F782" i="4"/>
  <c r="D777" i="4"/>
  <c r="F777" i="4" s="1"/>
  <c r="E777" i="4"/>
  <c r="G777" i="4" s="1"/>
  <c r="D751" i="4"/>
  <c r="F751" i="4" s="1"/>
  <c r="E751" i="4"/>
  <c r="G751" i="4" s="1"/>
  <c r="D728" i="4"/>
  <c r="F728" i="4" s="1"/>
  <c r="E728" i="4"/>
  <c r="G728" i="4" s="1"/>
  <c r="D696" i="4"/>
  <c r="F696" i="4" s="1"/>
  <c r="E696" i="4"/>
  <c r="G696" i="4" s="1"/>
  <c r="F692" i="4"/>
  <c r="D687" i="4"/>
  <c r="F687" i="4" s="1"/>
  <c r="E687" i="4"/>
  <c r="G687" i="4" s="1"/>
  <c r="F824" i="4"/>
  <c r="F820" i="4"/>
  <c r="D815" i="4"/>
  <c r="F815" i="4" s="1"/>
  <c r="E815" i="4"/>
  <c r="G815" i="4" s="1"/>
  <c r="D793" i="4"/>
  <c r="F793" i="4" s="1"/>
  <c r="E793" i="4"/>
  <c r="G793" i="4" s="1"/>
  <c r="D767" i="4"/>
  <c r="F767" i="4" s="1"/>
  <c r="E767" i="4"/>
  <c r="G767" i="4" s="1"/>
  <c r="D701" i="4"/>
  <c r="F701" i="4" s="1"/>
  <c r="E701" i="4"/>
  <c r="G701" i="4" s="1"/>
  <c r="D697" i="4"/>
  <c r="F697" i="4" s="1"/>
  <c r="E697" i="4"/>
  <c r="G697" i="4" s="1"/>
  <c r="F684" i="4"/>
  <c r="D745" i="4"/>
  <c r="F745" i="4" s="1"/>
  <c r="E745" i="4"/>
  <c r="G745" i="4" s="1"/>
  <c r="D733" i="4"/>
  <c r="F733" i="4" s="1"/>
  <c r="E733" i="4"/>
  <c r="G733" i="4" s="1"/>
  <c r="D693" i="4"/>
  <c r="F693" i="4" s="1"/>
  <c r="E693" i="4"/>
  <c r="G693" i="4" s="1"/>
  <c r="D702" i="4"/>
  <c r="F702" i="4" s="1"/>
  <c r="E702" i="4"/>
  <c r="G702" i="4" s="1"/>
  <c r="D656" i="4"/>
  <c r="F656" i="4" s="1"/>
  <c r="E656" i="4"/>
  <c r="G656" i="4" s="1"/>
  <c r="F673" i="4"/>
  <c r="F669" i="4"/>
  <c r="F665" i="4"/>
  <c r="F661" i="4"/>
  <c r="F657" i="4"/>
  <c r="D648" i="4"/>
  <c r="F648" i="4" s="1"/>
  <c r="E648" i="4"/>
  <c r="G648" i="4" s="1"/>
  <c r="E646" i="4"/>
  <c r="G646" i="4" s="1"/>
  <c r="D640" i="4"/>
  <c r="F640" i="4" s="1"/>
  <c r="E640" i="4"/>
  <c r="G640" i="4" s="1"/>
  <c r="D636" i="4"/>
  <c r="F636" i="4" s="1"/>
  <c r="E636" i="4"/>
  <c r="G636" i="4" s="1"/>
  <c r="E634" i="4"/>
  <c r="G634" i="4" s="1"/>
  <c r="E620" i="4"/>
  <c r="G620" i="4" s="1"/>
  <c r="F892" i="4"/>
  <c r="F884" i="4"/>
  <c r="F870" i="4"/>
  <c r="F866" i="4"/>
  <c r="F860" i="4"/>
  <c r="F852" i="4"/>
  <c r="F850" i="4"/>
  <c r="F848" i="4"/>
  <c r="F844" i="4"/>
  <c r="F842" i="4"/>
  <c r="F840" i="4"/>
  <c r="F836" i="4"/>
  <c r="F833" i="4"/>
  <c r="F825" i="4"/>
  <c r="F823" i="4"/>
  <c r="F821" i="4"/>
  <c r="F781" i="4"/>
  <c r="F749" i="4"/>
  <c r="F739" i="4"/>
  <c r="F726" i="4"/>
  <c r="D721" i="4"/>
  <c r="F721" i="4" s="1"/>
  <c r="E721" i="4"/>
  <c r="G721" i="4" s="1"/>
  <c r="E673" i="4"/>
  <c r="G673" i="4" s="1"/>
  <c r="E669" i="4"/>
  <c r="G669" i="4" s="1"/>
  <c r="E665" i="4"/>
  <c r="G665" i="4" s="1"/>
  <c r="E661" i="4"/>
  <c r="G661" i="4" s="1"/>
  <c r="E657" i="4"/>
  <c r="G657" i="4" s="1"/>
  <c r="F649" i="4"/>
  <c r="D629" i="4"/>
  <c r="F629" i="4" s="1"/>
  <c r="E629" i="4"/>
  <c r="G629" i="4" s="1"/>
  <c r="D606" i="4"/>
  <c r="F606" i="4" s="1"/>
  <c r="E606" i="4"/>
  <c r="G606" i="4" s="1"/>
  <c r="F679" i="4"/>
  <c r="D592" i="4"/>
  <c r="F592" i="4" s="1"/>
  <c r="E592" i="4"/>
  <c r="G592" i="4" s="1"/>
  <c r="D492" i="4"/>
  <c r="F492" i="4" s="1"/>
  <c r="E492" i="4"/>
  <c r="G492" i="4" s="1"/>
  <c r="F715" i="4"/>
  <c r="D707" i="4"/>
  <c r="F707" i="4" s="1"/>
  <c r="E707" i="4"/>
  <c r="G707" i="4" s="1"/>
  <c r="F700" i="4"/>
  <c r="D695" i="4"/>
  <c r="F695" i="4" s="1"/>
  <c r="E695" i="4"/>
  <c r="G695" i="4" s="1"/>
  <c r="F680" i="4"/>
  <c r="F645" i="4"/>
  <c r="F626" i="4"/>
  <c r="D608" i="4"/>
  <c r="F608" i="4" s="1"/>
  <c r="E608" i="4"/>
  <c r="G608" i="4" s="1"/>
  <c r="F604" i="4"/>
  <c r="F601" i="4"/>
  <c r="E584" i="4"/>
  <c r="G584" i="4" s="1"/>
  <c r="F581" i="4"/>
  <c r="F558" i="4"/>
  <c r="D543" i="4"/>
  <c r="F543" i="4" s="1"/>
  <c r="E543" i="4"/>
  <c r="G543" i="4" s="1"/>
  <c r="E513" i="4"/>
  <c r="G513" i="4" s="1"/>
  <c r="D510" i="4"/>
  <c r="F510" i="4" s="1"/>
  <c r="E510" i="4"/>
  <c r="G510" i="4" s="1"/>
  <c r="F642" i="4"/>
  <c r="D624" i="4"/>
  <c r="F624" i="4" s="1"/>
  <c r="E624" i="4"/>
  <c r="G624" i="4" s="1"/>
  <c r="F620" i="4"/>
  <c r="F617" i="4"/>
  <c r="F609" i="4"/>
  <c r="F578" i="4"/>
  <c r="D544" i="4"/>
  <c r="F544" i="4" s="1"/>
  <c r="E544" i="4"/>
  <c r="G544" i="4" s="1"/>
  <c r="D511" i="4"/>
  <c r="F511" i="4" s="1"/>
  <c r="E511" i="4"/>
  <c r="G511" i="4" s="1"/>
  <c r="D490" i="4"/>
  <c r="F490" i="4" s="1"/>
  <c r="E490" i="4"/>
  <c r="G490" i="4" s="1"/>
  <c r="D484" i="4"/>
  <c r="F484" i="4" s="1"/>
  <c r="E484" i="4"/>
  <c r="G484" i="4" s="1"/>
  <c r="D576" i="4"/>
  <c r="F576" i="4" s="1"/>
  <c r="E576" i="4"/>
  <c r="G576" i="4" s="1"/>
  <c r="F537" i="4"/>
  <c r="E530" i="4"/>
  <c r="G530" i="4" s="1"/>
  <c r="D512" i="4"/>
  <c r="F512" i="4" s="1"/>
  <c r="E512" i="4"/>
  <c r="G512" i="4" s="1"/>
  <c r="D491" i="4"/>
  <c r="F491" i="4" s="1"/>
  <c r="E491" i="4"/>
  <c r="G491" i="4" s="1"/>
  <c r="F705" i="4"/>
  <c r="F689" i="4"/>
  <c r="F683" i="4"/>
  <c r="F682" i="4"/>
  <c r="F584" i="4"/>
  <c r="E568" i="4"/>
  <c r="G568" i="4" s="1"/>
  <c r="E560" i="4"/>
  <c r="G560" i="4" s="1"/>
  <c r="E552" i="4"/>
  <c r="G552" i="4" s="1"/>
  <c r="F517" i="4"/>
  <c r="F504" i="4"/>
  <c r="F503" i="4"/>
  <c r="F502" i="4"/>
  <c r="E496" i="4"/>
  <c r="G496" i="4" s="1"/>
  <c r="E495" i="4"/>
  <c r="G495" i="4" s="1"/>
  <c r="E494" i="4"/>
  <c r="G494" i="4" s="1"/>
  <c r="E488" i="4"/>
  <c r="G488" i="4" s="1"/>
  <c r="E487" i="4"/>
  <c r="G487" i="4" s="1"/>
  <c r="E486" i="4"/>
  <c r="G486" i="4" s="1"/>
  <c r="E480" i="4"/>
  <c r="G480" i="4" s="1"/>
  <c r="E479" i="4"/>
  <c r="G479" i="4" s="1"/>
  <c r="E478" i="4"/>
  <c r="G478" i="4" s="1"/>
  <c r="E472" i="4"/>
  <c r="G472" i="4" s="1"/>
  <c r="E471" i="4"/>
  <c r="G471" i="4" s="1"/>
  <c r="E470" i="4"/>
  <c r="G470" i="4" s="1"/>
  <c r="E469" i="4"/>
  <c r="G469" i="4" s="1"/>
  <c r="E459" i="4"/>
  <c r="G459" i="4" s="1"/>
  <c r="D454" i="4"/>
  <c r="F454" i="4" s="1"/>
  <c r="E454" i="4"/>
  <c r="G454" i="4" s="1"/>
  <c r="F448" i="4"/>
  <c r="F447" i="4"/>
  <c r="F442" i="4"/>
  <c r="E439" i="4"/>
  <c r="G439" i="4" s="1"/>
  <c r="E436" i="4"/>
  <c r="G436" i="4" s="1"/>
  <c r="E433" i="4"/>
  <c r="G433" i="4" s="1"/>
  <c r="E427" i="4"/>
  <c r="G427" i="4" s="1"/>
  <c r="D422" i="4"/>
  <c r="F422" i="4" s="1"/>
  <c r="E422" i="4"/>
  <c r="G422" i="4" s="1"/>
  <c r="E405" i="4"/>
  <c r="G405" i="4" s="1"/>
  <c r="F403" i="4"/>
  <c r="D398" i="4"/>
  <c r="F398" i="4" s="1"/>
  <c r="E398" i="4"/>
  <c r="G398" i="4" s="1"/>
  <c r="D388" i="4"/>
  <c r="F388" i="4" s="1"/>
  <c r="E388" i="4"/>
  <c r="G388" i="4" s="1"/>
  <c r="E383" i="4"/>
  <c r="G383" i="4" s="1"/>
  <c r="E374" i="4"/>
  <c r="G374" i="4" s="1"/>
  <c r="D367" i="4"/>
  <c r="F367" i="4" s="1"/>
  <c r="E367" i="4"/>
  <c r="G367" i="4" s="1"/>
  <c r="D355" i="4"/>
  <c r="F355" i="4" s="1"/>
  <c r="E355" i="4"/>
  <c r="G355" i="4" s="1"/>
  <c r="E341" i="4"/>
  <c r="G341" i="4" s="1"/>
  <c r="E333" i="4"/>
  <c r="G333" i="4" s="1"/>
  <c r="E319" i="4"/>
  <c r="G319" i="4" s="1"/>
  <c r="D462" i="4"/>
  <c r="F462" i="4" s="1"/>
  <c r="E462" i="4"/>
  <c r="G462" i="4" s="1"/>
  <c r="D430" i="4"/>
  <c r="F430" i="4" s="1"/>
  <c r="E430" i="4"/>
  <c r="G430" i="4" s="1"/>
  <c r="D390" i="4"/>
  <c r="F390" i="4" s="1"/>
  <c r="E390" i="4"/>
  <c r="G390" i="4" s="1"/>
  <c r="D380" i="4"/>
  <c r="F380" i="4" s="1"/>
  <c r="E380" i="4"/>
  <c r="G380" i="4" s="1"/>
  <c r="D371" i="4"/>
  <c r="F371" i="4" s="1"/>
  <c r="E371" i="4"/>
  <c r="G371" i="4" s="1"/>
  <c r="D338" i="4"/>
  <c r="F338" i="4" s="1"/>
  <c r="E338" i="4"/>
  <c r="G338" i="4" s="1"/>
  <c r="D330" i="4"/>
  <c r="F330" i="4" s="1"/>
  <c r="E330" i="4"/>
  <c r="G330" i="4" s="1"/>
  <c r="F535" i="4"/>
  <c r="F528" i="4"/>
  <c r="F527" i="4"/>
  <c r="F520" i="4"/>
  <c r="F519" i="4"/>
  <c r="F518" i="4"/>
  <c r="E483" i="4"/>
  <c r="G483" i="4" s="1"/>
  <c r="E482" i="4"/>
  <c r="G482" i="4" s="1"/>
  <c r="E476" i="4"/>
  <c r="G476" i="4" s="1"/>
  <c r="E475" i="4"/>
  <c r="G475" i="4" s="1"/>
  <c r="E474" i="4"/>
  <c r="G474" i="4" s="1"/>
  <c r="D465" i="4"/>
  <c r="F465" i="4" s="1"/>
  <c r="E465" i="4"/>
  <c r="G465" i="4" s="1"/>
  <c r="F458" i="4"/>
  <c r="F457" i="4"/>
  <c r="E455" i="4"/>
  <c r="G455" i="4" s="1"/>
  <c r="E452" i="4"/>
  <c r="G452" i="4" s="1"/>
  <c r="E449" i="4"/>
  <c r="G449" i="4" s="1"/>
  <c r="D438" i="4"/>
  <c r="F438" i="4" s="1"/>
  <c r="E438" i="4"/>
  <c r="G438" i="4" s="1"/>
  <c r="D404" i="4"/>
  <c r="F404" i="4" s="1"/>
  <c r="E404" i="4"/>
  <c r="G404" i="4" s="1"/>
  <c r="D382" i="4"/>
  <c r="F382" i="4" s="1"/>
  <c r="E382" i="4"/>
  <c r="G382" i="4" s="1"/>
  <c r="D318" i="4"/>
  <c r="F318" i="4" s="1"/>
  <c r="E318" i="4"/>
  <c r="G318" i="4" s="1"/>
  <c r="E536" i="4"/>
  <c r="G536" i="4" s="1"/>
  <c r="E535" i="4"/>
  <c r="G535" i="4" s="1"/>
  <c r="E528" i="4"/>
  <c r="G528" i="4" s="1"/>
  <c r="E527" i="4"/>
  <c r="G527" i="4" s="1"/>
  <c r="E520" i="4"/>
  <c r="G520" i="4" s="1"/>
  <c r="E519" i="4"/>
  <c r="G519" i="4" s="1"/>
  <c r="E518" i="4"/>
  <c r="G518" i="4" s="1"/>
  <c r="F496" i="4"/>
  <c r="F495" i="4"/>
  <c r="F494" i="4"/>
  <c r="F488" i="4"/>
  <c r="F487" i="4"/>
  <c r="F486" i="4"/>
  <c r="F480" i="4"/>
  <c r="F479" i="4"/>
  <c r="F478" i="4"/>
  <c r="F472" i="4"/>
  <c r="F471" i="4"/>
  <c r="F469" i="4"/>
  <c r="D466" i="4"/>
  <c r="F466" i="4" s="1"/>
  <c r="E466" i="4"/>
  <c r="G466" i="4" s="1"/>
  <c r="E460" i="4"/>
  <c r="G460" i="4" s="1"/>
  <c r="E457" i="4"/>
  <c r="G457" i="4" s="1"/>
  <c r="E451" i="4"/>
  <c r="G451" i="4" s="1"/>
  <c r="D446" i="4"/>
  <c r="F446" i="4" s="1"/>
  <c r="E446" i="4"/>
  <c r="G446" i="4" s="1"/>
  <c r="F440" i="4"/>
  <c r="F439" i="4"/>
  <c r="F434" i="4"/>
  <c r="F433" i="4"/>
  <c r="E431" i="4"/>
  <c r="G431" i="4" s="1"/>
  <c r="E428" i="4"/>
  <c r="G428" i="4" s="1"/>
  <c r="E425" i="4"/>
  <c r="G425" i="4" s="1"/>
  <c r="D420" i="4"/>
  <c r="F420" i="4" s="1"/>
  <c r="E420" i="4"/>
  <c r="G420" i="4" s="1"/>
  <c r="E411" i="4"/>
  <c r="G411" i="4" s="1"/>
  <c r="D406" i="4"/>
  <c r="F406" i="4" s="1"/>
  <c r="E406" i="4"/>
  <c r="G406" i="4" s="1"/>
  <c r="D396" i="4"/>
  <c r="F396" i="4" s="1"/>
  <c r="E396" i="4"/>
  <c r="G396" i="4" s="1"/>
  <c r="E391" i="4"/>
  <c r="G391" i="4" s="1"/>
  <c r="E381" i="4"/>
  <c r="G381" i="4" s="1"/>
  <c r="F379" i="4"/>
  <c r="E372" i="4"/>
  <c r="G372" i="4" s="1"/>
  <c r="F370" i="4"/>
  <c r="E358" i="4"/>
  <c r="G358" i="4" s="1"/>
  <c r="D351" i="4"/>
  <c r="F351" i="4" s="1"/>
  <c r="E351" i="4"/>
  <c r="G351" i="4" s="1"/>
  <c r="E339" i="4"/>
  <c r="G339" i="4" s="1"/>
  <c r="D334" i="4"/>
  <c r="F334" i="4" s="1"/>
  <c r="E334" i="4"/>
  <c r="G334" i="4" s="1"/>
  <c r="E331" i="4"/>
  <c r="G331" i="4" s="1"/>
  <c r="F327" i="4"/>
  <c r="E317" i="4"/>
  <c r="G317" i="4" s="1"/>
  <c r="D298" i="4"/>
  <c r="F298" i="4" s="1"/>
  <c r="E298" i="4"/>
  <c r="G298" i="4" s="1"/>
  <c r="F412" i="4"/>
  <c r="F410" i="4"/>
  <c r="F408" i="4"/>
  <c r="F402" i="4"/>
  <c r="F392" i="4"/>
  <c r="F359" i="4"/>
  <c r="F357" i="4"/>
  <c r="F326" i="4"/>
  <c r="F316" i="4"/>
  <c r="F304" i="4"/>
  <c r="F294" i="4"/>
  <c r="E286" i="4"/>
  <c r="G286" i="4" s="1"/>
  <c r="F284" i="4"/>
  <c r="G277" i="4"/>
  <c r="G275" i="4"/>
  <c r="F274" i="4"/>
  <c r="F272" i="4"/>
  <c r="E266" i="4"/>
  <c r="G266" i="4" s="1"/>
  <c r="E265" i="4"/>
  <c r="G265" i="4" s="1"/>
  <c r="E255" i="4"/>
  <c r="G255" i="4" s="1"/>
  <c r="D248" i="4"/>
  <c r="F248" i="4" s="1"/>
  <c r="E248" i="4"/>
  <c r="G248" i="4" s="1"/>
  <c r="D240" i="4"/>
  <c r="F240" i="4" s="1"/>
  <c r="E240" i="4"/>
  <c r="G240" i="4" s="1"/>
  <c r="E237" i="4"/>
  <c r="G237" i="4" s="1"/>
  <c r="E236" i="4"/>
  <c r="G236" i="4" s="1"/>
  <c r="E235" i="4"/>
  <c r="G235" i="4" s="1"/>
  <c r="E234" i="4"/>
  <c r="G234" i="4" s="1"/>
  <c r="E233" i="4"/>
  <c r="G233" i="4" s="1"/>
  <c r="E232" i="4"/>
  <c r="G232" i="4" s="1"/>
  <c r="E231" i="4"/>
  <c r="G231" i="4" s="1"/>
  <c r="E230" i="4"/>
  <c r="G230" i="4" s="1"/>
  <c r="E229" i="4"/>
  <c r="G229" i="4" s="1"/>
  <c r="E228" i="4"/>
  <c r="G228" i="4" s="1"/>
  <c r="E226" i="4"/>
  <c r="G226" i="4" s="1"/>
  <c r="E213" i="4"/>
  <c r="G213" i="4" s="1"/>
  <c r="E197" i="4"/>
  <c r="G197" i="4" s="1"/>
  <c r="F297" i="4"/>
  <c r="F295" i="4"/>
  <c r="D262" i="4"/>
  <c r="F262" i="4" s="1"/>
  <c r="E262" i="4"/>
  <c r="G262" i="4" s="1"/>
  <c r="F249" i="4"/>
  <c r="F241" i="4"/>
  <c r="F212" i="4"/>
  <c r="F196" i="4"/>
  <c r="F426" i="4"/>
  <c r="F424" i="4"/>
  <c r="F414" i="4"/>
  <c r="F400" i="4"/>
  <c r="F384" i="4"/>
  <c r="F375" i="4"/>
  <c r="F373" i="4"/>
  <c r="F363" i="4"/>
  <c r="F361" i="4"/>
  <c r="F343" i="4"/>
  <c r="F342" i="4"/>
  <c r="F332" i="4"/>
  <c r="F322" i="4"/>
  <c r="F320" i="4"/>
  <c r="E314" i="4"/>
  <c r="G314" i="4" s="1"/>
  <c r="F310" i="4"/>
  <c r="E302" i="4"/>
  <c r="G302" i="4" s="1"/>
  <c r="F300" i="4"/>
  <c r="F290" i="4"/>
  <c r="F288" i="4"/>
  <c r="E282" i="4"/>
  <c r="G282" i="4" s="1"/>
  <c r="F264" i="4"/>
  <c r="F263" i="4"/>
  <c r="F254" i="4"/>
  <c r="F253" i="4"/>
  <c r="F244" i="4"/>
  <c r="E220" i="4"/>
  <c r="G220" i="4" s="1"/>
  <c r="E218" i="4"/>
  <c r="G218" i="4" s="1"/>
  <c r="F207" i="4"/>
  <c r="E205" i="4"/>
  <c r="G205" i="4" s="1"/>
  <c r="F200" i="4"/>
  <c r="F204" i="4"/>
  <c r="F270" i="4"/>
  <c r="F260" i="4"/>
  <c r="F252" i="4"/>
  <c r="F246" i="4"/>
  <c r="F214" i="4"/>
  <c r="F210" i="4"/>
  <c r="F206" i="4"/>
  <c r="F202" i="4"/>
  <c r="F198" i="4"/>
  <c r="F194" i="4"/>
  <c r="E189" i="4"/>
  <c r="G189" i="4" s="1"/>
  <c r="E185" i="4"/>
  <c r="G185" i="4" s="1"/>
  <c r="F183" i="4"/>
  <c r="F179" i="4"/>
  <c r="E171" i="4"/>
  <c r="G171" i="4" s="1"/>
  <c r="F165" i="4"/>
  <c r="F161" i="4"/>
  <c r="E157" i="4"/>
  <c r="G157" i="4" s="1"/>
  <c r="F151" i="4"/>
  <c r="F147" i="4"/>
  <c r="F143" i="4"/>
  <c r="F139" i="4"/>
  <c r="E135" i="4"/>
  <c r="G135" i="4" s="1"/>
  <c r="E131" i="4"/>
  <c r="G131" i="4" s="1"/>
  <c r="E127" i="4"/>
  <c r="G127" i="4" s="1"/>
  <c r="E123" i="4"/>
  <c r="G123" i="4" s="1"/>
  <c r="F121" i="4"/>
  <c r="E118" i="4"/>
  <c r="G118" i="4" s="1"/>
  <c r="E115" i="4"/>
  <c r="G115" i="4" s="1"/>
  <c r="F114" i="4"/>
  <c r="F113" i="4"/>
  <c r="F166" i="4"/>
  <c r="F162" i="4"/>
  <c r="F148" i="4"/>
  <c r="F144" i="4"/>
  <c r="F140" i="4"/>
  <c r="F238" i="4"/>
  <c r="E187" i="4"/>
  <c r="G187" i="4" s="1"/>
  <c r="F181" i="4"/>
  <c r="F177" i="4"/>
  <c r="E173" i="4"/>
  <c r="G173" i="4" s="1"/>
  <c r="E169" i="4"/>
  <c r="G169" i="4" s="1"/>
  <c r="F167" i="4"/>
  <c r="F163" i="4"/>
  <c r="F145" i="4"/>
  <c r="F141" i="4"/>
  <c r="F115" i="4"/>
  <c r="F960" i="4"/>
  <c r="F952" i="4"/>
  <c r="F948" i="4"/>
  <c r="F958" i="4"/>
  <c r="F954" i="4"/>
  <c r="F950" i="4"/>
  <c r="F943" i="4"/>
  <c r="F939" i="4"/>
  <c r="D655" i="4"/>
  <c r="F655" i="4" s="1"/>
  <c r="E655" i="4"/>
  <c r="G655" i="4" s="1"/>
  <c r="D651" i="4"/>
  <c r="F651" i="4" s="1"/>
  <c r="E651" i="4"/>
  <c r="G651" i="4" s="1"/>
  <c r="D647" i="4"/>
  <c r="F647" i="4" s="1"/>
  <c r="E647" i="4"/>
  <c r="G647" i="4" s="1"/>
  <c r="D643" i="4"/>
  <c r="F643" i="4" s="1"/>
  <c r="E643" i="4"/>
  <c r="G643" i="4" s="1"/>
  <c r="D639" i="4"/>
  <c r="F639" i="4" s="1"/>
  <c r="E639" i="4"/>
  <c r="G639" i="4" s="1"/>
  <c r="D635" i="4"/>
  <c r="F635" i="4" s="1"/>
  <c r="E635" i="4"/>
  <c r="G635" i="4" s="1"/>
  <c r="D631" i="4"/>
  <c r="F631" i="4" s="1"/>
  <c r="E631" i="4"/>
  <c r="G631" i="4" s="1"/>
  <c r="D627" i="4"/>
  <c r="F627" i="4" s="1"/>
  <c r="E627" i="4"/>
  <c r="G627" i="4" s="1"/>
  <c r="D623" i="4"/>
  <c r="F623" i="4" s="1"/>
  <c r="E623" i="4"/>
  <c r="G623" i="4" s="1"/>
  <c r="D619" i="4"/>
  <c r="F619" i="4" s="1"/>
  <c r="E619" i="4"/>
  <c r="G619" i="4" s="1"/>
  <c r="D615" i="4"/>
  <c r="F615" i="4" s="1"/>
  <c r="E615" i="4"/>
  <c r="G615" i="4" s="1"/>
  <c r="D611" i="4"/>
  <c r="F611" i="4" s="1"/>
  <c r="E611" i="4"/>
  <c r="G611" i="4" s="1"/>
  <c r="D607" i="4"/>
  <c r="F607" i="4" s="1"/>
  <c r="E607" i="4"/>
  <c r="G607" i="4" s="1"/>
  <c r="D603" i="4"/>
  <c r="F603" i="4" s="1"/>
  <c r="E603" i="4"/>
  <c r="G603" i="4" s="1"/>
  <c r="D599" i="4"/>
  <c r="F599" i="4" s="1"/>
  <c r="E599" i="4"/>
  <c r="G599" i="4" s="1"/>
  <c r="D595" i="4"/>
  <c r="F595" i="4" s="1"/>
  <c r="E595" i="4"/>
  <c r="G595" i="4" s="1"/>
  <c r="D591" i="4"/>
  <c r="F591" i="4" s="1"/>
  <c r="E591" i="4"/>
  <c r="G591" i="4" s="1"/>
  <c r="D587" i="4"/>
  <c r="F587" i="4" s="1"/>
  <c r="E587" i="4"/>
  <c r="G587" i="4" s="1"/>
  <c r="D583" i="4"/>
  <c r="F583" i="4" s="1"/>
  <c r="E583" i="4"/>
  <c r="G583" i="4" s="1"/>
  <c r="D579" i="4"/>
  <c r="F579" i="4" s="1"/>
  <c r="E579" i="4"/>
  <c r="G579" i="4" s="1"/>
  <c r="D575" i="4"/>
  <c r="F575" i="4" s="1"/>
  <c r="E575" i="4"/>
  <c r="G575" i="4" s="1"/>
  <c r="D567" i="4"/>
  <c r="F567" i="4" s="1"/>
  <c r="E567" i="4"/>
  <c r="G567" i="4" s="1"/>
  <c r="D559" i="4"/>
  <c r="F559" i="4" s="1"/>
  <c r="E559" i="4"/>
  <c r="G559" i="4" s="1"/>
  <c r="D551" i="4"/>
  <c r="F551" i="4" s="1"/>
  <c r="E551" i="4"/>
  <c r="G551" i="4" s="1"/>
  <c r="E735" i="4"/>
  <c r="G735" i="4" s="1"/>
  <c r="E676" i="4"/>
  <c r="G676" i="4" s="1"/>
  <c r="D571" i="4"/>
  <c r="F571" i="4" s="1"/>
  <c r="E571" i="4"/>
  <c r="G571" i="4" s="1"/>
  <c r="D563" i="4"/>
  <c r="F563" i="4" s="1"/>
  <c r="E563" i="4"/>
  <c r="G563" i="4" s="1"/>
  <c r="D555" i="4"/>
  <c r="F555" i="4" s="1"/>
  <c r="E555" i="4"/>
  <c r="G555" i="4" s="1"/>
  <c r="E456" i="4"/>
  <c r="G456" i="4" s="1"/>
  <c r="E448" i="4"/>
  <c r="G448" i="4" s="1"/>
  <c r="E440" i="4"/>
  <c r="G440" i="4" s="1"/>
  <c r="E432" i="4"/>
  <c r="G432" i="4" s="1"/>
  <c r="E424" i="4"/>
  <c r="G424" i="4" s="1"/>
  <c r="E416" i="4"/>
  <c r="G416" i="4" s="1"/>
  <c r="E408" i="4"/>
  <c r="G408" i="4" s="1"/>
  <c r="E458" i="4"/>
  <c r="G458" i="4" s="1"/>
  <c r="E450" i="4"/>
  <c r="G450" i="4" s="1"/>
  <c r="E442" i="4"/>
  <c r="G442" i="4" s="1"/>
  <c r="E434" i="4"/>
  <c r="G434" i="4" s="1"/>
  <c r="E426" i="4"/>
  <c r="G426" i="4" s="1"/>
  <c r="E418" i="4"/>
  <c r="G418" i="4" s="1"/>
  <c r="E410" i="4"/>
  <c r="G410" i="4" s="1"/>
  <c r="D336" i="4"/>
  <c r="F336" i="4" s="1"/>
  <c r="E336" i="4"/>
  <c r="G336" i="4" s="1"/>
  <c r="E373" i="4"/>
  <c r="G373" i="4" s="1"/>
  <c r="E365" i="4"/>
  <c r="G365" i="4" s="1"/>
  <c r="E357" i="4"/>
  <c r="G357" i="4" s="1"/>
  <c r="E349" i="4"/>
  <c r="G349" i="4" s="1"/>
  <c r="D340" i="4"/>
  <c r="F340" i="4" s="1"/>
  <c r="E340" i="4"/>
  <c r="G340" i="4" s="1"/>
  <c r="D328" i="4"/>
  <c r="F328" i="4" s="1"/>
  <c r="E328" i="4"/>
  <c r="G328" i="4" s="1"/>
  <c r="E369" i="4"/>
  <c r="G369" i="4" s="1"/>
  <c r="E361" i="4"/>
  <c r="G361" i="4" s="1"/>
  <c r="E353" i="4"/>
  <c r="G353" i="4" s="1"/>
  <c r="D344" i="4"/>
  <c r="F344" i="4" s="1"/>
  <c r="E344" i="4"/>
  <c r="G344" i="4" s="1"/>
  <c r="E320" i="4"/>
  <c r="G320" i="4" s="1"/>
  <c r="E312" i="4"/>
  <c r="G312" i="4" s="1"/>
  <c r="E304" i="4"/>
  <c r="G304" i="4" s="1"/>
  <c r="E296" i="4"/>
  <c r="G296" i="4" s="1"/>
  <c r="E288" i="4"/>
  <c r="G288" i="4" s="1"/>
  <c r="E280" i="4"/>
  <c r="G280" i="4" s="1"/>
  <c r="E272" i="4"/>
  <c r="G272" i="4" s="1"/>
  <c r="E264" i="4"/>
  <c r="G264" i="4" s="1"/>
  <c r="E256" i="4"/>
  <c r="G256" i="4" s="1"/>
  <c r="E332" i="4"/>
  <c r="G332" i="4" s="1"/>
  <c r="E324" i="4"/>
  <c r="G324" i="4" s="1"/>
  <c r="E316" i="4"/>
  <c r="G316" i="4" s="1"/>
  <c r="E308" i="4"/>
  <c r="G308" i="4" s="1"/>
  <c r="E300" i="4"/>
  <c r="G300" i="4" s="1"/>
  <c r="E292" i="4"/>
  <c r="G292" i="4" s="1"/>
  <c r="E284" i="4"/>
  <c r="G284" i="4" s="1"/>
  <c r="E276" i="4"/>
  <c r="G276" i="4" s="1"/>
  <c r="E268" i="4"/>
  <c r="G268" i="4" s="1"/>
  <c r="E260" i="4"/>
  <c r="G260" i="4" s="1"/>
  <c r="E254" i="4"/>
  <c r="G254" i="4" s="1"/>
  <c r="E250" i="4"/>
  <c r="G250" i="4" s="1"/>
  <c r="E246" i="4"/>
  <c r="G246" i="4" s="1"/>
  <c r="E242" i="4"/>
  <c r="G242" i="4" s="1"/>
  <c r="E238" i="4"/>
  <c r="G238" i="4" s="1"/>
  <c r="E191" i="4"/>
  <c r="G191" i="4" s="1"/>
  <c r="E183" i="4"/>
  <c r="G183" i="4" s="1"/>
  <c r="E175" i="4"/>
  <c r="G175" i="4" s="1"/>
  <c r="E167" i="4"/>
  <c r="G167" i="4" s="1"/>
  <c r="E159" i="4"/>
  <c r="G159" i="4" s="1"/>
  <c r="E153" i="4"/>
  <c r="G153" i="4" s="1"/>
  <c r="E137" i="4"/>
  <c r="G137" i="4" s="1"/>
  <c r="E121" i="4"/>
  <c r="G121" i="4" s="1"/>
  <c r="E117" i="4"/>
  <c r="G117" i="4" s="1"/>
  <c r="C43" i="3"/>
  <c r="H962" i="4" l="1"/>
  <c r="H952" i="4"/>
  <c r="H150" i="4"/>
  <c r="H965" i="4"/>
  <c r="H941" i="4"/>
  <c r="H961" i="4"/>
  <c r="H362" i="4"/>
  <c r="H578" i="4"/>
  <c r="H204" i="4"/>
  <c r="H818" i="4"/>
  <c r="H917" i="4"/>
  <c r="H951" i="4"/>
  <c r="H936" i="4"/>
  <c r="H502" i="4"/>
  <c r="H716" i="4"/>
  <c r="H718" i="4"/>
  <c r="H925" i="4"/>
  <c r="H958" i="4"/>
  <c r="H151" i="4"/>
  <c r="H241" i="4"/>
  <c r="H178" i="4"/>
  <c r="H788" i="4"/>
  <c r="H923" i="4"/>
  <c r="H662" i="4"/>
  <c r="H180" i="4"/>
  <c r="H637" i="4"/>
  <c r="H752" i="4"/>
  <c r="H950" i="4"/>
  <c r="H932" i="4"/>
  <c r="H924" i="4"/>
  <c r="H194" i="4"/>
  <c r="H798" i="4"/>
  <c r="H681" i="4"/>
  <c r="H181" i="4"/>
  <c r="H172" i="4"/>
  <c r="H732" i="4"/>
  <c r="H641" i="4"/>
  <c r="H741" i="4"/>
  <c r="H546" i="4"/>
  <c r="H617" i="4"/>
  <c r="H621" i="4"/>
  <c r="H954" i="4"/>
  <c r="H322" i="4"/>
  <c r="H852" i="4"/>
  <c r="H216" i="4"/>
  <c r="H199" i="4"/>
  <c r="H148" i="4"/>
  <c r="H705" i="4"/>
  <c r="H638" i="4"/>
  <c r="H523" i="4"/>
  <c r="H569" i="4"/>
  <c r="H758" i="4"/>
  <c r="H809" i="4"/>
  <c r="H686" i="4"/>
  <c r="H162" i="4"/>
  <c r="H212" i="4"/>
  <c r="H609" i="4"/>
  <c r="H812" i="4"/>
  <c r="H653" i="4"/>
  <c r="H723" i="4"/>
  <c r="H784" i="4"/>
  <c r="H800" i="4"/>
  <c r="H505" i="4"/>
  <c r="H916" i="4"/>
  <c r="H963" i="4"/>
  <c r="H939" i="4"/>
  <c r="H915" i="4"/>
  <c r="H166" i="4"/>
  <c r="H132" i="4"/>
  <c r="H866" i="4"/>
  <c r="H274" i="4"/>
  <c r="H326" i="4"/>
  <c r="H368" i="4"/>
  <c r="H444" i="4"/>
  <c r="H801" i="4"/>
  <c r="H293" i="4"/>
  <c r="H385" i="4"/>
  <c r="H307" i="4"/>
  <c r="H771" i="4"/>
  <c r="H790" i="4"/>
  <c r="H461" i="4"/>
  <c r="H392" i="4"/>
  <c r="H604" i="4"/>
  <c r="H726" i="4"/>
  <c r="H900" i="4"/>
  <c r="H209" i="4"/>
  <c r="H287" i="4"/>
  <c r="H468" i="4"/>
  <c r="H313" i="4"/>
  <c r="H215" i="4"/>
  <c r="H124" i="4"/>
  <c r="H192" i="4"/>
  <c r="H244" i="4"/>
  <c r="H198" i="4"/>
  <c r="H375" i="4"/>
  <c r="H379" i="4"/>
  <c r="H503" i="4"/>
  <c r="H739" i="4"/>
  <c r="H892" i="4"/>
  <c r="H908" i="4"/>
  <c r="H186" i="4"/>
  <c r="H654" i="4"/>
  <c r="H526" i="4"/>
  <c r="H582" i="4"/>
  <c r="H776" i="4"/>
  <c r="H720" i="4"/>
  <c r="H532" i="4"/>
  <c r="H141" i="4"/>
  <c r="H479" i="4"/>
  <c r="H488" i="4"/>
  <c r="H165" i="4"/>
  <c r="H202" i="4"/>
  <c r="H860" i="4"/>
  <c r="H493" i="4"/>
  <c r="H270" i="4"/>
  <c r="H414" i="4"/>
  <c r="H258" i="4"/>
  <c r="H144" i="4"/>
  <c r="H170" i="4"/>
  <c r="H163" i="4"/>
  <c r="H177" i="4"/>
  <c r="H210" i="4"/>
  <c r="H679" i="4"/>
  <c r="H848" i="4"/>
  <c r="H895" i="4"/>
  <c r="H911" i="4"/>
  <c r="H902" i="4"/>
  <c r="H796" i="4"/>
  <c r="H586" i="4"/>
  <c r="H214" i="4"/>
  <c r="H275" i="4"/>
  <c r="H889" i="4"/>
  <c r="H897" i="4"/>
  <c r="H943" i="4"/>
  <c r="H948" i="4"/>
  <c r="H937" i="4"/>
  <c r="H960" i="4"/>
  <c r="H252" i="4"/>
  <c r="H310" i="4"/>
  <c r="H363" i="4"/>
  <c r="H394" i="4"/>
  <c r="H441" i="4"/>
  <c r="H278" i="4"/>
  <c r="H780" i="4"/>
  <c r="H179" i="4"/>
  <c r="H342" i="4"/>
  <c r="H400" i="4"/>
  <c r="H517" i="4"/>
  <c r="H821" i="4"/>
  <c r="H934" i="4"/>
  <c r="H896" i="4"/>
  <c r="H297" i="4"/>
  <c r="H412" i="4"/>
  <c r="H515" i="4"/>
  <c r="H781" i="4"/>
  <c r="H912" i="4"/>
  <c r="H377" i="4"/>
  <c r="H722" i="4"/>
  <c r="H714" i="4"/>
  <c r="H114" i="4"/>
  <c r="H263" i="4"/>
  <c r="H249" i="4"/>
  <c r="H472" i="4"/>
  <c r="H486" i="4"/>
  <c r="H495" i="4"/>
  <c r="H572" i="4"/>
  <c r="H683" i="4"/>
  <c r="H537" i="4"/>
  <c r="H677" i="4"/>
  <c r="H299" i="4"/>
  <c r="H729" i="4"/>
  <c r="H145" i="4"/>
  <c r="H140" i="4"/>
  <c r="H295" i="4"/>
  <c r="H622" i="4"/>
  <c r="H680" i="4"/>
  <c r="H649" i="4"/>
  <c r="H825" i="4"/>
  <c r="H884" i="4"/>
  <c r="H766" i="4"/>
  <c r="H849" i="4"/>
  <c r="H356" i="4"/>
  <c r="H710" i="4"/>
  <c r="H253" i="4"/>
  <c r="H290" i="4"/>
  <c r="H402" i="4"/>
  <c r="H447" i="4"/>
  <c r="H504" i="4"/>
  <c r="H787" i="4"/>
  <c r="H747" i="4"/>
  <c r="H529" i="4"/>
  <c r="H668" i="4"/>
  <c r="H335" i="4"/>
  <c r="H628" i="4"/>
  <c r="H343" i="4"/>
  <c r="H674" i="4"/>
  <c r="H227" i="4"/>
  <c r="H395" i="4"/>
  <c r="H182" i="4"/>
  <c r="H206" i="4"/>
  <c r="H200" i="4"/>
  <c r="H359" i="4"/>
  <c r="H524" i="4"/>
  <c r="H539" i="4"/>
  <c r="H645" i="4"/>
  <c r="H749" i="4"/>
  <c r="H269" i="4"/>
  <c r="H467" i="4"/>
  <c r="H573" i="4"/>
  <c r="H360" i="4"/>
  <c r="H223" i="4"/>
  <c r="H949" i="4"/>
  <c r="H940" i="4"/>
  <c r="H964" i="4"/>
  <c r="H494" i="4"/>
  <c r="H155" i="4"/>
  <c r="H224" i="4"/>
  <c r="H285" i="4"/>
  <c r="H298" i="4"/>
  <c r="H351" i="4"/>
  <c r="H396" i="4"/>
  <c r="H490" i="4"/>
  <c r="H544" i="4"/>
  <c r="H836" i="4"/>
  <c r="H701" i="4"/>
  <c r="H793" i="4"/>
  <c r="H918" i="4"/>
  <c r="H471" i="4"/>
  <c r="H480" i="4"/>
  <c r="H128" i="4"/>
  <c r="H947" i="4"/>
  <c r="H942" i="4"/>
  <c r="H945" i="4"/>
  <c r="H920" i="4"/>
  <c r="H921" i="4"/>
  <c r="H510" i="4"/>
  <c r="H648" i="4"/>
  <c r="H909" i="4"/>
  <c r="H508" i="4"/>
  <c r="H540" i="4"/>
  <c r="H731" i="4"/>
  <c r="H746" i="4"/>
  <c r="H497" i="4"/>
  <c r="H632" i="4"/>
  <c r="H743" i="4"/>
  <c r="H803" i="4"/>
  <c r="H473" i="4"/>
  <c r="H506" i="4"/>
  <c r="H588" i="4"/>
  <c r="H616" i="4"/>
  <c r="H397" i="4"/>
  <c r="H115" i="4"/>
  <c r="H384" i="4"/>
  <c r="H439" i="4"/>
  <c r="H462" i="4"/>
  <c r="H454" i="4"/>
  <c r="H491" i="4"/>
  <c r="H601" i="4"/>
  <c r="H608" i="4"/>
  <c r="H629" i="4"/>
  <c r="H721" i="4"/>
  <c r="H844" i="4"/>
  <c r="H805" i="4"/>
  <c r="H883" i="4"/>
  <c r="H855" i="4"/>
  <c r="H772" i="4"/>
  <c r="H744" i="4"/>
  <c r="H176" i="4"/>
  <c r="H545" i="4"/>
  <c r="H659" i="4"/>
  <c r="H808" i="4"/>
  <c r="H564" i="4"/>
  <c r="H775" i="4"/>
  <c r="H861" i="4"/>
  <c r="H694" i="4"/>
  <c r="H561" i="4"/>
  <c r="H203" i="4"/>
  <c r="H724" i="4"/>
  <c r="H340" i="4"/>
  <c r="H563" i="4"/>
  <c r="H559" i="4"/>
  <c r="H575" i="4"/>
  <c r="H583" i="4"/>
  <c r="H591" i="4"/>
  <c r="H599" i="4"/>
  <c r="H607" i="4"/>
  <c r="H615" i="4"/>
  <c r="H623" i="4"/>
  <c r="H631" i="4"/>
  <c r="H639" i="4"/>
  <c r="H647" i="4"/>
  <c r="H655" i="4"/>
  <c r="H433" i="4"/>
  <c r="H345" i="4"/>
  <c r="H514" i="4"/>
  <c r="H164" i="4"/>
  <c r="H211" i="4"/>
  <c r="H136" i="4"/>
  <c r="H246" i="4"/>
  <c r="H300" i="4"/>
  <c r="H320" i="4"/>
  <c r="H357" i="4"/>
  <c r="H465" i="4"/>
  <c r="H520" i="4"/>
  <c r="H512" i="4"/>
  <c r="H707" i="4"/>
  <c r="H606" i="4"/>
  <c r="H782" i="4"/>
  <c r="H804" i="4"/>
  <c r="H685" i="4"/>
  <c r="H727" i="4"/>
  <c r="H845" i="4"/>
  <c r="H783" i="4"/>
  <c r="H843" i="4"/>
  <c r="H851" i="4"/>
  <c r="H898" i="4"/>
  <c r="H922" i="4"/>
  <c r="H887" i="4"/>
  <c r="H233" i="4"/>
  <c r="H314" i="4"/>
  <c r="H306" i="4"/>
  <c r="H352" i="4"/>
  <c r="H239" i="4"/>
  <c r="H541" i="4"/>
  <c r="H550" i="4"/>
  <c r="H837" i="4"/>
  <c r="H770" i="4"/>
  <c r="H667" i="4"/>
  <c r="H712" i="4"/>
  <c r="H556" i="4"/>
  <c r="H938" i="4"/>
  <c r="H931" i="4"/>
  <c r="H717" i="4"/>
  <c r="H903" i="4"/>
  <c r="H672" i="4"/>
  <c r="H740" i="4"/>
  <c r="H443" i="4"/>
  <c r="H126" i="4"/>
  <c r="H959" i="4"/>
  <c r="H946" i="4"/>
  <c r="H933" i="4"/>
  <c r="H957" i="4"/>
  <c r="H956" i="4"/>
  <c r="H327" i="4"/>
  <c r="H406" i="4"/>
  <c r="H446" i="4"/>
  <c r="H576" i="4"/>
  <c r="H484" i="4"/>
  <c r="H511" i="4"/>
  <c r="H642" i="4"/>
  <c r="H695" i="4"/>
  <c r="H715" i="4"/>
  <c r="H842" i="4"/>
  <c r="H661" i="4"/>
  <c r="H697" i="4"/>
  <c r="H767" i="4"/>
  <c r="H815" i="4"/>
  <c r="H687" i="4"/>
  <c r="H751" i="4"/>
  <c r="H841" i="4"/>
  <c r="H953" i="4"/>
  <c r="H926" i="4"/>
  <c r="H190" i="4"/>
  <c r="H247" i="4"/>
  <c r="H531" i="4"/>
  <c r="H734" i="4"/>
  <c r="H547" i="4"/>
  <c r="H737" i="4"/>
  <c r="H769" i="4"/>
  <c r="H507" i="4"/>
  <c r="H548" i="4"/>
  <c r="H612" i="4"/>
  <c r="H738" i="4"/>
  <c r="H711" i="4"/>
  <c r="H671" i="4"/>
  <c r="H755" i="4"/>
  <c r="H500" i="4"/>
  <c r="H522" i="4"/>
  <c r="H597" i="4"/>
  <c r="H822" i="4"/>
  <c r="H251" i="4"/>
  <c r="H417" i="4"/>
  <c r="H389" i="4"/>
  <c r="H291" i="4"/>
  <c r="H691" i="4"/>
  <c r="H690" i="4"/>
  <c r="H827" i="4"/>
  <c r="H759" i="4"/>
  <c r="H774" i="4"/>
  <c r="H763" i="4"/>
  <c r="H882" i="4"/>
  <c r="H935" i="4"/>
  <c r="H704" i="4"/>
  <c r="H449" i="4"/>
  <c r="H929" i="4"/>
  <c r="H928" i="4"/>
  <c r="H944" i="4"/>
  <c r="H919" i="4"/>
  <c r="H587" i="4"/>
  <c r="H595" i="4"/>
  <c r="H603" i="4"/>
  <c r="H611" i="4"/>
  <c r="H619" i="4"/>
  <c r="H627" i="4"/>
  <c r="H635" i="4"/>
  <c r="H643" i="4"/>
  <c r="H651" i="4"/>
  <c r="H288" i="4"/>
  <c r="H410" i="4"/>
  <c r="H906" i="4"/>
  <c r="H930" i="4"/>
  <c r="H955" i="4"/>
  <c r="H411" i="4"/>
  <c r="H475" i="4"/>
  <c r="H346" i="4"/>
  <c r="H267" i="4"/>
  <c r="H305" i="4"/>
  <c r="H350" i="4"/>
  <c r="H753" i="4"/>
  <c r="H675" i="4"/>
  <c r="H538" i="4"/>
  <c r="H762" i="4"/>
  <c r="H831" i="4"/>
  <c r="H865" i="4"/>
  <c r="H880" i="4"/>
  <c r="H764" i="4"/>
  <c r="H858" i="4"/>
  <c r="H890" i="4"/>
  <c r="H542" i="4"/>
  <c r="H706" i="4"/>
  <c r="H168" i="4"/>
  <c r="H341" i="4"/>
  <c r="H374" i="4"/>
  <c r="H440" i="4"/>
  <c r="H669" i="4"/>
  <c r="H684" i="4"/>
  <c r="H276" i="4"/>
  <c r="H193" i="4"/>
  <c r="H220" i="4"/>
  <c r="H365" i="4"/>
  <c r="H259" i="4"/>
  <c r="H226" i="4"/>
  <c r="H399" i="4"/>
  <c r="H525" i="4"/>
  <c r="H476" i="4"/>
  <c r="H557" i="4"/>
  <c r="H633" i="4"/>
  <c r="H736" i="4"/>
  <c r="H813" i="4"/>
  <c r="H894" i="4"/>
  <c r="H437" i="4"/>
  <c r="H463" i="4"/>
  <c r="H927" i="4"/>
  <c r="H254" i="4"/>
  <c r="H344" i="4"/>
  <c r="H238" i="4"/>
  <c r="H113" i="4"/>
  <c r="H121" i="4"/>
  <c r="H361" i="4"/>
  <c r="H424" i="4"/>
  <c r="H262" i="4"/>
  <c r="H403" i="4"/>
  <c r="H448" i="4"/>
  <c r="H626" i="4"/>
  <c r="H847" i="4"/>
  <c r="H108" i="4"/>
  <c r="H185" i="4"/>
  <c r="H197" i="4"/>
  <c r="H292" i="4"/>
  <c r="H208" i="4"/>
  <c r="H913" i="4"/>
  <c r="H245" i="4"/>
  <c r="H129" i="4"/>
  <c r="H120" i="4"/>
  <c r="H652" i="4"/>
  <c r="H328" i="4"/>
  <c r="H336" i="4"/>
  <c r="H555" i="4"/>
  <c r="H551" i="4"/>
  <c r="H579" i="4"/>
  <c r="H152" i="4"/>
  <c r="H260" i="4"/>
  <c r="H332" i="4"/>
  <c r="H426" i="4"/>
  <c r="H304" i="4"/>
  <c r="H370" i="4"/>
  <c r="H434" i="4"/>
  <c r="H131" i="4"/>
  <c r="H159" i="4"/>
  <c r="H187" i="4"/>
  <c r="H819" i="4"/>
  <c r="H835" i="4"/>
  <c r="H282" i="4"/>
  <c r="H501" i="4"/>
  <c r="H899" i="4"/>
  <c r="H605" i="4"/>
  <c r="H393" i="4"/>
  <c r="H846" i="4"/>
  <c r="H169" i="4"/>
  <c r="H213" i="4"/>
  <c r="H230" i="4"/>
  <c r="H147" i="4"/>
  <c r="H236" i="4"/>
  <c r="H456" i="4"/>
  <c r="H571" i="4"/>
  <c r="H567" i="4"/>
  <c r="H139" i="4"/>
  <c r="H167" i="4"/>
  <c r="H700" i="4"/>
  <c r="H552" i="4"/>
  <c r="H333" i="4"/>
  <c r="H416" i="4"/>
  <c r="H431" i="4"/>
  <c r="H886" i="4"/>
  <c r="H658" i="4"/>
  <c r="H280" i="4"/>
  <c r="H577" i="4"/>
  <c r="H143" i="4"/>
  <c r="H161" i="4"/>
  <c r="H183" i="4"/>
  <c r="H207" i="4"/>
  <c r="H264" i="4"/>
  <c r="H373" i="4"/>
  <c r="H196" i="4"/>
  <c r="H240" i="4"/>
  <c r="H294" i="4"/>
  <c r="H316" i="4"/>
  <c r="H466" i="4"/>
  <c r="H478" i="4"/>
  <c r="H487" i="4"/>
  <c r="H496" i="4"/>
  <c r="H382" i="4"/>
  <c r="H438" i="4"/>
  <c r="H457" i="4"/>
  <c r="H527" i="4"/>
  <c r="H330" i="4"/>
  <c r="H371" i="4"/>
  <c r="H390" i="4"/>
  <c r="H367" i="4"/>
  <c r="H388" i="4"/>
  <c r="H442" i="4"/>
  <c r="H584" i="4"/>
  <c r="H620" i="4"/>
  <c r="H543" i="4"/>
  <c r="H492" i="4"/>
  <c r="H833" i="4"/>
  <c r="H636" i="4"/>
  <c r="H665" i="4"/>
  <c r="H656" i="4"/>
  <c r="H693" i="4"/>
  <c r="H745" i="4"/>
  <c r="H820" i="4"/>
  <c r="H692" i="4"/>
  <c r="H728" i="4"/>
  <c r="H735" i="4"/>
  <c r="H761" i="4"/>
  <c r="H863" i="4"/>
  <c r="H859" i="4"/>
  <c r="H891" i="4"/>
  <c r="H871" i="4"/>
  <c r="H156" i="4"/>
  <c r="H171" i="4"/>
  <c r="H222" i="4"/>
  <c r="H118" i="4"/>
  <c r="H135" i="4"/>
  <c r="H173" i="4"/>
  <c r="H237" i="4"/>
  <c r="H265" i="4"/>
  <c r="H273" i="4"/>
  <c r="H319" i="4"/>
  <c r="H242" i="4"/>
  <c r="H279" i="4"/>
  <c r="H347" i="4"/>
  <c r="H455" i="4"/>
  <c r="H560" i="4"/>
  <c r="H354" i="4"/>
  <c r="H418" i="4"/>
  <c r="H436" i="4"/>
  <c r="H477" i="4"/>
  <c r="H646" i="4"/>
  <c r="H797" i="4"/>
  <c r="H489" i="4"/>
  <c r="H590" i="4"/>
  <c r="H613" i="4"/>
  <c r="H725" i="4"/>
  <c r="H554" i="4"/>
  <c r="H585" i="4"/>
  <c r="H593" i="4"/>
  <c r="H688" i="4"/>
  <c r="H765" i="4"/>
  <c r="H811" i="4"/>
  <c r="H499" i="4"/>
  <c r="H521" i="4"/>
  <c r="H814" i="4"/>
  <c r="H830" i="4"/>
  <c r="H112" i="4"/>
  <c r="H255" i="4"/>
  <c r="H315" i="4"/>
  <c r="H348" i="4"/>
  <c r="H419" i="4"/>
  <c r="H460" i="4"/>
  <c r="H549" i="4"/>
  <c r="H323" i="4"/>
  <c r="H481" i="4"/>
  <c r="H757" i="4"/>
  <c r="H817" i="4"/>
  <c r="H910" i="4"/>
  <c r="H387" i="4"/>
  <c r="H703" i="4"/>
  <c r="H386" i="4"/>
  <c r="H423" i="4"/>
  <c r="H709" i="4"/>
  <c r="H786" i="4"/>
  <c r="H854" i="4"/>
  <c r="H664" i="4"/>
  <c r="H868" i="4"/>
  <c r="H553" i="4"/>
  <c r="H864" i="4"/>
  <c r="H756" i="4"/>
  <c r="H779" i="4"/>
  <c r="H778" i="4"/>
  <c r="H111" i="4"/>
  <c r="H349" i="4"/>
  <c r="H421" i="4"/>
  <c r="H580" i="4"/>
  <c r="H785" i="4"/>
  <c r="H838" i="4"/>
  <c r="H885" i="4"/>
  <c r="H302" i="4"/>
  <c r="H372" i="4"/>
  <c r="H409" i="4"/>
  <c r="H754" i="4"/>
  <c r="H862" i="4"/>
  <c r="H904" i="4"/>
  <c r="H832" i="4"/>
  <c r="H217" i="4"/>
  <c r="H536" i="4"/>
  <c r="H708" i="4"/>
  <c r="H773" i="4"/>
  <c r="H234" i="4"/>
  <c r="H453" i="4"/>
  <c r="H562" i="4"/>
  <c r="H857" i="4"/>
  <c r="H750" i="4"/>
  <c r="H905" i="4"/>
  <c r="H256" i="4"/>
  <c r="H513" i="4"/>
  <c r="H221" i="4"/>
  <c r="H630" i="4"/>
  <c r="H160" i="4"/>
  <c r="H153" i="4"/>
  <c r="H149" i="4"/>
  <c r="H137" i="4"/>
  <c r="H281" i="4"/>
  <c r="H110" i="4"/>
  <c r="H125" i="4"/>
  <c r="H134" i="4"/>
  <c r="H469" i="4"/>
  <c r="H458" i="4"/>
  <c r="H518" i="4"/>
  <c r="H528" i="4"/>
  <c r="H689" i="4"/>
  <c r="H558" i="4"/>
  <c r="H824" i="4"/>
  <c r="H789" i="4"/>
  <c r="H901" i="4"/>
  <c r="H157" i="4"/>
  <c r="H218" i="4"/>
  <c r="H228" i="4"/>
  <c r="H286" i="4"/>
  <c r="H123" i="4"/>
  <c r="H303" i="4"/>
  <c r="H353" i="4"/>
  <c r="H405" i="4"/>
  <c r="H450" i="4"/>
  <c r="H530" i="4"/>
  <c r="H568" i="4"/>
  <c r="H339" i="4"/>
  <c r="H369" i="4"/>
  <c r="H407" i="4"/>
  <c r="H427" i="4"/>
  <c r="H719" i="4"/>
  <c r="H816" i="4"/>
  <c r="H730" i="4"/>
  <c r="H794" i="4"/>
  <c r="H810" i="4"/>
  <c r="H311" i="4"/>
  <c r="H329" i="4"/>
  <c r="H195" i="4"/>
  <c r="H231" i="4"/>
  <c r="H268" i="4"/>
  <c r="H325" i="4"/>
  <c r="H425" i="4"/>
  <c r="H470" i="4"/>
  <c r="H594" i="4"/>
  <c r="H566" i="4"/>
  <c r="H698" i="4"/>
  <c r="H768" i="4"/>
  <c r="H829" i="4"/>
  <c r="H914" i="4"/>
  <c r="H464" i="4"/>
  <c r="H795" i="4"/>
  <c r="H614" i="4"/>
  <c r="H869" i="4"/>
  <c r="H826" i="4"/>
  <c r="H874" i="4"/>
  <c r="H119" i="4"/>
  <c r="H364" i="4"/>
  <c r="H188" i="4"/>
  <c r="H289" i="4"/>
  <c r="H381" i="4"/>
  <c r="H324" i="4"/>
  <c r="H413" i="4"/>
  <c r="H565" i="4"/>
  <c r="H888" i="4"/>
  <c r="H760" i="4"/>
  <c r="H881" i="4"/>
  <c r="H174" i="4"/>
  <c r="H201" i="4"/>
  <c r="H219" i="4"/>
  <c r="H317" i="4"/>
  <c r="H358" i="4"/>
  <c r="H678" i="4"/>
  <c r="H878" i="4"/>
  <c r="H301" i="4"/>
  <c r="H610" i="4"/>
  <c r="H138" i="4"/>
  <c r="H189" i="4"/>
  <c r="H266" i="4"/>
  <c r="H175" i="4"/>
  <c r="H142" i="4"/>
  <c r="H122" i="4"/>
  <c r="H116" i="4"/>
  <c r="H133" i="4"/>
  <c r="H802" i="4"/>
  <c r="H277" i="4"/>
  <c r="H248" i="4"/>
  <c r="H272" i="4"/>
  <c r="H284" i="4"/>
  <c r="H408" i="4"/>
  <c r="H334" i="4"/>
  <c r="H420" i="4"/>
  <c r="H318" i="4"/>
  <c r="H404" i="4"/>
  <c r="H519" i="4"/>
  <c r="H535" i="4"/>
  <c r="H338" i="4"/>
  <c r="H380" i="4"/>
  <c r="H430" i="4"/>
  <c r="H355" i="4"/>
  <c r="H398" i="4"/>
  <c r="H422" i="4"/>
  <c r="H682" i="4"/>
  <c r="H699" i="4"/>
  <c r="H624" i="4"/>
  <c r="H581" i="4"/>
  <c r="H592" i="4"/>
  <c r="H823" i="4"/>
  <c r="H840" i="4"/>
  <c r="H850" i="4"/>
  <c r="H870" i="4"/>
  <c r="H640" i="4"/>
  <c r="H657" i="4"/>
  <c r="H673" i="4"/>
  <c r="H702" i="4"/>
  <c r="H733" i="4"/>
  <c r="H696" i="4"/>
  <c r="H777" i="4"/>
  <c r="H799" i="4"/>
  <c r="H853" i="4"/>
  <c r="H893" i="4"/>
  <c r="H828" i="4"/>
  <c r="H867" i="4"/>
  <c r="H879" i="4"/>
  <c r="H875" i="4"/>
  <c r="H154" i="4"/>
  <c r="H184" i="4"/>
  <c r="H232" i="4"/>
  <c r="H257" i="4"/>
  <c r="H271" i="4"/>
  <c r="H296" i="4"/>
  <c r="H191" i="4"/>
  <c r="H205" i="4"/>
  <c r="H127" i="4"/>
  <c r="H158" i="4"/>
  <c r="H229" i="4"/>
  <c r="H312" i="4"/>
  <c r="H261" i="4"/>
  <c r="H308" i="4"/>
  <c r="H428" i="4"/>
  <c r="H451" i="4"/>
  <c r="H534" i="4"/>
  <c r="H618" i="4"/>
  <c r="H366" i="4"/>
  <c r="H283" i="4"/>
  <c r="H452" i="4"/>
  <c r="H483" i="4"/>
  <c r="H634" i="4"/>
  <c r="H676" i="4"/>
  <c r="H791" i="4"/>
  <c r="H498" i="4"/>
  <c r="H600" i="4"/>
  <c r="H570" i="4"/>
  <c r="H589" i="4"/>
  <c r="H650" i="4"/>
  <c r="H670" i="4"/>
  <c r="H807" i="4"/>
  <c r="H806" i="4"/>
  <c r="H516" i="4"/>
  <c r="H574" i="4"/>
  <c r="H596" i="4"/>
  <c r="H663" i="4"/>
  <c r="H146" i="4"/>
  <c r="H117" i="4"/>
  <c r="H225" i="4"/>
  <c r="H235" i="4"/>
  <c r="H331" i="4"/>
  <c r="H391" i="4"/>
  <c r="H429" i="4"/>
  <c r="H482" i="4"/>
  <c r="H598" i="4"/>
  <c r="H435" i="4"/>
  <c r="H485" i="4"/>
  <c r="H625" i="4"/>
  <c r="H792" i="4"/>
  <c r="H839" i="4"/>
  <c r="H432" i="4"/>
  <c r="H459" i="4"/>
  <c r="H666" i="4"/>
  <c r="H509" i="4"/>
  <c r="H876" i="4"/>
  <c r="H877" i="4"/>
  <c r="H378" i="4"/>
  <c r="H250" i="4"/>
  <c r="H309" i="4"/>
  <c r="H337" i="4"/>
  <c r="H401" i="4"/>
  <c r="H748" i="4"/>
  <c r="H834" i="4"/>
  <c r="H856" i="4"/>
  <c r="H907" i="4"/>
  <c r="H383" i="4"/>
  <c r="H873" i="4"/>
  <c r="H602" i="4"/>
  <c r="H376" i="4"/>
  <c r="H660" i="4"/>
  <c r="H742" i="4"/>
  <c r="H243" i="4"/>
  <c r="H321" i="4"/>
  <c r="H474" i="4"/>
  <c r="H713" i="4"/>
  <c r="H533" i="4"/>
  <c r="H415" i="4"/>
  <c r="H872" i="4"/>
  <c r="H445" i="4"/>
  <c r="H109" i="4"/>
  <c r="H130" i="4"/>
  <c r="H644" i="4"/>
  <c r="C42" i="3"/>
  <c r="C41" i="3" l="1"/>
  <c r="C38" i="3" l="1"/>
  <c r="C39" i="3"/>
  <c r="C40" i="3"/>
  <c r="C37" i="3" l="1"/>
  <c r="C36" i="3" l="1"/>
  <c r="C20" i="3"/>
  <c r="C17" i="3"/>
  <c r="C2" i="3" l="1"/>
  <c r="C4" i="3" l="1"/>
  <c r="C5" i="3"/>
  <c r="C6" i="3"/>
  <c r="C7" i="3"/>
  <c r="C8" i="3"/>
  <c r="C9" i="3"/>
  <c r="C10" i="3"/>
  <c r="C11" i="3"/>
  <c r="C12" i="3"/>
  <c r="C13" i="3"/>
  <c r="C14" i="3"/>
  <c r="C15" i="3"/>
  <c r="C16" i="3"/>
  <c r="C18" i="3"/>
  <c r="C19" i="3"/>
  <c r="C21" i="3"/>
  <c r="C22" i="3"/>
  <c r="C23" i="3"/>
  <c r="C32" i="3"/>
  <c r="C33" i="3"/>
  <c r="C34" i="3"/>
  <c r="C35" i="3"/>
  <c r="C24" i="3"/>
  <c r="C25" i="3"/>
  <c r="C26" i="3"/>
  <c r="C27" i="3"/>
  <c r="C28" i="3"/>
  <c r="C29" i="3"/>
  <c r="C30" i="3"/>
  <c r="C31" i="3"/>
  <c r="C3" i="3"/>
  <c r="B4" i="4" l="1"/>
  <c r="C4" i="4"/>
  <c r="B5" i="4"/>
  <c r="C5" i="4"/>
  <c r="B6" i="4"/>
  <c r="C6" i="4"/>
  <c r="B7" i="4"/>
  <c r="C7" i="4"/>
  <c r="B8" i="4"/>
  <c r="C8" i="4"/>
  <c r="B9" i="4"/>
  <c r="C9" i="4"/>
  <c r="B10" i="4"/>
  <c r="C10" i="4"/>
  <c r="B11" i="4"/>
  <c r="C11" i="4"/>
  <c r="B12" i="4"/>
  <c r="C12" i="4"/>
  <c r="B13" i="4"/>
  <c r="C13" i="4"/>
  <c r="B14" i="4"/>
  <c r="C14" i="4"/>
  <c r="B15" i="4"/>
  <c r="C15" i="4"/>
  <c r="B16" i="4"/>
  <c r="C16" i="4"/>
  <c r="B17" i="4"/>
  <c r="C17" i="4"/>
  <c r="B18" i="4"/>
  <c r="C18" i="4"/>
  <c r="B19" i="4"/>
  <c r="C19" i="4"/>
  <c r="B20" i="4"/>
  <c r="C20" i="4"/>
  <c r="B21" i="4"/>
  <c r="C21" i="4"/>
  <c r="B22" i="4"/>
  <c r="C22" i="4"/>
  <c r="B23" i="4"/>
  <c r="C23" i="4"/>
  <c r="B24" i="4"/>
  <c r="C24" i="4"/>
  <c r="B25" i="4"/>
  <c r="C25" i="4"/>
  <c r="B26" i="4"/>
  <c r="C26" i="4"/>
  <c r="B27" i="4"/>
  <c r="C27" i="4"/>
  <c r="B28" i="4"/>
  <c r="C28" i="4"/>
  <c r="B29" i="4"/>
  <c r="C29" i="4"/>
  <c r="B30" i="4"/>
  <c r="C30" i="4"/>
  <c r="B31" i="4"/>
  <c r="C31" i="4"/>
  <c r="B32" i="4"/>
  <c r="C32" i="4"/>
  <c r="B33" i="4"/>
  <c r="C33" i="4"/>
  <c r="B34" i="4"/>
  <c r="C34" i="4"/>
  <c r="B35" i="4"/>
  <c r="C35" i="4"/>
  <c r="B36" i="4"/>
  <c r="C36" i="4"/>
  <c r="B37" i="4"/>
  <c r="C37" i="4"/>
  <c r="B38" i="4"/>
  <c r="C38" i="4"/>
  <c r="B39" i="4"/>
  <c r="C39" i="4"/>
  <c r="B40" i="4"/>
  <c r="C40" i="4"/>
  <c r="B41" i="4"/>
  <c r="C41" i="4"/>
  <c r="B42" i="4"/>
  <c r="C42" i="4"/>
  <c r="B43" i="4"/>
  <c r="C43" i="4"/>
  <c r="B44" i="4"/>
  <c r="C44" i="4"/>
  <c r="B45" i="4"/>
  <c r="C45" i="4"/>
  <c r="B46" i="4"/>
  <c r="C46" i="4"/>
  <c r="B47" i="4"/>
  <c r="C47" i="4"/>
  <c r="B48" i="4"/>
  <c r="C48" i="4"/>
  <c r="B49" i="4"/>
  <c r="C49" i="4"/>
  <c r="B50" i="4"/>
  <c r="C50" i="4"/>
  <c r="B51" i="4"/>
  <c r="C51" i="4"/>
  <c r="B52" i="4"/>
  <c r="C52" i="4"/>
  <c r="B53" i="4"/>
  <c r="C53" i="4"/>
  <c r="B54" i="4"/>
  <c r="C54" i="4"/>
  <c r="B55" i="4"/>
  <c r="C55" i="4"/>
  <c r="B56" i="4"/>
  <c r="C56" i="4"/>
  <c r="B57" i="4"/>
  <c r="C57" i="4"/>
  <c r="B58" i="4"/>
  <c r="C58" i="4"/>
  <c r="B59" i="4"/>
  <c r="C59" i="4"/>
  <c r="B60" i="4"/>
  <c r="C60" i="4"/>
  <c r="B61" i="4"/>
  <c r="C61" i="4"/>
  <c r="B62" i="4"/>
  <c r="C62" i="4"/>
  <c r="B63" i="4"/>
  <c r="C63" i="4"/>
  <c r="B64" i="4"/>
  <c r="C64" i="4"/>
  <c r="B65" i="4"/>
  <c r="C65" i="4"/>
  <c r="B66" i="4"/>
  <c r="C66" i="4"/>
  <c r="B67" i="4"/>
  <c r="C67" i="4"/>
  <c r="B68" i="4"/>
  <c r="C68" i="4"/>
  <c r="B69" i="4"/>
  <c r="C69" i="4"/>
  <c r="B70" i="4"/>
  <c r="C70" i="4"/>
  <c r="B71" i="4"/>
  <c r="C71" i="4"/>
  <c r="B72" i="4"/>
  <c r="C72" i="4"/>
  <c r="B73" i="4"/>
  <c r="C73" i="4"/>
  <c r="B74" i="4"/>
  <c r="C74" i="4"/>
  <c r="B75" i="4"/>
  <c r="C75" i="4"/>
  <c r="B76" i="4"/>
  <c r="C76" i="4"/>
  <c r="B77" i="4"/>
  <c r="C77" i="4"/>
  <c r="B78" i="4"/>
  <c r="C78" i="4"/>
  <c r="B79" i="4"/>
  <c r="C79" i="4"/>
  <c r="B80" i="4"/>
  <c r="C80" i="4"/>
  <c r="B81" i="4"/>
  <c r="C81" i="4"/>
  <c r="B82" i="4"/>
  <c r="C82" i="4"/>
  <c r="B83" i="4"/>
  <c r="C83" i="4"/>
  <c r="B84" i="4"/>
  <c r="C84" i="4"/>
  <c r="B85" i="4"/>
  <c r="C85" i="4"/>
  <c r="B86" i="4"/>
  <c r="C86" i="4"/>
  <c r="B87" i="4"/>
  <c r="C87" i="4"/>
  <c r="B88" i="4"/>
  <c r="C88" i="4"/>
  <c r="B89" i="4"/>
  <c r="C89" i="4"/>
  <c r="B90" i="4"/>
  <c r="C90" i="4"/>
  <c r="B91" i="4"/>
  <c r="C91" i="4"/>
  <c r="B92" i="4"/>
  <c r="C92" i="4"/>
  <c r="B93" i="4"/>
  <c r="C93" i="4"/>
  <c r="B94" i="4"/>
  <c r="C94" i="4"/>
  <c r="B95" i="4"/>
  <c r="C95" i="4"/>
  <c r="B96" i="4"/>
  <c r="C96" i="4"/>
  <c r="B97" i="4"/>
  <c r="C97" i="4"/>
  <c r="B98" i="4"/>
  <c r="C98" i="4"/>
  <c r="B99" i="4"/>
  <c r="C99" i="4"/>
  <c r="B100" i="4"/>
  <c r="C100" i="4"/>
  <c r="B101" i="4"/>
  <c r="C101" i="4"/>
  <c r="B102" i="4"/>
  <c r="C102" i="4"/>
  <c r="B103" i="4"/>
  <c r="C103" i="4"/>
  <c r="B104" i="4"/>
  <c r="C104" i="4"/>
  <c r="B105" i="4"/>
  <c r="C105" i="4"/>
  <c r="B106" i="4"/>
  <c r="C106" i="4"/>
  <c r="B107" i="4"/>
  <c r="C107" i="4"/>
  <c r="C3" i="4"/>
  <c r="B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3" i="4"/>
  <c r="F956" i="2" l="1"/>
  <c r="F1019" i="2"/>
  <c r="F1025" i="2"/>
  <c r="F1032" i="2"/>
  <c r="F1037" i="2"/>
  <c r="F955" i="2"/>
  <c r="F961" i="2"/>
  <c r="F964" i="2"/>
  <c r="F967" i="2"/>
  <c r="F970" i="2"/>
  <c r="F973" i="2"/>
  <c r="F976" i="2"/>
  <c r="F979" i="2"/>
  <c r="F983" i="2"/>
  <c r="F986" i="2"/>
  <c r="F989" i="2"/>
  <c r="F993" i="2"/>
  <c r="F996" i="2"/>
  <c r="F999" i="2"/>
  <c r="F1003" i="2"/>
  <c r="F1006" i="2"/>
  <c r="F1009" i="2"/>
  <c r="F1012" i="2"/>
  <c r="F1015" i="2"/>
  <c r="F1020" i="2"/>
  <c r="F1023" i="2"/>
  <c r="F1029" i="2"/>
  <c r="F1034" i="2"/>
  <c r="F1039" i="2"/>
  <c r="F991" i="2"/>
  <c r="F1018" i="2"/>
  <c r="F1026" i="2"/>
  <c r="F1031" i="2"/>
  <c r="F1038" i="2"/>
  <c r="F957" i="2"/>
  <c r="F959" i="2"/>
  <c r="F962" i="2"/>
  <c r="F966" i="2"/>
  <c r="F969" i="2"/>
  <c r="F971" i="2"/>
  <c r="F974" i="2"/>
  <c r="F977" i="2"/>
  <c r="F981" i="2"/>
  <c r="F984" i="2"/>
  <c r="F987" i="2"/>
  <c r="F990" i="2"/>
  <c r="F994" i="2"/>
  <c r="F997" i="2"/>
  <c r="F1000" i="2"/>
  <c r="F1002" i="2"/>
  <c r="F1005" i="2"/>
  <c r="F1008" i="2"/>
  <c r="F1011" i="2"/>
  <c r="F1014" i="2"/>
  <c r="F1017" i="2"/>
  <c r="F1022" i="2"/>
  <c r="F1027" i="2"/>
  <c r="F1030" i="2"/>
  <c r="F1035" i="2"/>
  <c r="F1040" i="2"/>
  <c r="F980" i="2"/>
  <c r="F958" i="2"/>
  <c r="F960" i="2"/>
  <c r="F963" i="2"/>
  <c r="F965" i="2"/>
  <c r="F968" i="2"/>
  <c r="F972" i="2"/>
  <c r="F975" i="2"/>
  <c r="F978" i="2"/>
  <c r="F982" i="2"/>
  <c r="F985" i="2"/>
  <c r="F988" i="2"/>
  <c r="F992" i="2"/>
  <c r="F995" i="2"/>
  <c r="F998" i="2"/>
  <c r="F1001" i="2"/>
  <c r="F1004" i="2"/>
  <c r="F1007" i="2"/>
  <c r="F1010" i="2"/>
  <c r="F1013" i="2"/>
  <c r="F1016" i="2"/>
  <c r="F1021" i="2"/>
  <c r="F1024" i="2"/>
  <c r="F1028" i="2"/>
  <c r="F1033" i="2"/>
  <c r="F1036" i="2"/>
  <c r="F1041" i="2"/>
  <c r="F936" i="1"/>
  <c r="F937" i="1"/>
  <c r="F938" i="1"/>
  <c r="F940" i="1"/>
  <c r="F942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9" i="1"/>
  <c r="F961" i="1"/>
  <c r="F964" i="1"/>
  <c r="F941" i="1"/>
  <c r="F963" i="1"/>
  <c r="F939" i="1"/>
  <c r="F960" i="1"/>
  <c r="F943" i="1"/>
  <c r="F958" i="1"/>
  <c r="F962" i="1"/>
  <c r="F957" i="1"/>
  <c r="F940" i="2"/>
  <c r="F951" i="2"/>
  <c r="F926" i="2"/>
  <c r="F945" i="2"/>
  <c r="F928" i="2"/>
  <c r="F946" i="2"/>
  <c r="F947" i="2"/>
  <c r="F944" i="2"/>
  <c r="F929" i="2"/>
  <c r="F950" i="2"/>
  <c r="F925" i="2"/>
  <c r="F937" i="2"/>
  <c r="F943" i="2"/>
  <c r="F930" i="2"/>
  <c r="F952" i="2"/>
  <c r="F948" i="2"/>
  <c r="F933" i="2"/>
  <c r="F942" i="2"/>
  <c r="F934" i="2"/>
  <c r="F938" i="2"/>
  <c r="F932" i="2"/>
  <c r="F949" i="2"/>
  <c r="F935" i="2"/>
  <c r="F936" i="2"/>
  <c r="F939" i="2"/>
  <c r="F941" i="2"/>
  <c r="F931" i="2"/>
  <c r="F953" i="2"/>
  <c r="F954" i="2"/>
  <c r="F927" i="2"/>
  <c r="F933" i="1"/>
  <c r="F902" i="1"/>
  <c r="F917" i="1"/>
  <c r="F897" i="1"/>
  <c r="F904" i="1"/>
  <c r="F898" i="1"/>
  <c r="F900" i="1"/>
  <c r="F913" i="1"/>
  <c r="F896" i="1"/>
  <c r="F924" i="1"/>
  <c r="F934" i="1"/>
  <c r="F890" i="1"/>
  <c r="F894" i="1"/>
  <c r="F910" i="1"/>
  <c r="F893" i="1"/>
  <c r="F926" i="1"/>
  <c r="F906" i="1"/>
  <c r="F889" i="1"/>
  <c r="F930" i="1"/>
  <c r="F892" i="1"/>
  <c r="F891" i="1"/>
  <c r="F911" i="1"/>
  <c r="F914" i="1"/>
  <c r="F909" i="1"/>
  <c r="F919" i="1"/>
  <c r="F905" i="1"/>
  <c r="F935" i="1"/>
  <c r="F888" i="1"/>
  <c r="F928" i="1"/>
  <c r="F920" i="1"/>
  <c r="F899" i="1"/>
  <c r="F929" i="1"/>
  <c r="F931" i="1"/>
  <c r="F923" i="1"/>
  <c r="F907" i="1"/>
  <c r="F925" i="1"/>
  <c r="F912" i="1"/>
  <c r="F921" i="1"/>
  <c r="F895" i="1"/>
  <c r="F918" i="1"/>
  <c r="F932" i="1"/>
  <c r="F916" i="1"/>
  <c r="F901" i="1"/>
  <c r="F927" i="1"/>
  <c r="F908" i="1"/>
  <c r="F915" i="1"/>
  <c r="F922" i="1"/>
  <c r="F887" i="1"/>
  <c r="F903" i="1"/>
  <c r="F897" i="2"/>
  <c r="F905" i="2"/>
  <c r="F913" i="2"/>
  <c r="F921" i="2"/>
  <c r="F916" i="2"/>
  <c r="F901" i="2"/>
  <c r="F910" i="2"/>
  <c r="F919" i="2"/>
  <c r="F904" i="2"/>
  <c r="F898" i="2"/>
  <c r="F906" i="2"/>
  <c r="F914" i="2"/>
  <c r="F922" i="2"/>
  <c r="F908" i="2"/>
  <c r="F924" i="2"/>
  <c r="F917" i="2"/>
  <c r="F902" i="2"/>
  <c r="F918" i="2"/>
  <c r="F911" i="2"/>
  <c r="F912" i="2"/>
  <c r="F899" i="2"/>
  <c r="F907" i="2"/>
  <c r="F915" i="2"/>
  <c r="F923" i="2"/>
  <c r="F900" i="2"/>
  <c r="F909" i="2"/>
  <c r="F903" i="2"/>
  <c r="F920" i="2"/>
  <c r="F880" i="1"/>
  <c r="F886" i="1"/>
  <c r="F882" i="1"/>
  <c r="F884" i="1"/>
  <c r="F879" i="1"/>
  <c r="F881" i="1"/>
  <c r="F883" i="1"/>
  <c r="F885" i="1"/>
  <c r="F878" i="1"/>
  <c r="F876" i="1"/>
  <c r="F874" i="1"/>
  <c r="F877" i="1"/>
  <c r="F875" i="1"/>
  <c r="F873" i="1"/>
  <c r="F870" i="1"/>
  <c r="F872" i="1"/>
  <c r="F869" i="1"/>
  <c r="F871" i="1"/>
  <c r="F868" i="1"/>
  <c r="F867" i="1"/>
  <c r="F860" i="1"/>
  <c r="F861" i="1"/>
  <c r="F862" i="1"/>
  <c r="F865" i="1"/>
  <c r="F864" i="1"/>
  <c r="F866" i="1"/>
  <c r="F863" i="1"/>
  <c r="F856" i="1"/>
  <c r="F857" i="1"/>
  <c r="F859" i="1"/>
  <c r="F858" i="1"/>
  <c r="F850" i="1"/>
  <c r="F854" i="1"/>
  <c r="F852" i="1"/>
  <c r="F855" i="1"/>
  <c r="F851" i="1"/>
  <c r="F848" i="1"/>
  <c r="F849" i="1"/>
  <c r="F844" i="1"/>
  <c r="F846" i="1"/>
  <c r="F845" i="1"/>
  <c r="F853" i="1"/>
  <c r="F847" i="1"/>
  <c r="F837" i="1"/>
  <c r="F839" i="1"/>
  <c r="F838" i="1"/>
  <c r="F841" i="1"/>
  <c r="F840" i="1"/>
  <c r="F843" i="1"/>
  <c r="F836" i="1"/>
  <c r="F832" i="1"/>
  <c r="F833" i="1"/>
  <c r="F835" i="1"/>
  <c r="F834" i="1"/>
  <c r="F833" i="2"/>
  <c r="F108" i="2"/>
  <c r="F112" i="2"/>
  <c r="F116" i="2"/>
  <c r="F120" i="2"/>
  <c r="F124" i="2"/>
  <c r="F128" i="2"/>
  <c r="F132" i="2"/>
  <c r="F136" i="2"/>
  <c r="F140" i="2"/>
  <c r="F144" i="2"/>
  <c r="F148" i="2"/>
  <c r="F152" i="2"/>
  <c r="F156" i="2"/>
  <c r="F160" i="2"/>
  <c r="F164" i="2"/>
  <c r="F168" i="2"/>
  <c r="F172" i="2"/>
  <c r="F176" i="2"/>
  <c r="F180" i="2"/>
  <c r="F184" i="2"/>
  <c r="F188" i="2"/>
  <c r="F192" i="2"/>
  <c r="F196" i="2"/>
  <c r="F200" i="2"/>
  <c r="F204" i="2"/>
  <c r="F208" i="2"/>
  <c r="F212" i="2"/>
  <c r="F216" i="2"/>
  <c r="F220" i="2"/>
  <c r="F224" i="2"/>
  <c r="F228" i="2"/>
  <c r="F232" i="2"/>
  <c r="F236" i="2"/>
  <c r="F240" i="2"/>
  <c r="F244" i="2"/>
  <c r="F248" i="2"/>
  <c r="F252" i="2"/>
  <c r="F256" i="2"/>
  <c r="F260" i="2"/>
  <c r="F264" i="2"/>
  <c r="F268" i="2"/>
  <c r="F272" i="2"/>
  <c r="F276" i="2"/>
  <c r="F280" i="2"/>
  <c r="F284" i="2"/>
  <c r="F288" i="2"/>
  <c r="F292" i="2"/>
  <c r="F296" i="2"/>
  <c r="F300" i="2"/>
  <c r="F304" i="2"/>
  <c r="F308" i="2"/>
  <c r="F312" i="2"/>
  <c r="F316" i="2"/>
  <c r="F320" i="2"/>
  <c r="F324" i="2"/>
  <c r="F328" i="2"/>
  <c r="F332" i="2"/>
  <c r="F336" i="2"/>
  <c r="F340" i="2"/>
  <c r="F344" i="2"/>
  <c r="F348" i="2"/>
  <c r="F352" i="2"/>
  <c r="F356" i="2"/>
  <c r="F360" i="2"/>
  <c r="F109" i="2"/>
  <c r="F113" i="2"/>
  <c r="F117" i="2"/>
  <c r="F121" i="2"/>
  <c r="F125" i="2"/>
  <c r="F129" i="2"/>
  <c r="F133" i="2"/>
  <c r="F137" i="2"/>
  <c r="F141" i="2"/>
  <c r="F145" i="2"/>
  <c r="F149" i="2"/>
  <c r="F153" i="2"/>
  <c r="F157" i="2"/>
  <c r="F161" i="2"/>
  <c r="F165" i="2"/>
  <c r="F169" i="2"/>
  <c r="F173" i="2"/>
  <c r="F177" i="2"/>
  <c r="F181" i="2"/>
  <c r="F185" i="2"/>
  <c r="F189" i="2"/>
  <c r="F193" i="2"/>
  <c r="F197" i="2"/>
  <c r="F201" i="2"/>
  <c r="F205" i="2"/>
  <c r="F209" i="2"/>
  <c r="F213" i="2"/>
  <c r="F217" i="2"/>
  <c r="F221" i="2"/>
  <c r="F225" i="2"/>
  <c r="F229" i="2"/>
  <c r="F233" i="2"/>
  <c r="F237" i="2"/>
  <c r="F241" i="2"/>
  <c r="F245" i="2"/>
  <c r="F249" i="2"/>
  <c r="F253" i="2"/>
  <c r="F257" i="2"/>
  <c r="F261" i="2"/>
  <c r="F265" i="2"/>
  <c r="F269" i="2"/>
  <c r="F273" i="2"/>
  <c r="F277" i="2"/>
  <c r="F281" i="2"/>
  <c r="F285" i="2"/>
  <c r="F289" i="2"/>
  <c r="F293" i="2"/>
  <c r="F297" i="2"/>
  <c r="F301" i="2"/>
  <c r="F305" i="2"/>
  <c r="F309" i="2"/>
  <c r="F313" i="2"/>
  <c r="F317" i="2"/>
  <c r="F321" i="2"/>
  <c r="F325" i="2"/>
  <c r="F329" i="2"/>
  <c r="F333" i="2"/>
  <c r="F337" i="2"/>
  <c r="F341" i="2"/>
  <c r="F345" i="2"/>
  <c r="F349" i="2"/>
  <c r="F353" i="2"/>
  <c r="F357" i="2"/>
  <c r="F361" i="2"/>
  <c r="F365" i="2"/>
  <c r="F369" i="2"/>
  <c r="F373" i="2"/>
  <c r="F377" i="2"/>
  <c r="F381" i="2"/>
  <c r="F385" i="2"/>
  <c r="F389" i="2"/>
  <c r="F393" i="2"/>
  <c r="F397" i="2"/>
  <c r="F401" i="2"/>
  <c r="F405" i="2"/>
  <c r="F409" i="2"/>
  <c r="F413" i="2"/>
  <c r="F417" i="2"/>
  <c r="F421" i="2"/>
  <c r="F425" i="2"/>
  <c r="F429" i="2"/>
  <c r="F433" i="2"/>
  <c r="F437" i="2"/>
  <c r="F441" i="2"/>
  <c r="F834" i="2"/>
  <c r="F114" i="2"/>
  <c r="F122" i="2"/>
  <c r="F130" i="2"/>
  <c r="F138" i="2"/>
  <c r="F146" i="2"/>
  <c r="F154" i="2"/>
  <c r="F162" i="2"/>
  <c r="F170" i="2"/>
  <c r="F178" i="2"/>
  <c r="F186" i="2"/>
  <c r="F194" i="2"/>
  <c r="F202" i="2"/>
  <c r="F210" i="2"/>
  <c r="F218" i="2"/>
  <c r="F226" i="2"/>
  <c r="F234" i="2"/>
  <c r="F242" i="2"/>
  <c r="F250" i="2"/>
  <c r="F258" i="2"/>
  <c r="F266" i="2"/>
  <c r="F274" i="2"/>
  <c r="F282" i="2"/>
  <c r="F290" i="2"/>
  <c r="F298" i="2"/>
  <c r="F306" i="2"/>
  <c r="F314" i="2"/>
  <c r="F322" i="2"/>
  <c r="F330" i="2"/>
  <c r="F338" i="2"/>
  <c r="F346" i="2"/>
  <c r="F354" i="2"/>
  <c r="F362" i="2"/>
  <c r="F367" i="2"/>
  <c r="F372" i="2"/>
  <c r="F378" i="2"/>
  <c r="F383" i="2"/>
  <c r="F388" i="2"/>
  <c r="F394" i="2"/>
  <c r="F399" i="2"/>
  <c r="F404" i="2"/>
  <c r="F410" i="2"/>
  <c r="F415" i="2"/>
  <c r="F420" i="2"/>
  <c r="F426" i="2"/>
  <c r="F431" i="2"/>
  <c r="F436" i="2"/>
  <c r="F442" i="2"/>
  <c r="F446" i="2"/>
  <c r="F107" i="2"/>
  <c r="F115" i="2"/>
  <c r="F123" i="2"/>
  <c r="F131" i="2"/>
  <c r="F139" i="2"/>
  <c r="F147" i="2"/>
  <c r="F155" i="2"/>
  <c r="F163" i="2"/>
  <c r="F171" i="2"/>
  <c r="F179" i="2"/>
  <c r="F187" i="2"/>
  <c r="F195" i="2"/>
  <c r="F203" i="2"/>
  <c r="F211" i="2"/>
  <c r="F219" i="2"/>
  <c r="F227" i="2"/>
  <c r="F235" i="2"/>
  <c r="F243" i="2"/>
  <c r="F251" i="2"/>
  <c r="F259" i="2"/>
  <c r="F267" i="2"/>
  <c r="F275" i="2"/>
  <c r="F283" i="2"/>
  <c r="F291" i="2"/>
  <c r="F299" i="2"/>
  <c r="F307" i="2"/>
  <c r="F315" i="2"/>
  <c r="F323" i="2"/>
  <c r="F331" i="2"/>
  <c r="F339" i="2"/>
  <c r="F347" i="2"/>
  <c r="F355" i="2"/>
  <c r="F363" i="2"/>
  <c r="F368" i="2"/>
  <c r="F374" i="2"/>
  <c r="F379" i="2"/>
  <c r="F384" i="2"/>
  <c r="F390" i="2"/>
  <c r="F395" i="2"/>
  <c r="F400" i="2"/>
  <c r="F406" i="2"/>
  <c r="F411" i="2"/>
  <c r="F416" i="2"/>
  <c r="F422" i="2"/>
  <c r="F427" i="2"/>
  <c r="F432" i="2"/>
  <c r="F438" i="2"/>
  <c r="F443" i="2"/>
  <c r="F447" i="2"/>
  <c r="F451" i="2"/>
  <c r="F455" i="2"/>
  <c r="F459" i="2"/>
  <c r="F463" i="2"/>
  <c r="F467" i="2"/>
  <c r="F471" i="2"/>
  <c r="F475" i="2"/>
  <c r="F479" i="2"/>
  <c r="F483" i="2"/>
  <c r="F487" i="2"/>
  <c r="F491" i="2"/>
  <c r="F495" i="2"/>
  <c r="F499" i="2"/>
  <c r="F503" i="2"/>
  <c r="F507" i="2"/>
  <c r="F511" i="2"/>
  <c r="F515" i="2"/>
  <c r="F519" i="2"/>
  <c r="F523" i="2"/>
  <c r="F527" i="2"/>
  <c r="F531" i="2"/>
  <c r="F535" i="2"/>
  <c r="F539" i="2"/>
  <c r="F543" i="2"/>
  <c r="F547" i="2"/>
  <c r="F551" i="2"/>
  <c r="F555" i="2"/>
  <c r="F559" i="2"/>
  <c r="F563" i="2"/>
  <c r="F567" i="2"/>
  <c r="F571" i="2"/>
  <c r="F575" i="2"/>
  <c r="F579" i="2"/>
  <c r="F583" i="2"/>
  <c r="F587" i="2"/>
  <c r="F591" i="2"/>
  <c r="F595" i="2"/>
  <c r="F599" i="2"/>
  <c r="F603" i="2"/>
  <c r="F607" i="2"/>
  <c r="F611" i="2"/>
  <c r="F111" i="2"/>
  <c r="F119" i="2"/>
  <c r="F127" i="2"/>
  <c r="F135" i="2"/>
  <c r="F143" i="2"/>
  <c r="F151" i="2"/>
  <c r="F159" i="2"/>
  <c r="F167" i="2"/>
  <c r="F175" i="2"/>
  <c r="F183" i="2"/>
  <c r="F191" i="2"/>
  <c r="F199" i="2"/>
  <c r="F207" i="2"/>
  <c r="F215" i="2"/>
  <c r="F223" i="2"/>
  <c r="F231" i="2"/>
  <c r="F239" i="2"/>
  <c r="F247" i="2"/>
  <c r="F255" i="2"/>
  <c r="F263" i="2"/>
  <c r="F271" i="2"/>
  <c r="F279" i="2"/>
  <c r="F287" i="2"/>
  <c r="F295" i="2"/>
  <c r="F303" i="2"/>
  <c r="F311" i="2"/>
  <c r="F319" i="2"/>
  <c r="F327" i="2"/>
  <c r="F335" i="2"/>
  <c r="F343" i="2"/>
  <c r="F351" i="2"/>
  <c r="F359" i="2"/>
  <c r="F366" i="2"/>
  <c r="F371" i="2"/>
  <c r="F376" i="2"/>
  <c r="F382" i="2"/>
  <c r="F387" i="2"/>
  <c r="F392" i="2"/>
  <c r="F398" i="2"/>
  <c r="F403" i="2"/>
  <c r="F408" i="2"/>
  <c r="F414" i="2"/>
  <c r="F419" i="2"/>
  <c r="F424" i="2"/>
  <c r="F430" i="2"/>
  <c r="F435" i="2"/>
  <c r="F440" i="2"/>
  <c r="F445" i="2"/>
  <c r="F449" i="2"/>
  <c r="F453" i="2"/>
  <c r="F457" i="2"/>
  <c r="F461" i="2"/>
  <c r="F465" i="2"/>
  <c r="F469" i="2"/>
  <c r="F473" i="2"/>
  <c r="F477" i="2"/>
  <c r="F481" i="2"/>
  <c r="F485" i="2"/>
  <c r="F489" i="2"/>
  <c r="F493" i="2"/>
  <c r="F497" i="2"/>
  <c r="F501" i="2"/>
  <c r="F505" i="2"/>
  <c r="F509" i="2"/>
  <c r="F513" i="2"/>
  <c r="F517" i="2"/>
  <c r="F521" i="2"/>
  <c r="F525" i="2"/>
  <c r="F529" i="2"/>
  <c r="F533" i="2"/>
  <c r="F537" i="2"/>
  <c r="F541" i="2"/>
  <c r="F545" i="2"/>
  <c r="F549" i="2"/>
  <c r="F553" i="2"/>
  <c r="F557" i="2"/>
  <c r="F561" i="2"/>
  <c r="F565" i="2"/>
  <c r="F569" i="2"/>
  <c r="F573" i="2"/>
  <c r="F577" i="2"/>
  <c r="F581" i="2"/>
  <c r="F585" i="2"/>
  <c r="F589" i="2"/>
  <c r="F593" i="2"/>
  <c r="F110" i="2"/>
  <c r="F142" i="2"/>
  <c r="F174" i="2"/>
  <c r="F206" i="2"/>
  <c r="F238" i="2"/>
  <c r="F270" i="2"/>
  <c r="F302" i="2"/>
  <c r="F334" i="2"/>
  <c r="F364" i="2"/>
  <c r="F386" i="2"/>
  <c r="F407" i="2"/>
  <c r="F428" i="2"/>
  <c r="F448" i="2"/>
  <c r="F456" i="2"/>
  <c r="F464" i="2"/>
  <c r="F472" i="2"/>
  <c r="F480" i="2"/>
  <c r="F488" i="2"/>
  <c r="F496" i="2"/>
  <c r="F504" i="2"/>
  <c r="F512" i="2"/>
  <c r="F520" i="2"/>
  <c r="F528" i="2"/>
  <c r="F536" i="2"/>
  <c r="F544" i="2"/>
  <c r="F552" i="2"/>
  <c r="F560" i="2"/>
  <c r="F568" i="2"/>
  <c r="F576" i="2"/>
  <c r="F584" i="2"/>
  <c r="F592" i="2"/>
  <c r="F598" i="2"/>
  <c r="F604" i="2"/>
  <c r="F609" i="2"/>
  <c r="F614" i="2"/>
  <c r="F618" i="2"/>
  <c r="F622" i="2"/>
  <c r="F626" i="2"/>
  <c r="F630" i="2"/>
  <c r="F634" i="2"/>
  <c r="F638" i="2"/>
  <c r="F642" i="2"/>
  <c r="F646" i="2"/>
  <c r="F650" i="2"/>
  <c r="F654" i="2"/>
  <c r="F658" i="2"/>
  <c r="F662" i="2"/>
  <c r="F666" i="2"/>
  <c r="F670" i="2"/>
  <c r="F674" i="2"/>
  <c r="F678" i="2"/>
  <c r="F682" i="2"/>
  <c r="F686" i="2"/>
  <c r="F690" i="2"/>
  <c r="F694" i="2"/>
  <c r="F698" i="2"/>
  <c r="F702" i="2"/>
  <c r="F706" i="2"/>
  <c r="F710" i="2"/>
  <c r="F714" i="2"/>
  <c r="F718" i="2"/>
  <c r="F722" i="2"/>
  <c r="F726" i="2"/>
  <c r="F730" i="2"/>
  <c r="F734" i="2"/>
  <c r="F738" i="2"/>
  <c r="F742" i="2"/>
  <c r="F746" i="2"/>
  <c r="F750" i="2"/>
  <c r="F754" i="2"/>
  <c r="F758" i="2"/>
  <c r="F762" i="2"/>
  <c r="F766" i="2"/>
  <c r="F770" i="2"/>
  <c r="F778" i="2"/>
  <c r="F782" i="2"/>
  <c r="F790" i="2"/>
  <c r="F798" i="2"/>
  <c r="F806" i="2"/>
  <c r="F814" i="2"/>
  <c r="F822" i="2"/>
  <c r="F830" i="2"/>
  <c r="F118" i="2"/>
  <c r="F150" i="2"/>
  <c r="F182" i="2"/>
  <c r="F214" i="2"/>
  <c r="F246" i="2"/>
  <c r="F278" i="2"/>
  <c r="F310" i="2"/>
  <c r="F342" i="2"/>
  <c r="F370" i="2"/>
  <c r="F391" i="2"/>
  <c r="F412" i="2"/>
  <c r="F434" i="2"/>
  <c r="F450" i="2"/>
  <c r="F458" i="2"/>
  <c r="F466" i="2"/>
  <c r="F474" i="2"/>
  <c r="F482" i="2"/>
  <c r="F490" i="2"/>
  <c r="F498" i="2"/>
  <c r="F506" i="2"/>
  <c r="F514" i="2"/>
  <c r="F522" i="2"/>
  <c r="F530" i="2"/>
  <c r="F538" i="2"/>
  <c r="F546" i="2"/>
  <c r="F554" i="2"/>
  <c r="F562" i="2"/>
  <c r="F570" i="2"/>
  <c r="F578" i="2"/>
  <c r="F586" i="2"/>
  <c r="F594" i="2"/>
  <c r="F600" i="2"/>
  <c r="F605" i="2"/>
  <c r="F610" i="2"/>
  <c r="F615" i="2"/>
  <c r="F619" i="2"/>
  <c r="F623" i="2"/>
  <c r="F627" i="2"/>
  <c r="F631" i="2"/>
  <c r="F635" i="2"/>
  <c r="F639" i="2"/>
  <c r="F643" i="2"/>
  <c r="F647" i="2"/>
  <c r="F651" i="2"/>
  <c r="F655" i="2"/>
  <c r="F659" i="2"/>
  <c r="F663" i="2"/>
  <c r="F667" i="2"/>
  <c r="F671" i="2"/>
  <c r="F675" i="2"/>
  <c r="F679" i="2"/>
  <c r="F683" i="2"/>
  <c r="F687" i="2"/>
  <c r="F691" i="2"/>
  <c r="F695" i="2"/>
  <c r="F699" i="2"/>
  <c r="F703" i="2"/>
  <c r="F707" i="2"/>
  <c r="F711" i="2"/>
  <c r="F715" i="2"/>
  <c r="F719" i="2"/>
  <c r="F723" i="2"/>
  <c r="F727" i="2"/>
  <c r="F731" i="2"/>
  <c r="F735" i="2"/>
  <c r="F739" i="2"/>
  <c r="F743" i="2"/>
  <c r="F747" i="2"/>
  <c r="F751" i="2"/>
  <c r="F755" i="2"/>
  <c r="F759" i="2"/>
  <c r="F763" i="2"/>
  <c r="F767" i="2"/>
  <c r="F771" i="2"/>
  <c r="F775" i="2"/>
  <c r="F779" i="2"/>
  <c r="F783" i="2"/>
  <c r="F787" i="2"/>
  <c r="F791" i="2"/>
  <c r="F795" i="2"/>
  <c r="F799" i="2"/>
  <c r="F803" i="2"/>
  <c r="F807" i="2"/>
  <c r="F811" i="2"/>
  <c r="F815" i="2"/>
  <c r="F819" i="2"/>
  <c r="F823" i="2"/>
  <c r="F827" i="2"/>
  <c r="F831" i="2"/>
  <c r="F126" i="2"/>
  <c r="F158" i="2"/>
  <c r="F190" i="2"/>
  <c r="F222" i="2"/>
  <c r="F254" i="2"/>
  <c r="F286" i="2"/>
  <c r="F318" i="2"/>
  <c r="F134" i="2"/>
  <c r="F166" i="2"/>
  <c r="F198" i="2"/>
  <c r="F230" i="2"/>
  <c r="F262" i="2"/>
  <c r="F294" i="2"/>
  <c r="F326" i="2"/>
  <c r="F358" i="2"/>
  <c r="F380" i="2"/>
  <c r="F402" i="2"/>
  <c r="F423" i="2"/>
  <c r="F444" i="2"/>
  <c r="F454" i="2"/>
  <c r="F462" i="2"/>
  <c r="F470" i="2"/>
  <c r="F478" i="2"/>
  <c r="F486" i="2"/>
  <c r="F494" i="2"/>
  <c r="F502" i="2"/>
  <c r="F510" i="2"/>
  <c r="F518" i="2"/>
  <c r="F526" i="2"/>
  <c r="F534" i="2"/>
  <c r="F542" i="2"/>
  <c r="F550" i="2"/>
  <c r="F558" i="2"/>
  <c r="F566" i="2"/>
  <c r="F574" i="2"/>
  <c r="F582" i="2"/>
  <c r="F590" i="2"/>
  <c r="F597" i="2"/>
  <c r="F602" i="2"/>
  <c r="F608" i="2"/>
  <c r="F613" i="2"/>
  <c r="F617" i="2"/>
  <c r="F621" i="2"/>
  <c r="F625" i="2"/>
  <c r="F629" i="2"/>
  <c r="F633" i="2"/>
  <c r="F637" i="2"/>
  <c r="F641" i="2"/>
  <c r="F645" i="2"/>
  <c r="F649" i="2"/>
  <c r="F653" i="2"/>
  <c r="F657" i="2"/>
  <c r="F661" i="2"/>
  <c r="F665" i="2"/>
  <c r="F669" i="2"/>
  <c r="F673" i="2"/>
  <c r="F677" i="2"/>
  <c r="F681" i="2"/>
  <c r="F685" i="2"/>
  <c r="F689" i="2"/>
  <c r="F693" i="2"/>
  <c r="F697" i="2"/>
  <c r="F701" i="2"/>
  <c r="F705" i="2"/>
  <c r="F709" i="2"/>
  <c r="F713" i="2"/>
  <c r="F717" i="2"/>
  <c r="F721" i="2"/>
  <c r="F725" i="2"/>
  <c r="F729" i="2"/>
  <c r="F733" i="2"/>
  <c r="F737" i="2"/>
  <c r="F741" i="2"/>
  <c r="F745" i="2"/>
  <c r="F749" i="2"/>
  <c r="F753" i="2"/>
  <c r="F757" i="2"/>
  <c r="F761" i="2"/>
  <c r="F765" i="2"/>
  <c r="F769" i="2"/>
  <c r="F773" i="2"/>
  <c r="F777" i="2"/>
  <c r="F781" i="2"/>
  <c r="F785" i="2"/>
  <c r="F789" i="2"/>
  <c r="F793" i="2"/>
  <c r="F797" i="2"/>
  <c r="F801" i="2"/>
  <c r="F805" i="2"/>
  <c r="F809" i="2"/>
  <c r="F813" i="2"/>
  <c r="F817" i="2"/>
  <c r="F821" i="2"/>
  <c r="F825" i="2"/>
  <c r="F829" i="2"/>
  <c r="F774" i="2"/>
  <c r="F786" i="2"/>
  <c r="F794" i="2"/>
  <c r="F802" i="2"/>
  <c r="F810" i="2"/>
  <c r="F818" i="2"/>
  <c r="F826" i="2"/>
  <c r="F439" i="2"/>
  <c r="F668" i="2"/>
  <c r="F732" i="2"/>
  <c r="F764" i="2"/>
  <c r="F812" i="2"/>
  <c r="F375" i="2"/>
  <c r="F452" i="2"/>
  <c r="F484" i="2"/>
  <c r="F516" i="2"/>
  <c r="F548" i="2"/>
  <c r="F580" i="2"/>
  <c r="F606" i="2"/>
  <c r="F624" i="2"/>
  <c r="F640" i="2"/>
  <c r="F656" i="2"/>
  <c r="F672" i="2"/>
  <c r="F688" i="2"/>
  <c r="F704" i="2"/>
  <c r="F720" i="2"/>
  <c r="F736" i="2"/>
  <c r="F752" i="2"/>
  <c r="F768" i="2"/>
  <c r="F784" i="2"/>
  <c r="F800" i="2"/>
  <c r="F816" i="2"/>
  <c r="F832" i="2"/>
  <c r="F396" i="2"/>
  <c r="F460" i="2"/>
  <c r="F492" i="2"/>
  <c r="F524" i="2"/>
  <c r="F556" i="2"/>
  <c r="F588" i="2"/>
  <c r="F612" i="2"/>
  <c r="F628" i="2"/>
  <c r="F644" i="2"/>
  <c r="F660" i="2"/>
  <c r="F676" i="2"/>
  <c r="F692" i="2"/>
  <c r="F708" i="2"/>
  <c r="F724" i="2"/>
  <c r="F740" i="2"/>
  <c r="F756" i="2"/>
  <c r="F772" i="2"/>
  <c r="F788" i="2"/>
  <c r="F804" i="2"/>
  <c r="F820" i="2"/>
  <c r="F418" i="2"/>
  <c r="F468" i="2"/>
  <c r="F500" i="2"/>
  <c r="F532" i="2"/>
  <c r="F564" i="2"/>
  <c r="F596" i="2"/>
  <c r="F616" i="2"/>
  <c r="F632" i="2"/>
  <c r="F648" i="2"/>
  <c r="F664" i="2"/>
  <c r="F680" i="2"/>
  <c r="F696" i="2"/>
  <c r="F712" i="2"/>
  <c r="F728" i="2"/>
  <c r="F744" i="2"/>
  <c r="F760" i="2"/>
  <c r="F776" i="2"/>
  <c r="F792" i="2"/>
  <c r="F808" i="2"/>
  <c r="F824" i="2"/>
  <c r="F350" i="2"/>
  <c r="F476" i="2"/>
  <c r="F508" i="2"/>
  <c r="F540" i="2"/>
  <c r="F572" i="2"/>
  <c r="F601" i="2"/>
  <c r="F620" i="2"/>
  <c r="F636" i="2"/>
  <c r="F652" i="2"/>
  <c r="F684" i="2"/>
  <c r="F700" i="2"/>
  <c r="F716" i="2"/>
  <c r="F748" i="2"/>
  <c r="F780" i="2"/>
  <c r="F796" i="2"/>
  <c r="F828" i="2"/>
  <c r="F831" i="1"/>
  <c r="F824" i="1"/>
  <c r="F827" i="1"/>
  <c r="F829" i="1"/>
  <c r="F826" i="1"/>
  <c r="F828" i="1"/>
  <c r="F825" i="1"/>
  <c r="F830" i="1"/>
  <c r="D94" i="4"/>
  <c r="F94" i="4" s="1"/>
  <c r="E94" i="4"/>
  <c r="G94" i="4" s="1"/>
  <c r="D70" i="4"/>
  <c r="F70" i="4" s="1"/>
  <c r="E70" i="4"/>
  <c r="G70" i="4" s="1"/>
  <c r="D50" i="4"/>
  <c r="F50" i="4" s="1"/>
  <c r="E50" i="4"/>
  <c r="G50" i="4" s="1"/>
  <c r="D30" i="4"/>
  <c r="F30" i="4" s="1"/>
  <c r="E30" i="4"/>
  <c r="G30" i="4" s="1"/>
  <c r="D10" i="4"/>
  <c r="F10" i="4" s="1"/>
  <c r="E10" i="4"/>
  <c r="G10" i="4" s="1"/>
  <c r="E85" i="4"/>
  <c r="G85" i="4" s="1"/>
  <c r="D85" i="4"/>
  <c r="F85" i="4" s="1"/>
  <c r="E57" i="4"/>
  <c r="G57" i="4" s="1"/>
  <c r="D57" i="4"/>
  <c r="F57" i="4" s="1"/>
  <c r="E37" i="4"/>
  <c r="G37" i="4" s="1"/>
  <c r="D37" i="4"/>
  <c r="F37" i="4" s="1"/>
  <c r="E21" i="4"/>
  <c r="G21" i="4" s="1"/>
  <c r="D21" i="4"/>
  <c r="F21" i="4" s="1"/>
  <c r="E13" i="4"/>
  <c r="G13" i="4" s="1"/>
  <c r="D13" i="4"/>
  <c r="F13" i="4" s="1"/>
  <c r="E9" i="4"/>
  <c r="G9" i="4" s="1"/>
  <c r="D9" i="4"/>
  <c r="F9" i="4" s="1"/>
  <c r="E5" i="4"/>
  <c r="G5" i="4" s="1"/>
  <c r="D5" i="4"/>
  <c r="F5" i="4" s="1"/>
  <c r="D102" i="4"/>
  <c r="F102" i="4" s="1"/>
  <c r="E102" i="4"/>
  <c r="G102" i="4" s="1"/>
  <c r="D86" i="4"/>
  <c r="F86" i="4" s="1"/>
  <c r="E86" i="4"/>
  <c r="G86" i="4" s="1"/>
  <c r="D78" i="4"/>
  <c r="F78" i="4" s="1"/>
  <c r="E78" i="4"/>
  <c r="G78" i="4" s="1"/>
  <c r="D66" i="4"/>
  <c r="F66" i="4" s="1"/>
  <c r="E66" i="4"/>
  <c r="G66" i="4" s="1"/>
  <c r="D58" i="4"/>
  <c r="F58" i="4" s="1"/>
  <c r="E58" i="4"/>
  <c r="G58" i="4" s="1"/>
  <c r="D46" i="4"/>
  <c r="F46" i="4" s="1"/>
  <c r="E46" i="4"/>
  <c r="G46" i="4" s="1"/>
  <c r="D38" i="4"/>
  <c r="F38" i="4" s="1"/>
  <c r="E38" i="4"/>
  <c r="G38" i="4" s="1"/>
  <c r="D22" i="4"/>
  <c r="F22" i="4" s="1"/>
  <c r="E22" i="4"/>
  <c r="G22" i="4" s="1"/>
  <c r="D14" i="4"/>
  <c r="F14" i="4" s="1"/>
  <c r="E14" i="4"/>
  <c r="G14" i="4" s="1"/>
  <c r="E101" i="4"/>
  <c r="G101" i="4" s="1"/>
  <c r="D101" i="4"/>
  <c r="F101" i="4" s="1"/>
  <c r="E93" i="4"/>
  <c r="G93" i="4" s="1"/>
  <c r="D93" i="4"/>
  <c r="F93" i="4" s="1"/>
  <c r="E77" i="4"/>
  <c r="G77" i="4" s="1"/>
  <c r="D77" i="4"/>
  <c r="F77" i="4" s="1"/>
  <c r="E69" i="4"/>
  <c r="G69" i="4" s="1"/>
  <c r="D69" i="4"/>
  <c r="F69" i="4" s="1"/>
  <c r="E61" i="4"/>
  <c r="G61" i="4" s="1"/>
  <c r="D61" i="4"/>
  <c r="F61" i="4" s="1"/>
  <c r="E53" i="4"/>
  <c r="G53" i="4" s="1"/>
  <c r="D53" i="4"/>
  <c r="F53" i="4" s="1"/>
  <c r="E45" i="4"/>
  <c r="G45" i="4" s="1"/>
  <c r="D45" i="4"/>
  <c r="F45" i="4" s="1"/>
  <c r="E33" i="4"/>
  <c r="G33" i="4" s="1"/>
  <c r="D33" i="4"/>
  <c r="F33" i="4" s="1"/>
  <c r="E25" i="4"/>
  <c r="G25" i="4" s="1"/>
  <c r="D25" i="4"/>
  <c r="F25" i="4" s="1"/>
  <c r="D104" i="4"/>
  <c r="F104" i="4" s="1"/>
  <c r="E104" i="4"/>
  <c r="G104" i="4" s="1"/>
  <c r="D100" i="4"/>
  <c r="F100" i="4" s="1"/>
  <c r="E100" i="4"/>
  <c r="D96" i="4"/>
  <c r="F96" i="4" s="1"/>
  <c r="E96" i="4"/>
  <c r="G96" i="4" s="1"/>
  <c r="D92" i="4"/>
  <c r="F92" i="4" s="1"/>
  <c r="E92" i="4"/>
  <c r="G92" i="4" s="1"/>
  <c r="D88" i="4"/>
  <c r="F88" i="4" s="1"/>
  <c r="E88" i="4"/>
  <c r="G88" i="4" s="1"/>
  <c r="D84" i="4"/>
  <c r="F84" i="4" s="1"/>
  <c r="E84" i="4"/>
  <c r="G84" i="4" s="1"/>
  <c r="D80" i="4"/>
  <c r="F80" i="4" s="1"/>
  <c r="E80" i="4"/>
  <c r="G80" i="4" s="1"/>
  <c r="D76" i="4"/>
  <c r="F76" i="4" s="1"/>
  <c r="E76" i="4"/>
  <c r="G76" i="4" s="1"/>
  <c r="D72" i="4"/>
  <c r="F72" i="4" s="1"/>
  <c r="E72" i="4"/>
  <c r="G72" i="4" s="1"/>
  <c r="D68" i="4"/>
  <c r="F68" i="4" s="1"/>
  <c r="E68" i="4"/>
  <c r="G68" i="4" s="1"/>
  <c r="D64" i="4"/>
  <c r="F64" i="4" s="1"/>
  <c r="E64" i="4"/>
  <c r="G64" i="4" s="1"/>
  <c r="D60" i="4"/>
  <c r="F60" i="4" s="1"/>
  <c r="E60" i="4"/>
  <c r="G60" i="4" s="1"/>
  <c r="D56" i="4"/>
  <c r="F56" i="4" s="1"/>
  <c r="E56" i="4"/>
  <c r="G56" i="4" s="1"/>
  <c r="D52" i="4"/>
  <c r="F52" i="4" s="1"/>
  <c r="E52" i="4"/>
  <c r="G52" i="4" s="1"/>
  <c r="D48" i="4"/>
  <c r="F48" i="4" s="1"/>
  <c r="E48" i="4"/>
  <c r="G48" i="4" s="1"/>
  <c r="D44" i="4"/>
  <c r="F44" i="4" s="1"/>
  <c r="E44" i="4"/>
  <c r="D40" i="4"/>
  <c r="F40" i="4" s="1"/>
  <c r="E40" i="4"/>
  <c r="G40" i="4" s="1"/>
  <c r="D36" i="4"/>
  <c r="F36" i="4" s="1"/>
  <c r="E36" i="4"/>
  <c r="G36" i="4" s="1"/>
  <c r="D32" i="4"/>
  <c r="F32" i="4" s="1"/>
  <c r="E32" i="4"/>
  <c r="G32" i="4" s="1"/>
  <c r="D28" i="4"/>
  <c r="F28" i="4" s="1"/>
  <c r="E28" i="4"/>
  <c r="G28" i="4" s="1"/>
  <c r="D24" i="4"/>
  <c r="F24" i="4" s="1"/>
  <c r="E24" i="4"/>
  <c r="G24" i="4" s="1"/>
  <c r="D20" i="4"/>
  <c r="F20" i="4" s="1"/>
  <c r="E20" i="4"/>
  <c r="G20" i="4" s="1"/>
  <c r="D16" i="4"/>
  <c r="F16" i="4" s="1"/>
  <c r="E16" i="4"/>
  <c r="G16" i="4" s="1"/>
  <c r="D12" i="4"/>
  <c r="F12" i="4" s="1"/>
  <c r="E12" i="4"/>
  <c r="G12" i="4" s="1"/>
  <c r="D8" i="4"/>
  <c r="F8" i="4" s="1"/>
  <c r="E8" i="4"/>
  <c r="G8" i="4" s="1"/>
  <c r="D4" i="4"/>
  <c r="F4" i="4" s="1"/>
  <c r="E4" i="4"/>
  <c r="G4" i="4" s="1"/>
  <c r="D106" i="4"/>
  <c r="F106" i="4" s="1"/>
  <c r="E106" i="4"/>
  <c r="G106" i="4" s="1"/>
  <c r="D98" i="4"/>
  <c r="F98" i="4" s="1"/>
  <c r="E98" i="4"/>
  <c r="G98" i="4" s="1"/>
  <c r="D90" i="4"/>
  <c r="F90" i="4" s="1"/>
  <c r="E90" i="4"/>
  <c r="G90" i="4" s="1"/>
  <c r="D82" i="4"/>
  <c r="F82" i="4" s="1"/>
  <c r="E82" i="4"/>
  <c r="G82" i="4" s="1"/>
  <c r="D74" i="4"/>
  <c r="F74" i="4" s="1"/>
  <c r="E74" i="4"/>
  <c r="G74" i="4" s="1"/>
  <c r="D62" i="4"/>
  <c r="F62" i="4" s="1"/>
  <c r="E62" i="4"/>
  <c r="G62" i="4" s="1"/>
  <c r="D54" i="4"/>
  <c r="F54" i="4" s="1"/>
  <c r="E54" i="4"/>
  <c r="G54" i="4" s="1"/>
  <c r="D42" i="4"/>
  <c r="F42" i="4" s="1"/>
  <c r="E42" i="4"/>
  <c r="G42" i="4" s="1"/>
  <c r="D34" i="4"/>
  <c r="F34" i="4" s="1"/>
  <c r="E34" i="4"/>
  <c r="G34" i="4" s="1"/>
  <c r="D26" i="4"/>
  <c r="F26" i="4" s="1"/>
  <c r="E26" i="4"/>
  <c r="G26" i="4" s="1"/>
  <c r="D18" i="4"/>
  <c r="F18" i="4" s="1"/>
  <c r="E18" i="4"/>
  <c r="G18" i="4" s="1"/>
  <c r="D6" i="4"/>
  <c r="F6" i="4" s="1"/>
  <c r="E6" i="4"/>
  <c r="G6" i="4" s="1"/>
  <c r="E3" i="4"/>
  <c r="G3" i="4" s="1"/>
  <c r="D3" i="4"/>
  <c r="F3" i="4" s="1"/>
  <c r="E105" i="4"/>
  <c r="G105" i="4" s="1"/>
  <c r="D105" i="4"/>
  <c r="F105" i="4" s="1"/>
  <c r="E97" i="4"/>
  <c r="G97" i="4" s="1"/>
  <c r="D97" i="4"/>
  <c r="F97" i="4" s="1"/>
  <c r="E89" i="4"/>
  <c r="G89" i="4" s="1"/>
  <c r="D89" i="4"/>
  <c r="F89" i="4" s="1"/>
  <c r="E81" i="4"/>
  <c r="G81" i="4" s="1"/>
  <c r="D81" i="4"/>
  <c r="F81" i="4" s="1"/>
  <c r="E73" i="4"/>
  <c r="G73" i="4" s="1"/>
  <c r="D73" i="4"/>
  <c r="F73" i="4" s="1"/>
  <c r="E65" i="4"/>
  <c r="G65" i="4" s="1"/>
  <c r="D65" i="4"/>
  <c r="F65" i="4" s="1"/>
  <c r="E49" i="4"/>
  <c r="G49" i="4" s="1"/>
  <c r="D49" i="4"/>
  <c r="F49" i="4" s="1"/>
  <c r="E41" i="4"/>
  <c r="G41" i="4" s="1"/>
  <c r="D41" i="4"/>
  <c r="F41" i="4" s="1"/>
  <c r="E29" i="4"/>
  <c r="G29" i="4" s="1"/>
  <c r="D29" i="4"/>
  <c r="F29" i="4" s="1"/>
  <c r="E17" i="4"/>
  <c r="G17" i="4" s="1"/>
  <c r="D17" i="4"/>
  <c r="F17" i="4" s="1"/>
  <c r="E107" i="4"/>
  <c r="G107" i="4" s="1"/>
  <c r="D107" i="4"/>
  <c r="F107" i="4" s="1"/>
  <c r="E103" i="4"/>
  <c r="G103" i="4" s="1"/>
  <c r="D103" i="4"/>
  <c r="F103" i="4" s="1"/>
  <c r="E99" i="4"/>
  <c r="G99" i="4" s="1"/>
  <c r="D99" i="4"/>
  <c r="F99" i="4" s="1"/>
  <c r="E95" i="4"/>
  <c r="G95" i="4" s="1"/>
  <c r="D95" i="4"/>
  <c r="F95" i="4" s="1"/>
  <c r="E91" i="4"/>
  <c r="G91" i="4" s="1"/>
  <c r="D91" i="4"/>
  <c r="F91" i="4" s="1"/>
  <c r="E87" i="4"/>
  <c r="G87" i="4" s="1"/>
  <c r="D87" i="4"/>
  <c r="F87" i="4" s="1"/>
  <c r="E83" i="4"/>
  <c r="G83" i="4" s="1"/>
  <c r="D83" i="4"/>
  <c r="F83" i="4" s="1"/>
  <c r="E79" i="4"/>
  <c r="G79" i="4" s="1"/>
  <c r="D79" i="4"/>
  <c r="F79" i="4" s="1"/>
  <c r="E75" i="4"/>
  <c r="G75" i="4" s="1"/>
  <c r="D75" i="4"/>
  <c r="F75" i="4" s="1"/>
  <c r="E71" i="4"/>
  <c r="G71" i="4" s="1"/>
  <c r="D71" i="4"/>
  <c r="F71" i="4" s="1"/>
  <c r="E67" i="4"/>
  <c r="G67" i="4" s="1"/>
  <c r="D67" i="4"/>
  <c r="F67" i="4" s="1"/>
  <c r="E63" i="4"/>
  <c r="G63" i="4" s="1"/>
  <c r="D63" i="4"/>
  <c r="F63" i="4" s="1"/>
  <c r="E59" i="4"/>
  <c r="G59" i="4" s="1"/>
  <c r="D59" i="4"/>
  <c r="F59" i="4" s="1"/>
  <c r="E55" i="4"/>
  <c r="G55" i="4" s="1"/>
  <c r="D55" i="4"/>
  <c r="F55" i="4" s="1"/>
  <c r="E51" i="4"/>
  <c r="G51" i="4" s="1"/>
  <c r="D51" i="4"/>
  <c r="F51" i="4" s="1"/>
  <c r="E47" i="4"/>
  <c r="G47" i="4" s="1"/>
  <c r="D47" i="4"/>
  <c r="F47" i="4" s="1"/>
  <c r="E43" i="4"/>
  <c r="G43" i="4" s="1"/>
  <c r="D43" i="4"/>
  <c r="F43" i="4" s="1"/>
  <c r="E39" i="4"/>
  <c r="G39" i="4" s="1"/>
  <c r="D39" i="4"/>
  <c r="F39" i="4" s="1"/>
  <c r="E35" i="4"/>
  <c r="G35" i="4" s="1"/>
  <c r="D35" i="4"/>
  <c r="F35" i="4" s="1"/>
  <c r="E31" i="4"/>
  <c r="G31" i="4" s="1"/>
  <c r="D31" i="4"/>
  <c r="F31" i="4" s="1"/>
  <c r="E27" i="4"/>
  <c r="G27" i="4" s="1"/>
  <c r="D27" i="4"/>
  <c r="F27" i="4" s="1"/>
  <c r="E23" i="4"/>
  <c r="G23" i="4" s="1"/>
  <c r="D23" i="4"/>
  <c r="F23" i="4" s="1"/>
  <c r="E19" i="4"/>
  <c r="G19" i="4" s="1"/>
  <c r="D19" i="4"/>
  <c r="F19" i="4" s="1"/>
  <c r="E15" i="4"/>
  <c r="G15" i="4" s="1"/>
  <c r="D15" i="4"/>
  <c r="F15" i="4" s="1"/>
  <c r="E11" i="4"/>
  <c r="G11" i="4" s="1"/>
  <c r="D11" i="4"/>
  <c r="F11" i="4" s="1"/>
  <c r="E7" i="4"/>
  <c r="G7" i="4" s="1"/>
  <c r="D7" i="4"/>
  <c r="F7" i="4" s="1"/>
  <c r="H21" i="4" l="1"/>
  <c r="F20" i="2" s="1"/>
  <c r="H33" i="4"/>
  <c r="H69" i="4"/>
  <c r="H53" i="4"/>
  <c r="F52" i="2" s="1"/>
  <c r="H93" i="4"/>
  <c r="H6" i="4"/>
  <c r="H26" i="4"/>
  <c r="F25" i="2" s="1"/>
  <c r="H42" i="4"/>
  <c r="H62" i="4"/>
  <c r="H82" i="4"/>
  <c r="H98" i="4"/>
  <c r="F97" i="2" s="1"/>
  <c r="H4" i="4"/>
  <c r="H12" i="4"/>
  <c r="H20" i="4"/>
  <c r="F19" i="2" s="1"/>
  <c r="H28" i="4"/>
  <c r="F27" i="2" s="1"/>
  <c r="H36" i="4"/>
  <c r="H52" i="4"/>
  <c r="F51" i="2" s="1"/>
  <c r="H60" i="4"/>
  <c r="H68" i="4"/>
  <c r="H76" i="4"/>
  <c r="F75" i="2" s="1"/>
  <c r="H84" i="4"/>
  <c r="F83" i="2" s="1"/>
  <c r="H92" i="4"/>
  <c r="H46" i="4"/>
  <c r="F45" i="2" s="1"/>
  <c r="H86" i="4"/>
  <c r="H30" i="4"/>
  <c r="H70" i="4"/>
  <c r="H7" i="4"/>
  <c r="H15" i="4"/>
  <c r="F14" i="2" s="1"/>
  <c r="H23" i="4"/>
  <c r="F22" i="2" s="1"/>
  <c r="H31" i="4"/>
  <c r="H39" i="4"/>
  <c r="H47" i="4"/>
  <c r="H55" i="4"/>
  <c r="H63" i="4"/>
  <c r="F62" i="2" s="1"/>
  <c r="H71" i="4"/>
  <c r="H79" i="4"/>
  <c r="F78" i="2" s="1"/>
  <c r="H87" i="4"/>
  <c r="H95" i="4"/>
  <c r="H103" i="4"/>
  <c r="H17" i="4"/>
  <c r="F16" i="2" s="1"/>
  <c r="H41" i="4"/>
  <c r="F40" i="2" s="1"/>
  <c r="H65" i="4"/>
  <c r="H81" i="4"/>
  <c r="H97" i="4"/>
  <c r="F96" i="2" s="1"/>
  <c r="H3" i="4"/>
  <c r="H9" i="4"/>
  <c r="H22" i="4"/>
  <c r="F21" i="2" s="1"/>
  <c r="H66" i="4"/>
  <c r="F65" i="2" s="1"/>
  <c r="H57" i="4"/>
  <c r="H25" i="4"/>
  <c r="F24" i="2" s="1"/>
  <c r="H18" i="4"/>
  <c r="F17" i="2" s="1"/>
  <c r="H34" i="4"/>
  <c r="F33" i="2" s="1"/>
  <c r="H54" i="4"/>
  <c r="F53" i="2" s="1"/>
  <c r="H74" i="4"/>
  <c r="H90" i="4"/>
  <c r="H106" i="4"/>
  <c r="H8" i="4"/>
  <c r="H16" i="4"/>
  <c r="F15" i="2" s="1"/>
  <c r="H24" i="4"/>
  <c r="F23" i="2" s="1"/>
  <c r="H32" i="4"/>
  <c r="H40" i="4"/>
  <c r="H48" i="4"/>
  <c r="F47" i="2" s="1"/>
  <c r="H56" i="4"/>
  <c r="H64" i="4"/>
  <c r="H72" i="4"/>
  <c r="H80" i="4"/>
  <c r="H88" i="4"/>
  <c r="F87" i="2" s="1"/>
  <c r="H96" i="4"/>
  <c r="H104" i="4"/>
  <c r="H14" i="4"/>
  <c r="F13" i="2" s="1"/>
  <c r="H38" i="4"/>
  <c r="H58" i="4"/>
  <c r="H78" i="4"/>
  <c r="H102" i="4"/>
  <c r="H10" i="4"/>
  <c r="H50" i="4"/>
  <c r="H94" i="4"/>
  <c r="F93" i="2" s="1"/>
  <c r="H77" i="4"/>
  <c r="H11" i="4"/>
  <c r="H19" i="4"/>
  <c r="F18" i="2" s="1"/>
  <c r="H27" i="4"/>
  <c r="F26" i="2" s="1"/>
  <c r="H35" i="4"/>
  <c r="H43" i="4"/>
  <c r="H51" i="4"/>
  <c r="H59" i="4"/>
  <c r="F58" i="2" s="1"/>
  <c r="H67" i="4"/>
  <c r="H75" i="4"/>
  <c r="H83" i="4"/>
  <c r="H91" i="4"/>
  <c r="F90" i="2" s="1"/>
  <c r="H99" i="4"/>
  <c r="H107" i="4"/>
  <c r="H29" i="4"/>
  <c r="H49" i="4"/>
  <c r="H73" i="4"/>
  <c r="H89" i="4"/>
  <c r="H105" i="4"/>
  <c r="H45" i="4"/>
  <c r="H61" i="4"/>
  <c r="H101" i="4"/>
  <c r="H5" i="4"/>
  <c r="H13" i="4"/>
  <c r="F12" i="2" s="1"/>
  <c r="H37" i="4"/>
  <c r="H85" i="4"/>
  <c r="F84" i="2" s="1"/>
  <c r="F814" i="1"/>
  <c r="F820" i="1"/>
  <c r="F822" i="1"/>
  <c r="F815" i="1"/>
  <c r="F823" i="1"/>
  <c r="F817" i="1"/>
  <c r="F819" i="1"/>
  <c r="F816" i="1"/>
  <c r="G44" i="4"/>
  <c r="H44" i="4" s="1"/>
  <c r="G100" i="4"/>
  <c r="H100" i="4" s="1"/>
  <c r="F99" i="2" l="1"/>
  <c r="F100" i="2"/>
  <c r="F875" i="2"/>
  <c r="F68" i="2"/>
  <c r="F843" i="2"/>
  <c r="F36" i="2"/>
  <c r="F862" i="2"/>
  <c r="F55" i="2"/>
  <c r="F863" i="2"/>
  <c r="F56" i="2"/>
  <c r="F886" i="2"/>
  <c r="F79" i="2"/>
  <c r="F106" i="2"/>
  <c r="F881" i="2"/>
  <c r="F74" i="2"/>
  <c r="F849" i="2"/>
  <c r="F42" i="2"/>
  <c r="F842" i="2"/>
  <c r="F35" i="2"/>
  <c r="F895" i="2"/>
  <c r="F88" i="2"/>
  <c r="F871" i="2"/>
  <c r="F64" i="2"/>
  <c r="F866" i="2"/>
  <c r="F59" i="2"/>
  <c r="F888" i="2"/>
  <c r="F81" i="2"/>
  <c r="F856" i="2"/>
  <c r="F49" i="2"/>
  <c r="F94" i="2"/>
  <c r="F861" i="2"/>
  <c r="F54" i="2"/>
  <c r="F837" i="2"/>
  <c r="F30" i="2"/>
  <c r="F892" i="2"/>
  <c r="F85" i="2"/>
  <c r="F884" i="2"/>
  <c r="F77" i="2"/>
  <c r="F883" i="2"/>
  <c r="F76" i="2"/>
  <c r="F851" i="2"/>
  <c r="F44" i="2"/>
  <c r="F878" i="2"/>
  <c r="F71" i="2"/>
  <c r="F95" i="2"/>
  <c r="F838" i="2"/>
  <c r="F31" i="2"/>
  <c r="F889" i="2"/>
  <c r="F82" i="2"/>
  <c r="F857" i="2"/>
  <c r="F50" i="2"/>
  <c r="F836" i="2"/>
  <c r="F29" i="2"/>
  <c r="F104" i="2"/>
  <c r="F887" i="2"/>
  <c r="F80" i="2"/>
  <c r="F91" i="2"/>
  <c r="F896" i="2"/>
  <c r="F89" i="2"/>
  <c r="F864" i="2"/>
  <c r="F57" i="2"/>
  <c r="F102" i="2"/>
  <c r="F877" i="2"/>
  <c r="F70" i="2"/>
  <c r="F853" i="2"/>
  <c r="F46" i="2"/>
  <c r="F101" i="2"/>
  <c r="F844" i="2"/>
  <c r="F37" i="2"/>
  <c r="F850" i="2"/>
  <c r="F43" i="2"/>
  <c r="F92" i="2"/>
  <c r="F867" i="2"/>
  <c r="F60" i="2"/>
  <c r="F835" i="2"/>
  <c r="F28" i="2"/>
  <c r="F103" i="2"/>
  <c r="F846" i="2"/>
  <c r="F39" i="2"/>
  <c r="F855" i="2"/>
  <c r="F48" i="2"/>
  <c r="F870" i="2"/>
  <c r="F63" i="2"/>
  <c r="F879" i="2"/>
  <c r="F72" i="2"/>
  <c r="F98" i="2"/>
  <c r="F873" i="2"/>
  <c r="F66" i="2"/>
  <c r="F841" i="2"/>
  <c r="F34" i="2"/>
  <c r="F868" i="2"/>
  <c r="F61" i="2"/>
  <c r="F839" i="2"/>
  <c r="F32" i="2"/>
  <c r="F105" i="2"/>
  <c r="F880" i="2"/>
  <c r="F73" i="2"/>
  <c r="F848" i="2"/>
  <c r="F41" i="2"/>
  <c r="F893" i="2"/>
  <c r="F86" i="2"/>
  <c r="F845" i="2"/>
  <c r="F38" i="2"/>
  <c r="F876" i="2"/>
  <c r="F69" i="2"/>
  <c r="F874" i="2"/>
  <c r="F67" i="2"/>
  <c r="F821" i="1"/>
  <c r="F818" i="1"/>
  <c r="F809" i="1"/>
  <c r="F891" i="2"/>
  <c r="F859" i="2"/>
  <c r="F894" i="2"/>
  <c r="F854" i="2"/>
  <c r="F847" i="2"/>
  <c r="F865" i="2"/>
  <c r="F852" i="2"/>
  <c r="F872" i="2"/>
  <c r="F840" i="2"/>
  <c r="F885" i="2"/>
  <c r="F869" i="2"/>
  <c r="F882" i="2"/>
  <c r="F860" i="2"/>
  <c r="F858" i="2"/>
  <c r="F5" i="1"/>
  <c r="F4" i="1"/>
  <c r="F6" i="1"/>
  <c r="F3" i="1"/>
  <c r="F7" i="1"/>
  <c r="F812" i="1"/>
  <c r="F20" i="1"/>
  <c r="F813" i="1"/>
  <c r="F811" i="1"/>
  <c r="F810" i="1"/>
  <c r="F807" i="1"/>
  <c r="F890" i="2"/>
  <c r="F805" i="1"/>
  <c r="F806" i="1"/>
  <c r="F808" i="1"/>
  <c r="F769" i="1"/>
  <c r="F761" i="1"/>
  <c r="B4" i="5"/>
  <c r="D4" i="5" s="1"/>
  <c r="F2" i="1"/>
  <c r="F45" i="1"/>
  <c r="F72" i="1"/>
  <c r="F96" i="1"/>
  <c r="F32" i="1"/>
  <c r="F9" i="1"/>
  <c r="F8" i="2"/>
  <c r="F83" i="1"/>
  <c r="F51" i="1"/>
  <c r="F19" i="1"/>
  <c r="F10" i="1"/>
  <c r="F9" i="2"/>
  <c r="F30" i="1"/>
  <c r="F105" i="1"/>
  <c r="F81" i="1"/>
  <c r="F92" i="1"/>
  <c r="F90" i="1"/>
  <c r="F58" i="1"/>
  <c r="F103" i="1"/>
  <c r="F71" i="1"/>
  <c r="F6" i="2"/>
  <c r="F47" i="1"/>
  <c r="F102" i="1"/>
  <c r="F38" i="1"/>
  <c r="F44" i="1"/>
  <c r="F557" i="1"/>
  <c r="F409" i="1"/>
  <c r="F229" i="1"/>
  <c r="F633" i="1"/>
  <c r="F601" i="1"/>
  <c r="F728" i="1"/>
  <c r="F596" i="1"/>
  <c r="F460" i="1"/>
  <c r="F328" i="1"/>
  <c r="F200" i="1"/>
  <c r="F767" i="1"/>
  <c r="F703" i="1"/>
  <c r="F639" i="1"/>
  <c r="F575" i="1"/>
  <c r="F511" i="1"/>
  <c r="F447" i="1"/>
  <c r="F383" i="1"/>
  <c r="F319" i="1"/>
  <c r="F255" i="1"/>
  <c r="F191" i="1"/>
  <c r="F127" i="1"/>
  <c r="F641" i="1"/>
  <c r="F477" i="1"/>
  <c r="F365" i="1"/>
  <c r="F261" i="1"/>
  <c r="F177" i="1"/>
  <c r="F796" i="1"/>
  <c r="F672" i="1"/>
  <c r="F544" i="1"/>
  <c r="F424" i="1"/>
  <c r="F296" i="1"/>
  <c r="F176" i="1"/>
  <c r="F794" i="1"/>
  <c r="F730" i="1"/>
  <c r="F666" i="1"/>
  <c r="F602" i="1"/>
  <c r="F538" i="1"/>
  <c r="F474" i="1"/>
  <c r="F410" i="1"/>
  <c r="F346" i="1"/>
  <c r="F282" i="1"/>
  <c r="F218" i="1"/>
  <c r="F154" i="1"/>
  <c r="F749" i="1"/>
  <c r="F513" i="1"/>
  <c r="F505" i="1"/>
  <c r="F349" i="1"/>
  <c r="F653" i="1"/>
  <c r="F469" i="1"/>
  <c r="F133" i="1"/>
  <c r="F449" i="1"/>
  <c r="F277" i="1"/>
  <c r="F693" i="1"/>
  <c r="F637" i="1"/>
  <c r="F748" i="1"/>
  <c r="F620" i="1"/>
  <c r="F488" i="1"/>
  <c r="F356" i="1"/>
  <c r="F220" i="1"/>
  <c r="F791" i="1"/>
  <c r="F715" i="1"/>
  <c r="F651" i="1"/>
  <c r="F587" i="1"/>
  <c r="F523" i="1"/>
  <c r="F459" i="1"/>
  <c r="F395" i="1"/>
  <c r="F793" i="1"/>
  <c r="F585" i="1"/>
  <c r="F708" i="1"/>
  <c r="F580" i="1"/>
  <c r="F444" i="1"/>
  <c r="F316" i="1"/>
  <c r="F184" i="1"/>
  <c r="F797" i="1"/>
  <c r="F745" i="1"/>
  <c r="F661" i="1"/>
  <c r="F764" i="1"/>
  <c r="F636" i="1"/>
  <c r="F508" i="1"/>
  <c r="F372" i="1"/>
  <c r="F240" i="1"/>
  <c r="F775" i="1"/>
  <c r="F707" i="1"/>
  <c r="F643" i="1"/>
  <c r="F579" i="1"/>
  <c r="F515" i="1"/>
  <c r="F451" i="1"/>
  <c r="F387" i="1"/>
  <c r="F323" i="1"/>
  <c r="F331" i="1"/>
  <c r="F267" i="1"/>
  <c r="F203" i="1"/>
  <c r="F139" i="1"/>
  <c r="F673" i="1"/>
  <c r="F501" i="1"/>
  <c r="F385" i="1"/>
  <c r="F281" i="1"/>
  <c r="F193" i="1"/>
  <c r="F113" i="1"/>
  <c r="F696" i="1"/>
  <c r="F568" i="1"/>
  <c r="F448" i="1"/>
  <c r="F324" i="1"/>
  <c r="F196" i="1"/>
  <c r="F771" i="1"/>
  <c r="F742" i="1"/>
  <c r="F678" i="1"/>
  <c r="F243" i="1"/>
  <c r="F179" i="1"/>
  <c r="F115" i="1"/>
  <c r="F597" i="1"/>
  <c r="F445" i="1"/>
  <c r="F345" i="1"/>
  <c r="F245" i="1"/>
  <c r="F161" i="1"/>
  <c r="F776" i="1"/>
  <c r="F648" i="1"/>
  <c r="F520" i="1"/>
  <c r="F400" i="1"/>
  <c r="F276" i="1"/>
  <c r="F152" i="1"/>
  <c r="F782" i="1"/>
  <c r="F718" i="1"/>
  <c r="F638" i="1"/>
  <c r="F574" i="1"/>
  <c r="F510" i="1"/>
  <c r="F446" i="1"/>
  <c r="F382" i="1"/>
  <c r="F318" i="1"/>
  <c r="F254" i="1"/>
  <c r="F190" i="1"/>
  <c r="F126" i="1"/>
  <c r="F598" i="1"/>
  <c r="F534" i="1"/>
  <c r="F470" i="1"/>
  <c r="F406" i="1"/>
  <c r="F342" i="1"/>
  <c r="F262" i="1"/>
  <c r="F198" i="1"/>
  <c r="F134" i="1"/>
  <c r="F759" i="1"/>
  <c r="F695" i="1"/>
  <c r="F631" i="1"/>
  <c r="F567" i="1"/>
  <c r="F310" i="1"/>
  <c r="F455" i="1"/>
  <c r="F391" i="1"/>
  <c r="F327" i="1"/>
  <c r="F263" i="1"/>
  <c r="F199" i="1"/>
  <c r="F135" i="1"/>
  <c r="F665" i="1"/>
  <c r="F493" i="1"/>
  <c r="F377" i="1"/>
  <c r="F273" i="1"/>
  <c r="F185" i="1"/>
  <c r="F109" i="1"/>
  <c r="F688" i="1"/>
  <c r="F528" i="1"/>
  <c r="F408" i="1"/>
  <c r="F280" i="1"/>
  <c r="F160" i="1"/>
  <c r="F786" i="1"/>
  <c r="F722" i="1"/>
  <c r="F658" i="1"/>
  <c r="F594" i="1"/>
  <c r="F530" i="1"/>
  <c r="F466" i="1"/>
  <c r="F402" i="1"/>
  <c r="F338" i="1"/>
  <c r="F274" i="1"/>
  <c r="F210" i="1"/>
  <c r="F146" i="1"/>
  <c r="F52" i="1"/>
  <c r="F94" i="1"/>
  <c r="F85" i="1"/>
  <c r="F53" i="1"/>
  <c r="F21" i="1"/>
  <c r="F88" i="1"/>
  <c r="F24" i="1"/>
  <c r="F17" i="1"/>
  <c r="F48" i="1"/>
  <c r="F41" i="1"/>
  <c r="F91" i="1"/>
  <c r="F59" i="1"/>
  <c r="F27" i="1"/>
  <c r="F18" i="1"/>
  <c r="F46" i="1"/>
  <c r="F5" i="2"/>
  <c r="F97" i="1"/>
  <c r="F28" i="1"/>
  <c r="F98" i="1"/>
  <c r="F66" i="1"/>
  <c r="F34" i="1"/>
  <c r="F79" i="1"/>
  <c r="F23" i="1"/>
  <c r="F63" i="1"/>
  <c r="F76" i="1"/>
  <c r="F54" i="1"/>
  <c r="F100" i="1"/>
  <c r="F629" i="1"/>
  <c r="F461" i="1"/>
  <c r="F289" i="1"/>
  <c r="F709" i="1"/>
  <c r="F645" i="1"/>
  <c r="F756" i="1"/>
  <c r="F628" i="1"/>
  <c r="F500" i="1"/>
  <c r="F364" i="1"/>
  <c r="F232" i="1"/>
  <c r="F799" i="1"/>
  <c r="F719" i="1"/>
  <c r="F655" i="1"/>
  <c r="F591" i="1"/>
  <c r="F527" i="1"/>
  <c r="F463" i="1"/>
  <c r="F399" i="1"/>
  <c r="F335" i="1"/>
  <c r="F271" i="1"/>
  <c r="F207" i="1"/>
  <c r="F143" i="1"/>
  <c r="F689" i="1"/>
  <c r="F509" i="1"/>
  <c r="F393" i="1"/>
  <c r="F285" i="1"/>
  <c r="F197" i="1"/>
  <c r="F117" i="1"/>
  <c r="F704" i="1"/>
  <c r="F576" i="1"/>
  <c r="F456" i="1"/>
  <c r="F332" i="1"/>
  <c r="F204" i="1"/>
  <c r="F779" i="1"/>
  <c r="F746" i="1"/>
  <c r="F682" i="1"/>
  <c r="F618" i="1"/>
  <c r="F554" i="1"/>
  <c r="F490" i="1"/>
  <c r="F426" i="1"/>
  <c r="F362" i="1"/>
  <c r="F298" i="1"/>
  <c r="F234" i="1"/>
  <c r="F170" i="1"/>
  <c r="F624" i="1"/>
  <c r="F549" i="1"/>
  <c r="F537" i="1"/>
  <c r="F389" i="1"/>
  <c r="F733" i="1"/>
  <c r="F497" i="1"/>
  <c r="F205" i="1"/>
  <c r="F481" i="1"/>
  <c r="F321" i="1"/>
  <c r="F777" i="1"/>
  <c r="F685" i="1"/>
  <c r="F780" i="1"/>
  <c r="F652" i="1"/>
  <c r="F524" i="1"/>
  <c r="F388" i="1"/>
  <c r="F256" i="1"/>
  <c r="F124" i="1"/>
  <c r="F731" i="1"/>
  <c r="F667" i="1"/>
  <c r="F603" i="1"/>
  <c r="F539" i="1"/>
  <c r="F475" i="1"/>
  <c r="F411" i="1"/>
  <c r="F347" i="1"/>
  <c r="F625" i="1"/>
  <c r="F740" i="1"/>
  <c r="F612" i="1"/>
  <c r="F480" i="1"/>
  <c r="F344" i="1"/>
  <c r="F212" i="1"/>
  <c r="F189" i="1"/>
  <c r="F297" i="1"/>
  <c r="F721" i="1"/>
  <c r="F800" i="1"/>
  <c r="F668" i="1"/>
  <c r="F540" i="1"/>
  <c r="F404" i="1"/>
  <c r="F272" i="1"/>
  <c r="F140" i="1"/>
  <c r="F723" i="1"/>
  <c r="F659" i="1"/>
  <c r="F595" i="1"/>
  <c r="F531" i="1"/>
  <c r="F467" i="1"/>
  <c r="F403" i="1"/>
  <c r="F339" i="1"/>
  <c r="F275" i="1"/>
  <c r="F283" i="1"/>
  <c r="F219" i="1"/>
  <c r="F155" i="1"/>
  <c r="F725" i="1"/>
  <c r="F533" i="1"/>
  <c r="F413" i="1"/>
  <c r="F305" i="1"/>
  <c r="F213" i="1"/>
  <c r="F129" i="1"/>
  <c r="F724" i="1"/>
  <c r="F600" i="1"/>
  <c r="F476" i="1"/>
  <c r="F352" i="1"/>
  <c r="F228" i="1"/>
  <c r="F803" i="1"/>
  <c r="F758" i="1"/>
  <c r="F694" i="1"/>
  <c r="F259" i="1"/>
  <c r="F195" i="1"/>
  <c r="F131" i="1"/>
  <c r="F649" i="1"/>
  <c r="F485" i="1"/>
  <c r="F369" i="1"/>
  <c r="F269" i="1"/>
  <c r="F181" i="1"/>
  <c r="F804" i="1"/>
  <c r="F680" i="1"/>
  <c r="F552" i="1"/>
  <c r="F432" i="1"/>
  <c r="F304" i="1"/>
  <c r="F180" i="1"/>
  <c r="F798" i="1"/>
  <c r="F734" i="1"/>
  <c r="F654" i="1"/>
  <c r="F590" i="1"/>
  <c r="F526" i="1"/>
  <c r="F462" i="1"/>
  <c r="F398" i="1"/>
  <c r="F334" i="1"/>
  <c r="F270" i="1"/>
  <c r="F206" i="1"/>
  <c r="F142" i="1"/>
  <c r="F614" i="1"/>
  <c r="F550" i="1"/>
  <c r="F486" i="1"/>
  <c r="F422" i="1"/>
  <c r="F358" i="1"/>
  <c r="F278" i="1"/>
  <c r="F214" i="1"/>
  <c r="F150" i="1"/>
  <c r="F783" i="1"/>
  <c r="F711" i="1"/>
  <c r="F647" i="1"/>
  <c r="F583" i="1"/>
  <c r="F519" i="1"/>
  <c r="F471" i="1"/>
  <c r="F407" i="1"/>
  <c r="F343" i="1"/>
  <c r="F279" i="1"/>
  <c r="F215" i="1"/>
  <c r="F151" i="1"/>
  <c r="F713" i="1"/>
  <c r="F525" i="1"/>
  <c r="F405" i="1"/>
  <c r="F301" i="1"/>
  <c r="F209" i="1"/>
  <c r="F125" i="1"/>
  <c r="F720" i="1"/>
  <c r="F560" i="1"/>
  <c r="F440" i="1"/>
  <c r="F312" i="1"/>
  <c r="F188" i="1"/>
  <c r="F802" i="1"/>
  <c r="F738" i="1"/>
  <c r="F674" i="1"/>
  <c r="F610" i="1"/>
  <c r="F546" i="1"/>
  <c r="F482" i="1"/>
  <c r="F418" i="1"/>
  <c r="F354" i="1"/>
  <c r="F290" i="1"/>
  <c r="F226" i="1"/>
  <c r="F162" i="1"/>
  <c r="F78" i="1"/>
  <c r="F77" i="1"/>
  <c r="F13" i="1"/>
  <c r="F8" i="1"/>
  <c r="F7" i="2"/>
  <c r="F101" i="1"/>
  <c r="F69" i="1"/>
  <c r="F37" i="1"/>
  <c r="F4" i="2"/>
  <c r="F56" i="1"/>
  <c r="F57" i="1"/>
  <c r="F80" i="1"/>
  <c r="F16" i="1"/>
  <c r="F107" i="1"/>
  <c r="F75" i="1"/>
  <c r="F43" i="1"/>
  <c r="F11" i="1"/>
  <c r="F10" i="2"/>
  <c r="F36" i="1"/>
  <c r="F22" i="1"/>
  <c r="F89" i="1"/>
  <c r="F65" i="1"/>
  <c r="F60" i="1"/>
  <c r="F82" i="1"/>
  <c r="F50" i="1"/>
  <c r="F95" i="1"/>
  <c r="F55" i="1"/>
  <c r="F12" i="1"/>
  <c r="F11" i="2"/>
  <c r="F31" i="1"/>
  <c r="F86" i="1"/>
  <c r="F3" i="2"/>
  <c r="F702" i="1"/>
  <c r="F517" i="1"/>
  <c r="F373" i="1"/>
  <c r="F173" i="1"/>
  <c r="F753" i="1"/>
  <c r="F565" i="1"/>
  <c r="F692" i="1"/>
  <c r="F564" i="1"/>
  <c r="F428" i="1"/>
  <c r="F300" i="1"/>
  <c r="F164" i="1"/>
  <c r="F751" i="1"/>
  <c r="F687" i="1"/>
  <c r="F623" i="1"/>
  <c r="F559" i="1"/>
  <c r="F495" i="1"/>
  <c r="F431" i="1"/>
  <c r="F367" i="1"/>
  <c r="F303" i="1"/>
  <c r="F239" i="1"/>
  <c r="F175" i="1"/>
  <c r="F111" i="1"/>
  <c r="F581" i="1"/>
  <c r="F437" i="1"/>
  <c r="F341" i="1"/>
  <c r="F241" i="1"/>
  <c r="F157" i="1"/>
  <c r="F768" i="1"/>
  <c r="F640" i="1"/>
  <c r="F512" i="1"/>
  <c r="F392" i="1"/>
  <c r="F268" i="1"/>
  <c r="F144" i="1"/>
  <c r="F778" i="1"/>
  <c r="F714" i="1"/>
  <c r="F650" i="1"/>
  <c r="F586" i="1"/>
  <c r="F522" i="1"/>
  <c r="F458" i="1"/>
  <c r="F394" i="1"/>
  <c r="F330" i="1"/>
  <c r="F266" i="1"/>
  <c r="F202" i="1"/>
  <c r="F138" i="1"/>
  <c r="F697" i="1"/>
  <c r="F681" i="1"/>
  <c r="F473" i="1"/>
  <c r="F309" i="1"/>
  <c r="F573" i="1"/>
  <c r="F425" i="1"/>
  <c r="F765" i="1"/>
  <c r="F401" i="1"/>
  <c r="F217" i="1"/>
  <c r="F605" i="1"/>
  <c r="F593" i="1"/>
  <c r="F716" i="1"/>
  <c r="F588" i="1"/>
  <c r="F452" i="1"/>
  <c r="F320" i="1"/>
  <c r="F192" i="1"/>
  <c r="F763" i="1"/>
  <c r="F699" i="1"/>
  <c r="F635" i="1"/>
  <c r="F571" i="1"/>
  <c r="F507" i="1"/>
  <c r="F443" i="1"/>
  <c r="F379" i="1"/>
  <c r="F729" i="1"/>
  <c r="F453" i="1"/>
  <c r="F676" i="1"/>
  <c r="F548" i="1"/>
  <c r="F412" i="1"/>
  <c r="F284" i="1"/>
  <c r="F148" i="1"/>
  <c r="F381" i="1"/>
  <c r="F657" i="1"/>
  <c r="F617" i="1"/>
  <c r="F732" i="1"/>
  <c r="F604" i="1"/>
  <c r="F472" i="1"/>
  <c r="F336" i="1"/>
  <c r="F208" i="1"/>
  <c r="F755" i="1"/>
  <c r="F691" i="1"/>
  <c r="F627" i="1"/>
  <c r="F563" i="1"/>
  <c r="F499" i="1"/>
  <c r="F435" i="1"/>
  <c r="F371" i="1"/>
  <c r="F307" i="1"/>
  <c r="F315" i="1"/>
  <c r="F251" i="1"/>
  <c r="F187" i="1"/>
  <c r="F123" i="1"/>
  <c r="F621" i="1"/>
  <c r="F465" i="1"/>
  <c r="F357" i="1"/>
  <c r="F257" i="1"/>
  <c r="F169" i="1"/>
  <c r="F788" i="1"/>
  <c r="F664" i="1"/>
  <c r="F536" i="1"/>
  <c r="F416" i="1"/>
  <c r="F288" i="1"/>
  <c r="F168" i="1"/>
  <c r="F790" i="1"/>
  <c r="F726" i="1"/>
  <c r="F662" i="1"/>
  <c r="F227" i="1"/>
  <c r="F163" i="1"/>
  <c r="F757" i="1"/>
  <c r="F553" i="1"/>
  <c r="F421" i="1"/>
  <c r="F317" i="1"/>
  <c r="F225" i="1"/>
  <c r="F141" i="1"/>
  <c r="F744" i="1"/>
  <c r="F616" i="1"/>
  <c r="F492" i="1"/>
  <c r="F368" i="1"/>
  <c r="F244" i="1"/>
  <c r="F116" i="1"/>
  <c r="F766" i="1"/>
  <c r="F686" i="1"/>
  <c r="F622" i="1"/>
  <c r="F558" i="1"/>
  <c r="F494" i="1"/>
  <c r="F430" i="1"/>
  <c r="F366" i="1"/>
  <c r="F302" i="1"/>
  <c r="F238" i="1"/>
  <c r="F174" i="1"/>
  <c r="F110" i="1"/>
  <c r="F582" i="1"/>
  <c r="F518" i="1"/>
  <c r="F454" i="1"/>
  <c r="F390" i="1"/>
  <c r="F326" i="1"/>
  <c r="F246" i="1"/>
  <c r="F182" i="1"/>
  <c r="F118" i="1"/>
  <c r="F743" i="1"/>
  <c r="F679" i="1"/>
  <c r="F615" i="1"/>
  <c r="F551" i="1"/>
  <c r="F503" i="1"/>
  <c r="F439" i="1"/>
  <c r="F375" i="1"/>
  <c r="F311" i="1"/>
  <c r="F247" i="1"/>
  <c r="F183" i="1"/>
  <c r="F119" i="1"/>
  <c r="F613" i="1"/>
  <c r="F457" i="1"/>
  <c r="F353" i="1"/>
  <c r="F249" i="1"/>
  <c r="F165" i="1"/>
  <c r="F784" i="1"/>
  <c r="F656" i="1"/>
  <c r="F496" i="1"/>
  <c r="F376" i="1"/>
  <c r="F252" i="1"/>
  <c r="F128" i="1"/>
  <c r="F770" i="1"/>
  <c r="F706" i="1"/>
  <c r="F642" i="1"/>
  <c r="F578" i="1"/>
  <c r="F514" i="1"/>
  <c r="F450" i="1"/>
  <c r="F386" i="1"/>
  <c r="F322" i="1"/>
  <c r="F258" i="1"/>
  <c r="F194" i="1"/>
  <c r="F130" i="1"/>
  <c r="F108" i="1"/>
  <c r="F61" i="1"/>
  <c r="F104" i="1"/>
  <c r="F49" i="1"/>
  <c r="F73" i="1"/>
  <c r="F67" i="1"/>
  <c r="F62" i="1"/>
  <c r="F33" i="1"/>
  <c r="F74" i="1"/>
  <c r="F87" i="1"/>
  <c r="F2" i="2"/>
  <c r="F70" i="1"/>
  <c r="F717" i="1"/>
  <c r="F329" i="1"/>
  <c r="F705" i="1"/>
  <c r="F660" i="1"/>
  <c r="F264" i="1"/>
  <c r="F735" i="1"/>
  <c r="F543" i="1"/>
  <c r="F415" i="1"/>
  <c r="F223" i="1"/>
  <c r="F737" i="1"/>
  <c r="F417" i="1"/>
  <c r="F313" i="1"/>
  <c r="F137" i="1"/>
  <c r="F608" i="1"/>
  <c r="F360" i="1"/>
  <c r="F112" i="1"/>
  <c r="F634" i="1"/>
  <c r="F506" i="1"/>
  <c r="F378" i="1"/>
  <c r="F250" i="1"/>
  <c r="F122" i="1"/>
  <c r="F589" i="1"/>
  <c r="F789" i="1"/>
  <c r="F677" i="1"/>
  <c r="F153" i="1"/>
  <c r="F684" i="1"/>
  <c r="F420" i="1"/>
  <c r="F156" i="1"/>
  <c r="F683" i="1"/>
  <c r="F555" i="1"/>
  <c r="F427" i="1"/>
  <c r="F669" i="1"/>
  <c r="F644" i="1"/>
  <c r="F380" i="1"/>
  <c r="F253" i="1"/>
  <c r="F773" i="1"/>
  <c r="F700" i="1"/>
  <c r="F436" i="1"/>
  <c r="F739" i="1"/>
  <c r="F611" i="1"/>
  <c r="F483" i="1"/>
  <c r="F355" i="1"/>
  <c r="F299" i="1"/>
  <c r="F171" i="1"/>
  <c r="F569" i="1"/>
  <c r="F333" i="1"/>
  <c r="F149" i="1"/>
  <c r="F632" i="1"/>
  <c r="F384" i="1"/>
  <c r="F774" i="1"/>
  <c r="F646" i="1"/>
  <c r="F701" i="1"/>
  <c r="F397" i="1"/>
  <c r="F201" i="1"/>
  <c r="F712" i="1"/>
  <c r="F464" i="1"/>
  <c r="F216" i="1"/>
  <c r="F750" i="1"/>
  <c r="F606" i="1"/>
  <c r="F478" i="1"/>
  <c r="F350" i="1"/>
  <c r="F222" i="1"/>
  <c r="F630" i="1"/>
  <c r="F438" i="1"/>
  <c r="F294" i="1"/>
  <c r="F166" i="1"/>
  <c r="F727" i="1"/>
  <c r="F599" i="1"/>
  <c r="F487" i="1"/>
  <c r="F423" i="1"/>
  <c r="F359" i="1"/>
  <c r="F295" i="1"/>
  <c r="F231" i="1"/>
  <c r="F167" i="1"/>
  <c r="F781" i="1"/>
  <c r="F561" i="1"/>
  <c r="F429" i="1"/>
  <c r="F325" i="1"/>
  <c r="F233" i="1"/>
  <c r="F145" i="1"/>
  <c r="F592" i="1"/>
  <c r="F468" i="1"/>
  <c r="F348" i="1"/>
  <c r="F224" i="1"/>
  <c r="F795" i="1"/>
  <c r="F754" i="1"/>
  <c r="F690" i="1"/>
  <c r="F626" i="1"/>
  <c r="F562" i="1"/>
  <c r="F498" i="1"/>
  <c r="F434" i="1"/>
  <c r="F370" i="1"/>
  <c r="F306" i="1"/>
  <c r="F242" i="1"/>
  <c r="F178" i="1"/>
  <c r="F114" i="1"/>
  <c r="F93" i="1"/>
  <c r="F29" i="1"/>
  <c r="F40" i="1"/>
  <c r="F64" i="1"/>
  <c r="F99" i="1"/>
  <c r="F35" i="1"/>
  <c r="F26" i="1"/>
  <c r="F14" i="1"/>
  <c r="F25" i="1"/>
  <c r="F106" i="1"/>
  <c r="F42" i="1"/>
  <c r="F39" i="1"/>
  <c r="F15" i="1"/>
  <c r="F68" i="1"/>
  <c r="F489" i="1"/>
  <c r="F785" i="1"/>
  <c r="F792" i="1"/>
  <c r="F532" i="1"/>
  <c r="F396" i="1"/>
  <c r="F132" i="1"/>
  <c r="F671" i="1"/>
  <c r="F607" i="1"/>
  <c r="F479" i="1"/>
  <c r="F351" i="1"/>
  <c r="F287" i="1"/>
  <c r="F159" i="1"/>
  <c r="F541" i="1"/>
  <c r="F221" i="1"/>
  <c r="F736" i="1"/>
  <c r="F484" i="1"/>
  <c r="F236" i="1"/>
  <c r="F762" i="1"/>
  <c r="F698" i="1"/>
  <c r="F570" i="1"/>
  <c r="F442" i="1"/>
  <c r="F314" i="1"/>
  <c r="F186" i="1"/>
  <c r="F609" i="1"/>
  <c r="F441" i="1"/>
  <c r="F529" i="1"/>
  <c r="F265" i="1"/>
  <c r="F361" i="1"/>
  <c r="F741" i="1"/>
  <c r="F545" i="1"/>
  <c r="F556" i="1"/>
  <c r="F292" i="1"/>
  <c r="F747" i="1"/>
  <c r="F619" i="1"/>
  <c r="F491" i="1"/>
  <c r="F363" i="1"/>
  <c r="F772" i="1"/>
  <c r="F516" i="1"/>
  <c r="F248" i="1"/>
  <c r="F337" i="1"/>
  <c r="F577" i="1"/>
  <c r="F572" i="1"/>
  <c r="F308" i="1"/>
  <c r="F172" i="1"/>
  <c r="F675" i="1"/>
  <c r="F547" i="1"/>
  <c r="F419" i="1"/>
  <c r="F291" i="1"/>
  <c r="F235" i="1"/>
  <c r="F801" i="1"/>
  <c r="F433" i="1"/>
  <c r="F237" i="1"/>
  <c r="F760" i="1"/>
  <c r="F504" i="1"/>
  <c r="F260" i="1"/>
  <c r="F136" i="1"/>
  <c r="F710" i="1"/>
  <c r="F211" i="1"/>
  <c r="F147" i="1"/>
  <c r="F521" i="1"/>
  <c r="F293" i="1"/>
  <c r="F121" i="1"/>
  <c r="F584" i="1"/>
  <c r="F340" i="1"/>
  <c r="F787" i="1"/>
  <c r="F670" i="1"/>
  <c r="F542" i="1"/>
  <c r="F414" i="1"/>
  <c r="F286" i="1"/>
  <c r="F158" i="1"/>
  <c r="F566" i="1"/>
  <c r="F502" i="1"/>
  <c r="F374" i="1"/>
  <c r="F230" i="1"/>
  <c r="F120" i="1"/>
  <c r="F663" i="1"/>
  <c r="F535" i="1"/>
  <c r="F752" i="1"/>
  <c r="F84" i="1"/>
  <c r="B3" i="5" l="1"/>
  <c r="D3" i="5" s="1"/>
  <c r="B2" i="5"/>
  <c r="D2" i="5" s="1"/>
</calcChain>
</file>

<file path=xl/sharedStrings.xml><?xml version="1.0" encoding="utf-8"?>
<sst xmlns="http://schemas.openxmlformats.org/spreadsheetml/2006/main" count="10140" uniqueCount="4907">
  <si>
    <t>35C00000-02500A02</t>
  </si>
  <si>
    <t>Head:0440F23E2A544981B6</t>
  </si>
  <si>
    <t>00000000-00340102</t>
  </si>
  <si>
    <t>Head:0477EE157A043F80C1</t>
  </si>
  <si>
    <t>00020000-00360102</t>
  </si>
  <si>
    <t>Head:044E68AAF271408142</t>
  </si>
  <si>
    <t>000A0000-00380102</t>
  </si>
  <si>
    <t>Head:042315BA52043F81E8</t>
  </si>
  <si>
    <t>00010000-00350102</t>
  </si>
  <si>
    <t>Head:04A099B502704080B2</t>
  </si>
  <si>
    <t>00000000-02380602</t>
  </si>
  <si>
    <t>01810100-023F0502</t>
  </si>
  <si>
    <t>Head:0464FC14BA8A4980F9</t>
  </si>
  <si>
    <t>01820000-02400502</t>
  </si>
  <si>
    <t>01C10000-02440502</t>
  </si>
  <si>
    <t>018A0000-02450502</t>
  </si>
  <si>
    <t>018B0000-02460502</t>
  </si>
  <si>
    <t>01830000-02420502</t>
  </si>
  <si>
    <t>01880000-02410502</t>
  </si>
  <si>
    <t>018C0000-02430502</t>
  </si>
  <si>
    <t>Head:045E895B82D749809C</t>
  </si>
  <si>
    <t>018E0000-02490502</t>
  </si>
  <si>
    <t>Head:0483181792A54A80FD</t>
  </si>
  <si>
    <t>01920000-02470502</t>
  </si>
  <si>
    <t>Head:04F61369825749801C</t>
  </si>
  <si>
    <t>01940000-024A0502</t>
  </si>
  <si>
    <t>Head:0451F02D8AA14A80E1</t>
  </si>
  <si>
    <t>01930000-02480502</t>
  </si>
  <si>
    <t>Head:0424B61E02FF4A8136</t>
  </si>
  <si>
    <t>01840000-024D0502</t>
  </si>
  <si>
    <t>Head:04856E67CAE04981E2</t>
  </si>
  <si>
    <t>018D0000-024C0502</t>
  </si>
  <si>
    <t>Head:0456C41E8A2C4C806A</t>
  </si>
  <si>
    <t>01960000-024E0502</t>
  </si>
  <si>
    <t>Head:0437AC177A2D4C819A</t>
  </si>
  <si>
    <t>01810000-024B0502</t>
  </si>
  <si>
    <t>Head:046D6F8EFAEE4980DD</t>
  </si>
  <si>
    <t>[ZTP] 01 - Wolf Link [Max Hearts].bin</t>
  </si>
  <si>
    <t>01030000-024F0902</t>
  </si>
  <si>
    <t>Head:04107AE69A8E4B81DE</t>
  </si>
  <si>
    <t>CRC32:BE3CCF00</t>
  </si>
  <si>
    <t>[MSS] 01 - Mario (Soccer) [Unlocked Superstar].bin</t>
  </si>
  <si>
    <t>09C00101-02690E02</t>
  </si>
  <si>
    <t>Head:04D29AC4C23C4D8033</t>
  </si>
  <si>
    <t>CRC32:D68A6629</t>
  </si>
  <si>
    <t>[MSS] 02 - Mario (Baseball) [Unlocked Superstar].bin</t>
  </si>
  <si>
    <t>09C00201-026A0E02</t>
  </si>
  <si>
    <t>Head:04B1310C5A764C80E0</t>
  </si>
  <si>
    <t>CRC32:C58FBFF0</t>
  </si>
  <si>
    <t>[MSS] 03 - Mario (Tennis) [Unlocked Superstar].bin</t>
  </si>
  <si>
    <t>09C00301-026B0E02</t>
  </si>
  <si>
    <t>Head:042ED97B5A764C81E1</t>
  </si>
  <si>
    <t>CRC32:A3B40530</t>
  </si>
  <si>
    <t>[MSS] 04 - Mario (Golf) [Unlocked Superstar].bin</t>
  </si>
  <si>
    <t>09C00401-026C0E02</t>
  </si>
  <si>
    <t>Head:04A1D1FCC23C4D8033</t>
  </si>
  <si>
    <t>CRC32:180627E8</t>
  </si>
  <si>
    <t>[MSS] 05 - Mario (Horse Racing) [Unlocked Superstar].bin</t>
  </si>
  <si>
    <t>09C00501-026D0E02</t>
  </si>
  <si>
    <t>Head:04E395FA623C4D8093</t>
  </si>
  <si>
    <t>CRC32:BF26A469</t>
  </si>
  <si>
    <t>[MSS] 06 - Luigi (Soccer) [Unlocked Superstar].bin</t>
  </si>
  <si>
    <t>09C10101-026E0E02</t>
  </si>
  <si>
    <t>Head:04932D3212734C80AD</t>
  </si>
  <si>
    <t>CRC32:7F26A8ED</t>
  </si>
  <si>
    <t>[MSS] 07 - Luigi (Baseball) [Unlocked Superstar].bin</t>
  </si>
  <si>
    <t>09C10201-026F0E02</t>
  </si>
  <si>
    <t>Head:0410C8546A764C81D1</t>
  </si>
  <si>
    <t>CRC32:22F9ACAF</t>
  </si>
  <si>
    <t>[MSS] 08 - Luigi (Tennis) [Unlocked Superstar].bin</t>
  </si>
  <si>
    <t>09C10301-02700E02</t>
  </si>
  <si>
    <t>Head:041BCD5AEA754C8152</t>
  </si>
  <si>
    <t>CRC32:47E34CF8</t>
  </si>
  <si>
    <t>[MSS] 09 - Luigi (Golf) [Unlocked Superstar].bin</t>
  </si>
  <si>
    <t>09C10401-02710E02</t>
  </si>
  <si>
    <t>Head:04DA782E32384D80C7</t>
  </si>
  <si>
    <t>CRC32:EE930592</t>
  </si>
  <si>
    <t>[MSS] 10 - Luigi (Horse Racing) [Unlocked Superstar].bin</t>
  </si>
  <si>
    <t>09C10501-02720E02</t>
  </si>
  <si>
    <t>Head:0411FD60CAE84C81EF</t>
  </si>
  <si>
    <t>CRC32:94E805A3</t>
  </si>
  <si>
    <t>[MSS] 11 - Peach (Soccer) [Unlocked Superstar].bin</t>
  </si>
  <si>
    <t>09C20101-02730E02</t>
  </si>
  <si>
    <t>Head:04A19AB7C23C4D8033</t>
  </si>
  <si>
    <t>CRC32:331363E0</t>
  </si>
  <si>
    <t>[MSS] 12 - Peach (Baseball) [Unlocked Superstar].bin</t>
  </si>
  <si>
    <t>09C20201-02740E02</t>
  </si>
  <si>
    <t>Head:04ACD6F662764C80D8</t>
  </si>
  <si>
    <t>CRC32:3A55D90A</t>
  </si>
  <si>
    <t>[MSS] 13 - Peach (Tennis) [Unlocked Superstar].bin</t>
  </si>
  <si>
    <t>09C20301-02750E02</t>
  </si>
  <si>
    <t>Head:0464967EAA2C4C814B</t>
  </si>
  <si>
    <t>CRC32:ED7AC146</t>
  </si>
  <si>
    <t>[MSS] 14 - Peach (Golf) [Unlocked Superstar].bin</t>
  </si>
  <si>
    <t>09C20401-02760E02</t>
  </si>
  <si>
    <t>Head:04DCD383C23C4D8033</t>
  </si>
  <si>
    <t>CRC32:1F2DDB24</t>
  </si>
  <si>
    <t>[MSS] 15 - Peach (Horse Racing) [Unlocked Superstar].bin</t>
  </si>
  <si>
    <t>09C20501-02770E02</t>
  </si>
  <si>
    <t>Head:04AFA182523C4D80A3</t>
  </si>
  <si>
    <t>CRC32:C34E5999</t>
  </si>
  <si>
    <t>[MSS] 16 - Daisy (Soccer) [Unlocked Superstar].bin</t>
  </si>
  <si>
    <t>09C30101-02780E02</t>
  </si>
  <si>
    <t>Head:043451E9FA754C8142</t>
  </si>
  <si>
    <t>CRC32:F4601BBA</t>
  </si>
  <si>
    <t>[MSS] 17 - Daisy (Baseball) [Unlocked Superstar].bin</t>
  </si>
  <si>
    <t>09C30201-02790E02</t>
  </si>
  <si>
    <t>Head:04BBD6E162764C80D8</t>
  </si>
  <si>
    <t>CRC32:9C3EF9B5</t>
  </si>
  <si>
    <t>[MSS] 18 - Daisy (Tennis) [Unlocked Superstar].bin</t>
  </si>
  <si>
    <t>09C30301-027A0E02</t>
  </si>
  <si>
    <t>Head:04639679AA2C4C814B</t>
  </si>
  <si>
    <t>CRC32:881F9E4E</t>
  </si>
  <si>
    <t>[MSS] 19 - Daisy (Golf) [Unlocked Superstar].bin</t>
  </si>
  <si>
    <t>09C30401-027B0E02</t>
  </si>
  <si>
    <t>Head:0455B76EC23C4D8132</t>
  </si>
  <si>
    <t>CRC32:4D1BC292</t>
  </si>
  <si>
    <t>[MSS] 20 - Daisy (Horse Racing) [Unlocked Superstar].bin</t>
  </si>
  <si>
    <t>09C30501-027C0E02</t>
  </si>
  <si>
    <t>Head:042BA502CAE84C81EF</t>
  </si>
  <si>
    <t>CRC32:C5D25F55</t>
  </si>
  <si>
    <t>[MSS] 21 - Yoshi (Soccer) [Unlocked Superstar].bin</t>
  </si>
  <si>
    <t>09C40101-027D0E02</t>
  </si>
  <si>
    <t>Head:04F63C46A2724C801C</t>
  </si>
  <si>
    <t>CRC32:8AF2177A</t>
  </si>
  <si>
    <t>[MSS] 22 - Yoshi (Baseball) [Unlocked Superstar].bin</t>
  </si>
  <si>
    <t>09C40201-027E0E02</t>
  </si>
  <si>
    <t>Head:04865E5432314C80CF</t>
  </si>
  <si>
    <t>CRC32:A7DDC66E</t>
  </si>
  <si>
    <t>[MSS] 23 - Yoshi (Tennis) [Unlocked Superstar].bin</t>
  </si>
  <si>
    <t>09C40301-027F0E02</t>
  </si>
  <si>
    <t>Head:04EA84E2DA754C8063</t>
  </si>
  <si>
    <t>CRC32:D01B09B2</t>
  </si>
  <si>
    <t>[MSS] 24 - Yoshi (Golf) [Unlocked Superstar].bin</t>
  </si>
  <si>
    <t>09C40401-02800E02</t>
  </si>
  <si>
    <t>Head:040276F8C23C4D8132</t>
  </si>
  <si>
    <t>CRC32:3C0B8BB4</t>
  </si>
  <si>
    <t>[MSS] 25 - Yoshi (Horse Racing) [Unlocked Superstar].bin</t>
  </si>
  <si>
    <t>09C40501-02810E02</t>
  </si>
  <si>
    <t>Head:04CFBAF9B2E04C809E</t>
  </si>
  <si>
    <t>CRC32:87C5CBE7</t>
  </si>
  <si>
    <t>[MSS] 26 - Wario (Soccer) [Unlocked Superstar].bin</t>
  </si>
  <si>
    <t>09C50101-02820E02</t>
  </si>
  <si>
    <t>Head:04111D802AEA4C810D</t>
  </si>
  <si>
    <t>CRC32:F04309A4</t>
  </si>
  <si>
    <t>[MSS] 27 - Wario (Baseball) [Unlocked Superstar].bin</t>
  </si>
  <si>
    <t>09C50201-02830E02</t>
  </si>
  <si>
    <t>Head:04975E4532314C80CF</t>
  </si>
  <si>
    <t>CRC32:E04E18FD</t>
  </si>
  <si>
    <t>[MSS] 28 - Wario (Tennis) [Unlocked Superstar].bin</t>
  </si>
  <si>
    <t>09C50301-02840E02</t>
  </si>
  <si>
    <t>Head:04EF0E6D623C4D8497</t>
  </si>
  <si>
    <t>CRC32:BF91CA3D</t>
  </si>
  <si>
    <t>[MSS] 29 - Wario (Golf) [Unlocked Superstar].bin</t>
  </si>
  <si>
    <t>09C50401-02850E02</t>
  </si>
  <si>
    <t>Head:04BE6E5CA23C4D8053</t>
  </si>
  <si>
    <t>CRC32:5D551A68</t>
  </si>
  <si>
    <t>[MSS] 30 - Wario (Horse Racing) [Unlocked Superstar].bin</t>
  </si>
  <si>
    <t>09C50501-02860E02</t>
  </si>
  <si>
    <t>Head:04EA2D4B7A384D808F</t>
  </si>
  <si>
    <t>CRC32:5014F647</t>
  </si>
  <si>
    <t>[MSS] 31 - Waluigi (Soccer) [Unlocked Superstar].bin</t>
  </si>
  <si>
    <t>09C60101-02870E02</t>
  </si>
  <si>
    <t>Head:04282A8ED2E84C81F7</t>
  </si>
  <si>
    <t>CRC32:F15DCADB</t>
  </si>
  <si>
    <t>[MSS] 32 - Waluigi (Baseball) [Unlocked Superstar].bin</t>
  </si>
  <si>
    <t>09C60201-02880E02</t>
  </si>
  <si>
    <t>Head:0457558E2A314C81D6</t>
  </si>
  <si>
    <t>CRC32:1D87F9F0</t>
  </si>
  <si>
    <t>[MSS] 33 - Waluigi (Tennis) [Unlocked Superstar].bin</t>
  </si>
  <si>
    <t>09C60301-02890E02</t>
  </si>
  <si>
    <t>Head:045247995A764C80E0</t>
  </si>
  <si>
    <t>CRC32:16739325</t>
  </si>
  <si>
    <t>[MSS] 34 - Waluigi (Golf) [Unlocked Superstar].bin</t>
  </si>
  <si>
    <t>09C60401-028A0E02</t>
  </si>
  <si>
    <t>Head:043E883A4A384D81BE</t>
  </si>
  <si>
    <t>CRC32:4FAADE3F</t>
  </si>
  <si>
    <t>[MSS] 35 - Waluigi (Horse Racing) [Unlocked Superstar].bin</t>
  </si>
  <si>
    <t>09C60501-028B0E02</t>
  </si>
  <si>
    <t>Head:04E92D487A384D808F</t>
  </si>
  <si>
    <t>CRC32:494960F0</t>
  </si>
  <si>
    <t>[MSS] 36 - Donkey Kong (Soccer) [Unlocked Superstar].bin</t>
  </si>
  <si>
    <t>09C70101-028C0E02</t>
  </si>
  <si>
    <t>Head:04439956DA754C8063</t>
  </si>
  <si>
    <t>CRC32:CC78A7D2</t>
  </si>
  <si>
    <t>[MSS] 37 - Donkey Kong (Baseball) [Unlocked Superstar].bin</t>
  </si>
  <si>
    <t>09C70201-028D0E02</t>
  </si>
  <si>
    <t>Head:04875E5532314C80CF</t>
  </si>
  <si>
    <t>CRC32:1A36116E</t>
  </si>
  <si>
    <t>[MSS] 38 - Donkey Kong (Tennis) [Unlocked Superstar].bin</t>
  </si>
  <si>
    <t>09C70301-028E0E02</t>
  </si>
  <si>
    <t>Head:041FAC3FF2754C804B</t>
  </si>
  <si>
    <t>CRC32:4C22CFCA</t>
  </si>
  <si>
    <t>[MSS] 39 - Donkey Kong (Golf) [Unlocked Superstar].bin</t>
  </si>
  <si>
    <t>09C70401-028F0E02</t>
  </si>
  <si>
    <t>Head:043F883B4A384D81BE</t>
  </si>
  <si>
    <t>CRC32:BCB29474</t>
  </si>
  <si>
    <t>[MSS] 40 - Donkey Kong (Horse Racing) [Unlocked Superstar].bin</t>
  </si>
  <si>
    <t>09C70501-02900E02</t>
  </si>
  <si>
    <t>Head:04DA2D7B7A384D808F</t>
  </si>
  <si>
    <t>[MSS] 41 - Diddy Kong (Soccer) [Unlocked Superstar].bin</t>
  </si>
  <si>
    <t>09C80101-02910E02</t>
  </si>
  <si>
    <t>Head:0426258F1A784C81AF</t>
  </si>
  <si>
    <t>CRC32:BC89E2E5</t>
  </si>
  <si>
    <t>[MSS] 42 - Diddy Kong (Baseball) [Unlocked Superstar].bin</t>
  </si>
  <si>
    <t>09C80201-02920E02</t>
  </si>
  <si>
    <t>Head:04BECDFF02734C80BD</t>
  </si>
  <si>
    <t>[MSS] 43 - Diddy Kong (Tennis) [Unlocked Superstar].bin</t>
  </si>
  <si>
    <t>09C80301-02930E02</t>
  </si>
  <si>
    <t>Head:046B5CBBA2E34C818C</t>
  </si>
  <si>
    <t>CRC32:138CBF3F</t>
  </si>
  <si>
    <t>[MSS] 44 - Diddy Kong (Golf) [Unlocked Superstar].bin</t>
  </si>
  <si>
    <t>09C80401-02940E02</t>
  </si>
  <si>
    <t>Head:04B6C9F3AA3C4D805B</t>
  </si>
  <si>
    <t>CRC32:9FA69317</t>
  </si>
  <si>
    <t>[MSS] 45 - Diddy Kong (Horse Racing) [Unlocked Superstar].bin</t>
  </si>
  <si>
    <t>09C80501-02950E02</t>
  </si>
  <si>
    <t>Head:04F086FA62E84C8046</t>
  </si>
  <si>
    <t>CRC32:7CFEF186</t>
  </si>
  <si>
    <t>[MSS] 46 - Bowser (Soccer) [Unlocked Superstar].bin</t>
  </si>
  <si>
    <t>09C90101-02960E02</t>
  </si>
  <si>
    <t>Head:04C12E63FA754C8043</t>
  </si>
  <si>
    <t>CRC32:3891FC59</t>
  </si>
  <si>
    <t>[MSS] 47 - Bowser (Baseball) [Unlocked Superstar].bin</t>
  </si>
  <si>
    <t>09C90201-02970E02</t>
  </si>
  <si>
    <t>Head:04533AE5CA724C8175</t>
  </si>
  <si>
    <t>CRC32:30D84139</t>
  </si>
  <si>
    <t>[MSS] 48 - Bowser (Tennis) [Unlocked Superstar].bin</t>
  </si>
  <si>
    <t>09C90301-02980E02</t>
  </si>
  <si>
    <t>Head:04AF2300BA3C4D804B</t>
  </si>
  <si>
    <t>CRC32:98510EF4</t>
  </si>
  <si>
    <t>[MSS] 49 - Bowser (Golf) [Unlocked Superstar].bin</t>
  </si>
  <si>
    <t>09C90401-02990E02</t>
  </si>
  <si>
    <t>Head:0459DF0AD2E84C80F6</t>
  </si>
  <si>
    <t>CRC32:71197807</t>
  </si>
  <si>
    <t>[MSS] 50 - Bowser (Horse Racing) [Unlocked Superstar].bin</t>
  </si>
  <si>
    <t>09C90501-029A0E02</t>
  </si>
  <si>
    <t>Head:04F186FB62E84C8046</t>
  </si>
  <si>
    <t>CRC32:982CF947</t>
  </si>
  <si>
    <t>[MSS] 51 - Bowser Jr. (Soccer) [Unlocked Superstar].bin</t>
  </si>
  <si>
    <t>09CA0101-029B0E02</t>
  </si>
  <si>
    <t>Head:04417CB162E84C8147</t>
  </si>
  <si>
    <t>CRC32:30D03F6E</t>
  </si>
  <si>
    <t>[MSS] 52 - Bowser Jr. (Baseball) [Unlocked Superstar].bin</t>
  </si>
  <si>
    <t>09CA0201-029C0E02</t>
  </si>
  <si>
    <t>Head:0488C4C04AE14C8067</t>
  </si>
  <si>
    <t>CRC32:34A4148A</t>
  </si>
  <si>
    <t>[MSS] 53 - Bowser Jr.  (Tennis) [Unlocked Superstar].bin</t>
  </si>
  <si>
    <t>09CA0301-029D0E02</t>
  </si>
  <si>
    <t>Head:04FF3645BA3C4D804B</t>
  </si>
  <si>
    <t>CRC32:6C5D276F</t>
  </si>
  <si>
    <t>[MSS] 54 - Bowser Jr. (Golf) [Unlocked Superstar].bin</t>
  </si>
  <si>
    <t>09CA0401-029E0E02</t>
  </si>
  <si>
    <t>Head:04CAECAAD2E84C80F6</t>
  </si>
  <si>
    <t>CRC32:F50DF9AB</t>
  </si>
  <si>
    <t>[MSS] 55 - Bowser Jr. (Horse Racing) [Unlocked Superstar].bin</t>
  </si>
  <si>
    <t>09CA0501-029F0E02</t>
  </si>
  <si>
    <t>Head:043D3C8D2AEA4C800C</t>
  </si>
  <si>
    <t>CRC32:459A7F26</t>
  </si>
  <si>
    <t>[MSS] 56 - Boo (Soccer) [Unlocked Superstar].bin</t>
  </si>
  <si>
    <t>09CB0101-02A00E02</t>
  </si>
  <si>
    <t>Head:0427258E1A784C81AF</t>
  </si>
  <si>
    <t>CRC32:51631CE3</t>
  </si>
  <si>
    <t>[MSS] 57 - Boo (Baseball) [Unlocked Superstar].bin</t>
  </si>
  <si>
    <t>09CB0201-02A10E02</t>
  </si>
  <si>
    <t>Head:04D82672CA724C8074</t>
  </si>
  <si>
    <t>CRC32:A7509C89</t>
  </si>
  <si>
    <t>[MSS] 58 - Boo (Tennis) [Unlocked Superstar].bin</t>
  </si>
  <si>
    <t>09CB0301-02A20E02</t>
  </si>
  <si>
    <t>Head:043D73C2C23C4D8033</t>
  </si>
  <si>
    <t>CRC32:2910F439</t>
  </si>
  <si>
    <t>[MSS] 59 - Boo (Golf) [Unlocked Superstar].bin</t>
  </si>
  <si>
    <t>09CB0401-02A30E02</t>
  </si>
  <si>
    <t>Head:048E3A38B2E84C8096</t>
  </si>
  <si>
    <t>CRC32:320E7E66</t>
  </si>
  <si>
    <t>[MSS] 60 - Boo (Horse Racing) [Unlocked Superstar].bin</t>
  </si>
  <si>
    <t>09CB0501-02A40E02</t>
  </si>
  <si>
    <t>Head:0491D3CEBA3C4D804B</t>
  </si>
  <si>
    <t>CRC32:A50EF852</t>
  </si>
  <si>
    <t>[MSS] 61 - Baby Mario (Soccer) [Unlocked Superstar].bin</t>
  </si>
  <si>
    <t>09CC0101-02A50E02</t>
  </si>
  <si>
    <t>Head:0483303F32764C8088</t>
  </si>
  <si>
    <t>CRC32:110A55FA</t>
  </si>
  <si>
    <t>[MSS] 62 - Baby Mario (Baseball) [Unlocked Superstar].bin</t>
  </si>
  <si>
    <t>09CC0201-02A60E02</t>
  </si>
  <si>
    <t>Head:04907F634AE14C8067</t>
  </si>
  <si>
    <t>CRC32:DDF2AD55</t>
  </si>
  <si>
    <t>[MSS] 63 - Baby Mario (Tennis) [Unlocked Superstar].bin</t>
  </si>
  <si>
    <t>09CC0301-02A70E02</t>
  </si>
  <si>
    <t>Head:0493BBA4CA3C4D803B</t>
  </si>
  <si>
    <t>CRC32:88AC6427</t>
  </si>
  <si>
    <t>[MSS] 64 - Baby Mario (Golf) [Unlocked Superstar].bin</t>
  </si>
  <si>
    <t>09CC0401-02A80E02</t>
  </si>
  <si>
    <t>Head:04F3D5AACA3C4D803B</t>
  </si>
  <si>
    <t>CRC32:E86D98C5</t>
  </si>
  <si>
    <t>[MSS] 65 - Baby Mario (Horse Racing) [Unlocked Superstar].bin</t>
  </si>
  <si>
    <t>09CC0501-02A90E02</t>
  </si>
  <si>
    <t>Head:04405A96D2E84C80F6</t>
  </si>
  <si>
    <t>CRC32:3263E885</t>
  </si>
  <si>
    <t>[MSS] 66 - Baby Luigi (Soccer) [Unlocked Superstar].bin</t>
  </si>
  <si>
    <t>09CD0101-02AA0E02</t>
  </si>
  <si>
    <t>Head:04558A533A764C8080</t>
  </si>
  <si>
    <t>CRC32:7F95C06C</t>
  </si>
  <si>
    <t>[MSS] 67 - Baby Luigi (Baseball) [Unlocked Superstar].bin</t>
  </si>
  <si>
    <t>09CD0201-02AB0E02</t>
  </si>
  <si>
    <t>Head:0405BA3302734C81BC</t>
  </si>
  <si>
    <t>CRC32:6D380FAE</t>
  </si>
  <si>
    <t>[MSS] 68 - Baby Luigi (Tennis) [Unlocked Superstar].bin</t>
  </si>
  <si>
    <t>09CD0301-02AC0E02</t>
  </si>
  <si>
    <t>Head:04869298FA754C8142</t>
  </si>
  <si>
    <t>CRC32:D4463CB3</t>
  </si>
  <si>
    <t>[MSS] 69 - Baby Luigi (Golf) [Unlocked Superstar].bin</t>
  </si>
  <si>
    <t>09CD0401-02AD0E02</t>
  </si>
  <si>
    <t>Head:047D8273623C4D8192</t>
  </si>
  <si>
    <t>CRC32:DB6AF0EF</t>
  </si>
  <si>
    <t>[MSS] 70 - Baby Luigi (Horse Racing) [Unlocked Superstar].bin</t>
  </si>
  <si>
    <t>09CD0501-02AE0E02</t>
  </si>
  <si>
    <t>Head:04313E83D2E84C81F7</t>
  </si>
  <si>
    <t>CRC32:53DF6E1E</t>
  </si>
  <si>
    <t>[MSS] 71 - Birdo (Soccer) [Unlocked Superstar].bin</t>
  </si>
  <si>
    <t>09CE0101-02AF0E02</t>
  </si>
  <si>
    <t>Head:04648A623A764C8080</t>
  </si>
  <si>
    <t>CRC32:1377093B</t>
  </si>
  <si>
    <t>[MSS] 72 - Birdo (Baseball) [Unlocked Superstar].bin</t>
  </si>
  <si>
    <t>09CE0201-02B00E02</t>
  </si>
  <si>
    <t>Head:0414BA2202734C81BC</t>
  </si>
  <si>
    <t>CRC32:7795D93E</t>
  </si>
  <si>
    <t>[MSS] 73 - Birdo (Tennis) [Unlocked Superstar].bin</t>
  </si>
  <si>
    <t>09CE0301-02B10E02</t>
  </si>
  <si>
    <t>Head:04643ED6CA3C4D803B</t>
  </si>
  <si>
    <t>CRC32:1ADB2DFD</t>
  </si>
  <si>
    <t>[MSS] 74 - Birdo (Golf) [Unlocked Superstar].bin</t>
  </si>
  <si>
    <t>09CE0401-02B20E02</t>
  </si>
  <si>
    <t>Head:048B020562E04C844A</t>
  </si>
  <si>
    <t>CRC32:1BB6276D</t>
  </si>
  <si>
    <t>[MSS] 75 - Birdo (Horse Racing) [Unlocked Superstar].bin</t>
  </si>
  <si>
    <t>09CE0501-02B30E02</t>
  </si>
  <si>
    <t>Head:04AD8FAE6AE84C804E</t>
  </si>
  <si>
    <t>CRC32:18A32555</t>
  </si>
  <si>
    <t>[MSS] 76 - Rosalina (Soccer) [Unlocked Superstar].bin</t>
  </si>
  <si>
    <t>09CF0101-02B40E02</t>
  </si>
  <si>
    <t>Head:0455CB122A764C8090</t>
  </si>
  <si>
    <t>CRC32:1B73F7CA</t>
  </si>
  <si>
    <t>[MSS] 77 - Rosalina (Baseball) [Unlocked Superstar].bin</t>
  </si>
  <si>
    <t>09CF0201-02B50E02</t>
  </si>
  <si>
    <t>Head:04E093FF4AE14C8067</t>
  </si>
  <si>
    <t>CRC32:A6CF15A2</t>
  </si>
  <si>
    <t>[MSS] 78 - Rosalina (Tennis) [Unlocked Superstar].bin</t>
  </si>
  <si>
    <t>09CF0301-02B60E02</t>
  </si>
  <si>
    <t>Head:04733EC1CA3C4D803B</t>
  </si>
  <si>
    <t>CRC32:B0DE77D8</t>
  </si>
  <si>
    <t>[MSS] 79 - Rosalina (Golf) [Unlocked Superstar].bin</t>
  </si>
  <si>
    <t>09CF0401-02B70E02</t>
  </si>
  <si>
    <t>Head:044062AE623C4D8093</t>
  </si>
  <si>
    <t>CRC32:2ED63630</t>
  </si>
  <si>
    <t>[MSS] 80 - Rosalina (Horse Racing) [Unlocked Superstar].bin</t>
  </si>
  <si>
    <t>09CF0501-02B80E02</t>
  </si>
  <si>
    <t>Head:047226D8B2E04C809E</t>
  </si>
  <si>
    <t>CRC32:A76A1B87</t>
  </si>
  <si>
    <t>[MSS] 81 - Metal Mario (Soccer) [Unlocked Superstar].bin</t>
  </si>
  <si>
    <t>09D00101-02B90E02</t>
  </si>
  <si>
    <t>Head:0457E43F22764C8199</t>
  </si>
  <si>
    <t>CRC32:B23B4D22</t>
  </si>
  <si>
    <t>[MSS] 82 - Metal Mario (Baseball) [Unlocked Superstar].bin</t>
  </si>
  <si>
    <t>09D00201-02BA0E02</t>
  </si>
  <si>
    <t>Head:04DBB2E522764C8098</t>
  </si>
  <si>
    <t>CRC32:753E6924</t>
  </si>
  <si>
    <t>[MSS] 83 - Metal Mario (Tennis) [Unlocked Superstar].bin</t>
  </si>
  <si>
    <t>09D00301-02BB0E02</t>
  </si>
  <si>
    <t>Head:04882F2BBA3C4D804B</t>
  </si>
  <si>
    <t>CRC32:44DBD65B</t>
  </si>
  <si>
    <t>[MSS] 84 - Metal Mario (Golf) [Unlocked Superstar].bin</t>
  </si>
  <si>
    <t>09D00401-02BC0E02</t>
  </si>
  <si>
    <t>Head:04F4B0C8CA724C8074</t>
  </si>
  <si>
    <t>CRC32:7CE394A6</t>
  </si>
  <si>
    <t>[MSS] 85 - Metal Mario (Horse Racing) [Unlocked Superstar].bin</t>
  </si>
  <si>
    <t>09D00501-02BD0E02</t>
  </si>
  <si>
    <t>Head:04686783B23C4D8142</t>
  </si>
  <si>
    <t>CRC32:7E6E4655</t>
  </si>
  <si>
    <t>[MSS] 86 - Pink Gold Peach (Soccer) [Unlocked Superstar].bin</t>
  </si>
  <si>
    <t>09D10101-02BE0E02</t>
  </si>
  <si>
    <t>Head:042974D16A764C80D0</t>
  </si>
  <si>
    <t>CRC32:C8E5B2CD</t>
  </si>
  <si>
    <t>[MSS] 87 - Pink Gold Peach (Baseball) [Unlocked Superstar].bin</t>
  </si>
  <si>
    <t>09D10201-02BF0E02</t>
  </si>
  <si>
    <t>Head:042BC166C2774C8178</t>
  </si>
  <si>
    <t>CRC32:78EDE1A7</t>
  </si>
  <si>
    <t>[MSS] 88 - Pink Gold Peach (Tennis) [Unlocked Superstar].bin</t>
  </si>
  <si>
    <t>09D10301-02C00E02</t>
  </si>
  <si>
    <t>Head:04064DC7A2E34C818C</t>
  </si>
  <si>
    <t>CRC32:3A989D5B</t>
  </si>
  <si>
    <t>[MSS] 89 - Pink Gold Peach (Golf) [Unlocked Superstar].bin</t>
  </si>
  <si>
    <t>09D10401-02C10E02</t>
  </si>
  <si>
    <t>Head:044C925222784C8197</t>
  </si>
  <si>
    <t>CRC32:8C9B6F82</t>
  </si>
  <si>
    <t>[MSS] 90 - Pink Gold Peach (Horse Racing) [Unlocked Superstar].bin</t>
  </si>
  <si>
    <t>09D10501-02C20E02</t>
  </si>
  <si>
    <t>Head:0445A76E62E84C8147</t>
  </si>
  <si>
    <t>CRC32:DD1F450A</t>
  </si>
  <si>
    <t>[SM] 01 - Mario [Loaded with Mario Party 10 Special Data].bin</t>
  </si>
  <si>
    <t>CRC32:83CE0E87</t>
  </si>
  <si>
    <t>[SM] 02 - Peach [Loaded with Mario Party 10 Special Data].bin</t>
  </si>
  <si>
    <t>CRC32:FD9F18E6</t>
  </si>
  <si>
    <t>[SM] 03 - Toad [Loaded with Mario Party 10 Special Data].bin</t>
  </si>
  <si>
    <t>CRC32:73C1D16D</t>
  </si>
  <si>
    <t>[SM] 04 - Luigi [Loaded with Mario Party 10 Special Data].bin</t>
  </si>
  <si>
    <t>CRC32:7C10F500</t>
  </si>
  <si>
    <t>[SM] 05 - Yoshi [Loaded with Mario Party 10 Special Data].bin</t>
  </si>
  <si>
    <t>00030000-00370102</t>
  </si>
  <si>
    <t>Head:046DFA1B626F4080CD</t>
  </si>
  <si>
    <t>CRC32:13224713</t>
  </si>
  <si>
    <t>[SM] 06 - Bowser [Loaded with Mario Party 10 Special Data].bin</t>
  </si>
  <si>
    <t>00050000-00390102</t>
  </si>
  <si>
    <t>Head:0451914CE26F40814C</t>
  </si>
  <si>
    <t>CRC32:FDACC31D</t>
  </si>
  <si>
    <t>[SM] 07 - Mario (Gold Edition) [Loaded with Mario Party 10 Special Data].bin</t>
  </si>
  <si>
    <t>00000000-003C0102</t>
  </si>
  <si>
    <t>Head:042C2A8A0A704081BB</t>
  </si>
  <si>
    <t>CRC32:596AA38B</t>
  </si>
  <si>
    <t>[SM] 08 - Mario (Silver Edition) [Loaded with Mario Party 10 Special Data].bin</t>
  </si>
  <si>
    <t>00000000-003D0102</t>
  </si>
  <si>
    <t>Head:041C59C9E26F40814C</t>
  </si>
  <si>
    <t>CRC32:E19F8EAC</t>
  </si>
  <si>
    <t>[AC] 001 - Isabelle [7-11 DLC Furniture].bin</t>
  </si>
  <si>
    <t>01810001-00440502</t>
  </si>
  <si>
    <t>Head:04E892F65A574980C4</t>
  </si>
  <si>
    <t>CRC32:EC1263CE</t>
  </si>
  <si>
    <t>[AC] 001 - Isabelle [Battle Between Giants Contest Furniture].bin</t>
  </si>
  <si>
    <t>Head:0482636D72574981ED</t>
  </si>
  <si>
    <t>CRC32:6AC6661D</t>
  </si>
  <si>
    <t>[AC] 001 - Isabelle [Campus DLC Furniture].bin</t>
  </si>
  <si>
    <t>CRC32:2F3F44F0</t>
  </si>
  <si>
    <t>[AC] 001 - Isabelle [Monster Hunter DLC Furniture].bin</t>
  </si>
  <si>
    <t>CRC32:877E0C79</t>
  </si>
  <si>
    <t>[AC] 001 - Isabelle [Sweetest Home Contest Furniture].bin</t>
  </si>
  <si>
    <t>CRC32:B5F642DD</t>
  </si>
  <si>
    <t>[AC] 001 - Isabelle [Video Game-Related Items DLC Furniture].bin</t>
  </si>
  <si>
    <t>CRC32:57138A8F</t>
  </si>
  <si>
    <t>key_retail.bin</t>
  </si>
  <si>
    <t>73A20017-FEF85C05</t>
  </si>
  <si>
    <t>Head:1D164B375B72A55728</t>
  </si>
  <si>
    <t>CRC32:C6408C16</t>
  </si>
  <si>
    <t>[YWW] 01 - Green Yarn Yoshi.bin</t>
  </si>
  <si>
    <t>00030102-00410302</t>
  </si>
  <si>
    <t>Head:0438DE6A927C488026</t>
  </si>
  <si>
    <t>CRC32:D9CB27CB</t>
  </si>
  <si>
    <t>[YWW] 02 - Pink Yarn Yoshi.bin</t>
  </si>
  <si>
    <t>00030102-00420302</t>
  </si>
  <si>
    <t>Head:047D76879AA04080FA</t>
  </si>
  <si>
    <t>CRC32:AAFCB0B4</t>
  </si>
  <si>
    <t>[YWW] 03 - Light-Blue Yarn Yoshi.bin</t>
  </si>
  <si>
    <t>00030102-00430302</t>
  </si>
  <si>
    <t>Head:04FCAADA72B2488008</t>
  </si>
  <si>
    <t>CRC32:2AD5A91D</t>
  </si>
  <si>
    <t>[YWW] 04 - Mega Yarn Yoshi.bin</t>
  </si>
  <si>
    <t>00030102-023E0302</t>
  </si>
  <si>
    <t>Head:048B0F084A554984D2</t>
  </si>
  <si>
    <t>CRC32:2DEB5D6E</t>
  </si>
  <si>
    <t>[YWW] 05 - Poochy.bin</t>
  </si>
  <si>
    <t>00800102-035D0302</t>
  </si>
  <si>
    <t>Head:04A8B19552E04C807E</t>
  </si>
  <si>
    <t>CRC32:53AE4F82</t>
  </si>
  <si>
    <t>[ZTP] 01 - Wolf Link.bin</t>
  </si>
  <si>
    <t>Head:0491A4B992754C812A</t>
  </si>
  <si>
    <t>CRC32:BC8AFC9E</t>
  </si>
  <si>
    <t>[ZBW] 01 - Bokoblin.bin</t>
  </si>
  <si>
    <t>01410000-035C0902</t>
  </si>
  <si>
    <t>Head:04A00C20C2E94C80E7</t>
  </si>
  <si>
    <t>CRC32:CBAB6F4B</t>
  </si>
  <si>
    <t>[ZBW] 02 - Guardian.bin</t>
  </si>
  <si>
    <t>01400000-03550902</t>
  </si>
  <si>
    <t>Head:04A7D6FD5A754C80E3</t>
  </si>
  <si>
    <t>CRC32:1B0575DB</t>
  </si>
  <si>
    <t>[ZBW] 03 - Link (Archer).bin</t>
  </si>
  <si>
    <t>01000000-03530902</t>
  </si>
  <si>
    <t>Head:04D5EBB2FA774C8041</t>
  </si>
  <si>
    <t>CRC32:DA395512</t>
  </si>
  <si>
    <t>[ZBW] 04 - Link (Rider).bin</t>
  </si>
  <si>
    <t>01000000-03540902</t>
  </si>
  <si>
    <t>Head:046AB2546A754C80D3</t>
  </si>
  <si>
    <t>CRC32:8E191C46</t>
  </si>
  <si>
    <t>[ZBW] 05 - Zelda.bin</t>
  </si>
  <si>
    <t>01010000-03560902</t>
  </si>
  <si>
    <t>Head:0477B64D42784C80F6</t>
  </si>
  <si>
    <t>CRC32:79A71ADB</t>
  </si>
  <si>
    <t>[3AZ] 01 - 8-bit Link (The Legend of Zelda).bin</t>
  </si>
  <si>
    <t>01000000-034F0902</t>
  </si>
  <si>
    <t>Head:04B33906DAE94C80FF</t>
  </si>
  <si>
    <t>CRC32:F9322643</t>
  </si>
  <si>
    <t>[3AZ] 02 - Link (Ocarina of Time).bin</t>
  </si>
  <si>
    <t>01000000-034B0902</t>
  </si>
  <si>
    <t>Head:047100FDF2E94C84D3</t>
  </si>
  <si>
    <t>CRC32:CAA47A23</t>
  </si>
  <si>
    <t>[3AZ] 03 - Toon Link (The Wind Waker).bin</t>
  </si>
  <si>
    <t>01000100-03500902</t>
  </si>
  <si>
    <t>Head:04219A37DAE94C81FE</t>
  </si>
  <si>
    <t>CRC32:79D23E1D</t>
  </si>
  <si>
    <t>[3AZ] 04 - Toon Zelda (The Wind Waker).bin</t>
  </si>
  <si>
    <t>01010000-03520902</t>
  </si>
  <si>
    <t>Head:04DAB4E2D2B94C80A7</t>
  </si>
  <si>
    <t>CRC32:D0BD0975</t>
  </si>
  <si>
    <t>[3AZ] 05 - Link (Majora's Mask).bin</t>
  </si>
  <si>
    <t>01000000-034C0902</t>
  </si>
  <si>
    <t>Head:046A42A47ABA4C810D</t>
  </si>
  <si>
    <t>CRC32:D7934B56</t>
  </si>
  <si>
    <t>[3AZ] 06 - Link (Twilight Princess).bin</t>
  </si>
  <si>
    <t>01000000-034D0902</t>
  </si>
  <si>
    <t>Head:047332CDD2B94C80A7</t>
  </si>
  <si>
    <t>CRC32:2DAB9C19</t>
  </si>
  <si>
    <t>[3AZ] 07 - Link (Skyward Sword).bin</t>
  </si>
  <si>
    <t>01000000-034E0902</t>
  </si>
  <si>
    <t>Head:048E010332724C8488</t>
  </si>
  <si>
    <t>CRC32:BF8563E5</t>
  </si>
  <si>
    <t>[SSB] 01 - Mario.bin</t>
  </si>
  <si>
    <t>00000000-00000002</t>
  </si>
  <si>
    <t>Head:04647F9762983C8046</t>
  </si>
  <si>
    <t>CRC32:592B2E39</t>
  </si>
  <si>
    <t>[SSB] 02 - Peach.bin</t>
  </si>
  <si>
    <t>00020000-00010002</t>
  </si>
  <si>
    <t>Head:049BC5D282993C80A7</t>
  </si>
  <si>
    <t>CRC32:B51298C8</t>
  </si>
  <si>
    <t>[SSB] 03 - Yoshi.bin</t>
  </si>
  <si>
    <t>00030000-00020002</t>
  </si>
  <si>
    <t>Head:044AE1276ABD3C806B</t>
  </si>
  <si>
    <t>CRC32:BCF922DF</t>
  </si>
  <si>
    <t>[SSB] 04 - Donkey Kong.bin</t>
  </si>
  <si>
    <t>00080000-00030002</t>
  </si>
  <si>
    <t>Head:042D77D61A983C813F</t>
  </si>
  <si>
    <t>CRC32:4E6D0AEB</t>
  </si>
  <si>
    <t>[SSB] 05 - Link.bin</t>
  </si>
  <si>
    <t>01000000-00040002</t>
  </si>
  <si>
    <t>Head:04BD7A4B0AFE3D8049</t>
  </si>
  <si>
    <t>CRC32:1BA6C153</t>
  </si>
  <si>
    <t>[SSB] 06 - Fox.bin</t>
  </si>
  <si>
    <t>05800000-00050002</t>
  </si>
  <si>
    <t>Head:0471C33E82993C81A6</t>
  </si>
  <si>
    <t>CRC32:1BA62BE2</t>
  </si>
  <si>
    <t>[SSB] 07 - Samus.bin</t>
  </si>
  <si>
    <t>05C00000-00060002</t>
  </si>
  <si>
    <t>Head:0482222C6ABD3C806B</t>
  </si>
  <si>
    <t>CRC32:343EBFF6</t>
  </si>
  <si>
    <t>[SSB] 08 - Wii Fit Trainer.bin</t>
  </si>
  <si>
    <t>07000000-00070002</t>
  </si>
  <si>
    <t>Head:04FA6F19DA973C80F1</t>
  </si>
  <si>
    <t>CRC32:9D921836</t>
  </si>
  <si>
    <t>[SSB] 09 - Villager.bin</t>
  </si>
  <si>
    <t>01800000-00080002</t>
  </si>
  <si>
    <t>Head:04AFF1D262983C8046</t>
  </si>
  <si>
    <t>CRC32:54D39756</t>
  </si>
  <si>
    <t>[SSB] 10 - Pikachu.bin</t>
  </si>
  <si>
    <t>19190000-00090002</t>
  </si>
  <si>
    <t>Head:04802A26F2973C80D9</t>
  </si>
  <si>
    <t>CRC32:77E08732</t>
  </si>
  <si>
    <t>[SSB] 11 - Kirby.bin</t>
  </si>
  <si>
    <t>1F000000-000A0002</t>
  </si>
  <si>
    <t>Head:042AF355EA9A3D81CC</t>
  </si>
  <si>
    <t>CRC32:CD2B5879</t>
  </si>
  <si>
    <t>[SSB] 12 - Marth.bin</t>
  </si>
  <si>
    <t>21000000-000B0002</t>
  </si>
  <si>
    <t>Head:04C4D39B32983C8016</t>
  </si>
  <si>
    <t>CRC32:30D44E6F</t>
  </si>
  <si>
    <t>[SSB] 13 - Zelda.bin</t>
  </si>
  <si>
    <t>01010000-000E0002</t>
  </si>
  <si>
    <t>Head:042051FDCA9A3D81EC</t>
  </si>
  <si>
    <t>CRC32:AA490BBF</t>
  </si>
  <si>
    <t>[SSB] 14 - Diddy Kong.bin</t>
  </si>
  <si>
    <t>00090000-000D0002</t>
  </si>
  <si>
    <t>Head:04B8B38732C23E804E</t>
  </si>
  <si>
    <t>CRC32:B2C91C30</t>
  </si>
  <si>
    <t>[SSB] 15 - Luigi.bin</t>
  </si>
  <si>
    <t>00010000-000C0002</t>
  </si>
  <si>
    <t>Head:045A5A8CE21E3E8143</t>
  </si>
  <si>
    <t>[SSB] 16 - Little Mac.bin</t>
  </si>
  <si>
    <t>06C00000-000F0002</t>
  </si>
  <si>
    <t>Head:0493ECF3EA9A3D80CD</t>
  </si>
  <si>
    <t>CRC32:2D52D630</t>
  </si>
  <si>
    <t>[SSB] 17 - Pit.bin</t>
  </si>
  <si>
    <t>07400000-00100002</t>
  </si>
  <si>
    <t>Head:0479A85D22FE3D8160</t>
  </si>
  <si>
    <t>CRC32:75EE024F</t>
  </si>
  <si>
    <t>[SSB] 18 - Captain Falcon.bin</t>
  </si>
  <si>
    <t>06000000-00120002</t>
  </si>
  <si>
    <t>Head:047EF2003AC23E8046</t>
  </si>
  <si>
    <t>CRC32:C8A32E17</t>
  </si>
  <si>
    <t>[SSB] 19 - Rosalina.bin</t>
  </si>
  <si>
    <t>00040100-00130002</t>
  </si>
  <si>
    <t>Head:047BCC3B32623E80EE</t>
  </si>
  <si>
    <t>CRC32:56539C8D</t>
  </si>
  <si>
    <t>[SSB] 20 - Bowser.bin</t>
  </si>
  <si>
    <t>00050000-00140002</t>
  </si>
  <si>
    <t>Head:04C3DB94A2C23E80DE</t>
  </si>
  <si>
    <t>CRC32:6069ADF0</t>
  </si>
  <si>
    <t>[SSB] 21 - Lucario.bin</t>
  </si>
  <si>
    <t>1AC00000-00110002</t>
  </si>
  <si>
    <t>Head:047DF60772613E80AD</t>
  </si>
  <si>
    <t>CRC32:B7A4DF04</t>
  </si>
  <si>
    <t>[SSB] 22 - Toon Link.bin</t>
  </si>
  <si>
    <t>01000100-00160002</t>
  </si>
  <si>
    <t>Head:04F12F5242C23E803E</t>
  </si>
  <si>
    <t>CRC32:A38C7A49</t>
  </si>
  <si>
    <t>[SSB] 23 - Sheik.bin</t>
  </si>
  <si>
    <t>01010100-00170002</t>
  </si>
  <si>
    <t>Head:047B6E99B2A13E80AD</t>
  </si>
  <si>
    <t>CRC32:98324D60</t>
  </si>
  <si>
    <t>[SSB] 24 - Ike.bin</t>
  </si>
  <si>
    <t>21010000-00180002</t>
  </si>
  <si>
    <t>Head:04D48AD22ABD48805F</t>
  </si>
  <si>
    <t>CRC32:4D0E8776</t>
  </si>
  <si>
    <t>[SSB] 25 - Shulk.bin</t>
  </si>
  <si>
    <t>22400000-002B0002</t>
  </si>
  <si>
    <t>Head:0429852042C23E813F</t>
  </si>
  <si>
    <t>CRC32:E1F93863</t>
  </si>
  <si>
    <t>[SSB] 26 - Sonic.bin</t>
  </si>
  <si>
    <t>32000000-00300002</t>
  </si>
  <si>
    <t>Head:044262AC7A043F81C0</t>
  </si>
  <si>
    <t>CRC32:A9A243A8</t>
  </si>
  <si>
    <t>[SSB] 27 - Mega Man.bin</t>
  </si>
  <si>
    <t>34800000-00310002</t>
  </si>
  <si>
    <t>Head:04E0254962E33E803F</t>
  </si>
  <si>
    <t>CRC32:4C5DF50B</t>
  </si>
  <si>
    <t>[SSB] 27S - Mega Man (Gold Edition).bin</t>
  </si>
  <si>
    <t>34800000-02580002</t>
  </si>
  <si>
    <t>Head:040E4ECC206E0481CB</t>
  </si>
  <si>
    <t>CRC32:E9DE4942</t>
  </si>
  <si>
    <t>[SSB] 28 - King Dedede.bin</t>
  </si>
  <si>
    <t>1F020000-00280002</t>
  </si>
  <si>
    <t>Head:04CBE1A6BAA14080DB</t>
  </si>
  <si>
    <t>CRC32:CA2245F6</t>
  </si>
  <si>
    <t>[SSB] 29 - Meta Knight.bin</t>
  </si>
  <si>
    <t>1F010000-00270002</t>
  </si>
  <si>
    <t>Head:04997560F2C64080F4</t>
  </si>
  <si>
    <t>CRC32:16CC07E1</t>
  </si>
  <si>
    <t>[SSB] 30 - Robin.bin</t>
  </si>
  <si>
    <t>21030000-002A0002</t>
  </si>
  <si>
    <t>Head:04577BA01A724081A9</t>
  </si>
  <si>
    <t>CRC32:44704476</t>
  </si>
  <si>
    <t>[SSB] 31 - Lucina.bin</t>
  </si>
  <si>
    <t>21020000-00290002</t>
  </si>
  <si>
    <t>Head:04678E6502724080B0</t>
  </si>
  <si>
    <t>CRC32:7ECD1560</t>
  </si>
  <si>
    <t>33400000-00320002</t>
  </si>
  <si>
    <t>CRC32:64922FAC</t>
  </si>
  <si>
    <t>00070000-001A0002</t>
  </si>
  <si>
    <t>CRC32:6DDAA1B2</t>
  </si>
  <si>
    <t>[SSB] 34 - Ness.bin</t>
  </si>
  <si>
    <t>22800000-002C0002</t>
  </si>
  <si>
    <t>Head:043B81364A6F4080E5</t>
  </si>
  <si>
    <t>CRC32:8886B172</t>
  </si>
  <si>
    <t>19060000-00240002</t>
  </si>
  <si>
    <t>CRC32:F3146954</t>
  </si>
  <si>
    <t>[SSB] 36 - Greninja.bin</t>
  </si>
  <si>
    <t>1B920000-00250002</t>
  </si>
  <si>
    <t>Head:0431EE5302724081B1</t>
  </si>
  <si>
    <t>CRC32:CE8490CA</t>
  </si>
  <si>
    <t>[SSB] 37 - Jigglypuff.bin</t>
  </si>
  <si>
    <t>19270000-00260002</t>
  </si>
  <si>
    <t>Head:043B45F212724081A1</t>
  </si>
  <si>
    <t>CRC32:BB8AE151</t>
  </si>
  <si>
    <t>[SSB] 38 - Palutena.bin</t>
  </si>
  <si>
    <t>07420000-001F0002</t>
  </si>
  <si>
    <t>Head:04CE723042E149806A</t>
  </si>
  <si>
    <t>CRC32:5A0C69B4</t>
  </si>
  <si>
    <t>[SSB] 39 - Dark Pit.bin</t>
  </si>
  <si>
    <t>07410000-00200002</t>
  </si>
  <si>
    <t>Head:043161DC925449800F</t>
  </si>
  <si>
    <t>CRC32:1D5DCE25</t>
  </si>
  <si>
    <t>[SSB] 40 - Zero Suit Samus.bin</t>
  </si>
  <si>
    <t>05C00100-001D0002</t>
  </si>
  <si>
    <t>Head:041B68FFA2A14081C2</t>
  </si>
  <si>
    <t>[SSB] 41 - Ganondorf.bin</t>
  </si>
  <si>
    <t>01020100-001B0002</t>
  </si>
  <si>
    <t>Head:04947B6332BF488045</t>
  </si>
  <si>
    <t>CRC32:5ED26D19</t>
  </si>
  <si>
    <t>[SSB] 42 - Dr. Mario.bin</t>
  </si>
  <si>
    <t>00000100-00190002</t>
  </si>
  <si>
    <t>Head:04D2F2AC027D4880B7</t>
  </si>
  <si>
    <t>CRC32:BE3F4570</t>
  </si>
  <si>
    <t>[SSB] 43 - Bowser Jr.bin</t>
  </si>
  <si>
    <t>00060000-00150002</t>
  </si>
  <si>
    <t>Head:04AE0D2FA2A14080C3</t>
  </si>
  <si>
    <t>CRC32:CD170CF9</t>
  </si>
  <si>
    <t>[SSB] 44 - Olimar.bin</t>
  </si>
  <si>
    <t>06400100-001E0002</t>
  </si>
  <si>
    <t>Head:0469D237627C4881D7</t>
  </si>
  <si>
    <t>CRC32:FAF92B25</t>
  </si>
  <si>
    <t>[SSB] 45 - Mr. Game &amp; Watch.bin</t>
  </si>
  <si>
    <t>07800000-002D0002</t>
  </si>
  <si>
    <t>Head:042E882AF2C84880F2</t>
  </si>
  <si>
    <t>CRC32:7A025B3A</t>
  </si>
  <si>
    <t>[SSB] 46 - R.O.B. (NES).bin</t>
  </si>
  <si>
    <t>07810000-00330002</t>
  </si>
  <si>
    <t>Head:04F3641B3A034980F0</t>
  </si>
  <si>
    <t>CRC32:A4457437</t>
  </si>
  <si>
    <t>[SSB] 47 - Duck Hunt.bin</t>
  </si>
  <si>
    <t>07820000-002F0002</t>
  </si>
  <si>
    <t>Head:04FC30408203498048</t>
  </si>
  <si>
    <t>[SSB] 48 - Mii Brawler.bin</t>
  </si>
  <si>
    <t>07C00000-00210002</t>
  </si>
  <si>
    <t>Head:047854A072B2488008</t>
  </si>
  <si>
    <t>CRC32:19894DA9</t>
  </si>
  <si>
    <t>[SSB] 49 - Mii Swordfighter.bin</t>
  </si>
  <si>
    <t>07C00100-00220002</t>
  </si>
  <si>
    <t>Head:04C256187ABF48800D</t>
  </si>
  <si>
    <t>CRC32:C0F150F1</t>
  </si>
  <si>
    <t>[SSB] 50 - Mii Gunner.bin</t>
  </si>
  <si>
    <t>07C00200-00230002</t>
  </si>
  <si>
    <t>Head:04D9782D8AB24880F0</t>
  </si>
  <si>
    <t>CRC32:EEB90B71</t>
  </si>
  <si>
    <t>[SSB] 51 - Mewtwo.bin</t>
  </si>
  <si>
    <t>19960000-023D0002</t>
  </si>
  <si>
    <t>Head:0431BF029A55498006</t>
  </si>
  <si>
    <t>CRC32:C77F6923</t>
  </si>
  <si>
    <t>[SSB] 52 - Falco.bin</t>
  </si>
  <si>
    <t>05810000-001C0002</t>
  </si>
  <si>
    <t>Head:048F242702C9488003</t>
  </si>
  <si>
    <t>CRC32:1B39E68B</t>
  </si>
  <si>
    <t>[SSB] 53 - Lucas.bin</t>
  </si>
  <si>
    <t>22810000-02510002</t>
  </si>
  <si>
    <t>Head:040821A532124A81EB</t>
  </si>
  <si>
    <t>CRC32:D69E0EAE</t>
  </si>
  <si>
    <t>[SSB] 54 - R.O.B. (Famicom).bin</t>
  </si>
  <si>
    <t>07810000-002E0002</t>
  </si>
  <si>
    <t>Head:04D70D560A3B4080F1</t>
  </si>
  <si>
    <t>CRC32:1A165E7F</t>
  </si>
  <si>
    <t>[SSB] 55 - Roy.bin</t>
  </si>
  <si>
    <t>21040000-02520002</t>
  </si>
  <si>
    <t>Head:046F8C6FD2EE4A80F6</t>
  </si>
  <si>
    <t>CRC32:A4B4EB96</t>
  </si>
  <si>
    <t>[SSB] 56 - Ryu.bin</t>
  </si>
  <si>
    <t>34C00000-02530002</t>
  </si>
  <si>
    <t>Head:0487727942A64A802E</t>
  </si>
  <si>
    <t>CRC32:8BC15C94</t>
  </si>
  <si>
    <t>[SSB] 57 - Cloud.bin</t>
  </si>
  <si>
    <t>36000000-02590002</t>
  </si>
  <si>
    <t>Head:046D49A81AEA4C803C</t>
  </si>
  <si>
    <t>[SSB] 58 - Cloud (Player 2).bin</t>
  </si>
  <si>
    <t>36000100-03620002</t>
  </si>
  <si>
    <t>Head:046B7F98DAB94C81AE</t>
  </si>
  <si>
    <t>CRC32:4A44D076</t>
  </si>
  <si>
    <t>[SSB] 59 - Corrin.bin</t>
  </si>
  <si>
    <t>21050000-025A0002</t>
  </si>
  <si>
    <t>Head:0481C5C8E2E94C80C7</t>
  </si>
  <si>
    <t>CRC32:4D2C4F6F</t>
  </si>
  <si>
    <t>[SSB] 60 - Corrin (Player 2).bin</t>
  </si>
  <si>
    <t>21050100-03630002</t>
  </si>
  <si>
    <t>Head:043776CD5A724C80E4</t>
  </si>
  <si>
    <t>CRC32:9964D012</t>
  </si>
  <si>
    <t>[SSB] 61 - Bayonetta.bin</t>
  </si>
  <si>
    <t>32400000-025B0002</t>
  </si>
  <si>
    <t>Head:0442945A0A734C80B5</t>
  </si>
  <si>
    <t>CRC32:254798FB</t>
  </si>
  <si>
    <t>[SSB] 62 - Bayonetta (Player 2).bin</t>
  </si>
  <si>
    <t>32400100-03640002</t>
  </si>
  <si>
    <t>Head:0497F4EF5A724C80E4</t>
  </si>
  <si>
    <t>CRC32:7510BC3F</t>
  </si>
  <si>
    <t>[Splatoon] 01 - Inkling Boy.bin</t>
  </si>
  <si>
    <t>08000200-003F0402</t>
  </si>
  <si>
    <t>Head:047745BEBA7C48800E</t>
  </si>
  <si>
    <t>CRC32:4BD991E8</t>
  </si>
  <si>
    <t>[Splatoon] 02 - Inkling Girl.bin</t>
  </si>
  <si>
    <t>08000100-003E0402</t>
  </si>
  <si>
    <t>Head:045071ADEAA040818B</t>
  </si>
  <si>
    <t>CRC32:A45D565A</t>
  </si>
  <si>
    <t>[Splatoon] 03 - Inkling Squid.bin</t>
  </si>
  <si>
    <t>08000300-00400402</t>
  </si>
  <si>
    <t>Head:044D2EEFA2C64080A4</t>
  </si>
  <si>
    <t>CRC32:8D7AD4A6</t>
  </si>
  <si>
    <t>[Splatoon] 04 - Callie.bin</t>
  </si>
  <si>
    <t>08010000-025D0402</t>
  </si>
  <si>
    <t>Head:04F08DF1F2444B807D</t>
  </si>
  <si>
    <t>[Splatoon] 05 - Marie.bin</t>
  </si>
  <si>
    <t>08020000-025E0402</t>
  </si>
  <si>
    <t>Head:04EBC2A542484B80C1</t>
  </si>
  <si>
    <t>CRC32:E6A721D4</t>
  </si>
  <si>
    <t>[Splatoon] 06 - Inkling Boy (Purple).bin</t>
  </si>
  <si>
    <t>08000200-02600402</t>
  </si>
  <si>
    <t>Head:041F2FBC7A484B81F8</t>
  </si>
  <si>
    <t>CRC32:692BEE6D</t>
  </si>
  <si>
    <t>[Splatoon] 07 - Inkling Girl (Lime Green).bin</t>
  </si>
  <si>
    <t>08000100-025F0402</t>
  </si>
  <si>
    <t>Head:04BD31006A464B80E7</t>
  </si>
  <si>
    <t>CRC32:C78C2634</t>
  </si>
  <si>
    <t>[Splatoon] 08 - Inkling Squid (Orange).bin</t>
  </si>
  <si>
    <t>08000300-02610402</t>
  </si>
  <si>
    <t>Head:04DD7D2C72464B80FF</t>
  </si>
  <si>
    <t>CRC32:6802A56C</t>
  </si>
  <si>
    <t>[Splatoon] 09 - Inkling Boy (Neon Green).bin</t>
  </si>
  <si>
    <t>08000200-036A0402</t>
  </si>
  <si>
    <t>Head:04177AE13A724C8084</t>
  </si>
  <si>
    <t>[Splatoon] 10 - Inkling Girl (Neon Pink).bin</t>
  </si>
  <si>
    <t>08000100-03690402</t>
  </si>
  <si>
    <t>Head:04BC97A74ABA4C803C</t>
  </si>
  <si>
    <t>CRC32:57C1235F</t>
  </si>
  <si>
    <t>[Splatoon] 11 - Squid (Neon Purple).bin</t>
  </si>
  <si>
    <t>08000300-036B0402</t>
  </si>
  <si>
    <t>Head:04DAABFD42464B80CF</t>
  </si>
  <si>
    <t>CRC32:2869F678</t>
  </si>
  <si>
    <t>[SS] 01 - Hammer Slam Bowser.bin</t>
  </si>
  <si>
    <t>0005FF00-023A0702</t>
  </si>
  <si>
    <t>Head:04E4F69E622C498087</t>
  </si>
  <si>
    <t>CRC32:42DB98DB</t>
  </si>
  <si>
    <t>[SS] 02 - Turbo Charge Donkey Kong.bin</t>
  </si>
  <si>
    <t>0008FF00-023B0702</t>
  </si>
  <si>
    <t>Head:045DB3620ABD48807F</t>
  </si>
  <si>
    <t>[SS] 03 - Dark Hammer Slam Bowser.bin</t>
  </si>
  <si>
    <t>Head:043EE1531ABD48816E</t>
  </si>
  <si>
    <t>CRC32:ACA0A957</t>
  </si>
  <si>
    <t>[SS] 04 - Dark Turbo Charge Donkey Kong.bin</t>
  </si>
  <si>
    <t>Head:047A40B652B2488028</t>
  </si>
  <si>
    <t>CRC32:551FA85F</t>
  </si>
  <si>
    <t>[SN] 01 - Shovel Knight.bin</t>
  </si>
  <si>
    <t>CRC32:19A6A164</t>
  </si>
  <si>
    <t>[PT] 01 - Shadow Mewtwo.bin</t>
  </si>
  <si>
    <t>1D000001-025C0D02</t>
  </si>
  <si>
    <t>Head:04346DD56AED4B814D</t>
  </si>
  <si>
    <t>CRC32:87FD4E73</t>
  </si>
  <si>
    <t>[PIK] 01 - Pikmin.bin</t>
  </si>
  <si>
    <t>06420000-035F1102</t>
  </si>
  <si>
    <t>Head:04E7C6AD52314C80AF</t>
  </si>
  <si>
    <t>CRC32:BEF7940F</t>
  </si>
  <si>
    <t>[MHS] 01 - One-Eyed Rathalos and Rider (Female).bin</t>
  </si>
  <si>
    <t>35000200-02E20F02</t>
  </si>
  <si>
    <t>Head:04C4400872304D808F</t>
  </si>
  <si>
    <t>CRC32:E16B616F</t>
  </si>
  <si>
    <t>[MHS] 02 - One-Eyed Rathalos and Rider (Male).bin</t>
  </si>
  <si>
    <t>35000100-02E10F02</t>
  </si>
  <si>
    <t>Head:04E468006A304D8097</t>
  </si>
  <si>
    <t>CRC32:8F39379C</t>
  </si>
  <si>
    <t>[MHS] 03 - Nabiru.bin</t>
  </si>
  <si>
    <t>35010000-02E30F02</t>
  </si>
  <si>
    <t>Head:04798E7B4A3A4D81BC</t>
  </si>
  <si>
    <t>CRC32:E6BDA7DC</t>
  </si>
  <si>
    <t>[MHS] 04 - Rathian and Cheval.bin</t>
  </si>
  <si>
    <t>35020100-02E40F02</t>
  </si>
  <si>
    <t>Head:0454F52DDAEE4A80FE</t>
  </si>
  <si>
    <t>CRC32:A6DBFA72</t>
  </si>
  <si>
    <t>[MHS] 05 - Barioth and Ayuria.bin</t>
  </si>
  <si>
    <t>35030100-02E50F02</t>
  </si>
  <si>
    <t>Head:040EDE5CF2E94C81D6</t>
  </si>
  <si>
    <t>CRC32:AF29FF19</t>
  </si>
  <si>
    <t>[MHS] 06 - Qurupeco and Dan.bin</t>
  </si>
  <si>
    <t>35040100-02E60F02</t>
  </si>
  <si>
    <t>Head:04BA16206A724C80D4</t>
  </si>
  <si>
    <t>CRC32:B22D1D20</t>
  </si>
  <si>
    <t>[MSS] 01 - Mario (Soccer).bin</t>
  </si>
  <si>
    <t>CRC32:C507DC41</t>
  </si>
  <si>
    <t>[MSS] 02 - Mario (Baseball).bin</t>
  </si>
  <si>
    <t>CRC32:15F33646</t>
  </si>
  <si>
    <t>[MSS] 03 - Mario (Tennis).bin</t>
  </si>
  <si>
    <t>CRC32:27F158F7</t>
  </si>
  <si>
    <t>[MSS] 04 - Mario (Golf).bin</t>
  </si>
  <si>
    <t>CRC32:470E0943</t>
  </si>
  <si>
    <t>[MSS] 05 - Mario (Horse Racing).bin</t>
  </si>
  <si>
    <t>[MSS] 06 - Luigi (Soccer).bin</t>
  </si>
  <si>
    <t>CRC32:F4541052</t>
  </si>
  <si>
    <t>[MSS] 07 - Luigi (Baseball).bin</t>
  </si>
  <si>
    <t>CRC32:74333C6C</t>
  </si>
  <si>
    <t>[MSS] 08 - Luigi (Tennis).bin</t>
  </si>
  <si>
    <t>CRC32:23112B19</t>
  </si>
  <si>
    <t>[MSS] 09 - Luigi (Golf).bin</t>
  </si>
  <si>
    <t>CRC32:6316E0CE</t>
  </si>
  <si>
    <t>[MSS] 10 - Luigi (Horse Racing).bin</t>
  </si>
  <si>
    <t>[MSS] 11 - Peach (Soccer).bin</t>
  </si>
  <si>
    <t>CRC32:BB67C2D7</t>
  </si>
  <si>
    <t>[MSS] 12 - Peach (Baseball).bin</t>
  </si>
  <si>
    <t>CRC32:258AC3DD</t>
  </si>
  <si>
    <t>[MSS] 13 - Peach (Tennis).bin</t>
  </si>
  <si>
    <t>CRC32:95334E7B</t>
  </si>
  <si>
    <t>[MSS] 14 - Peach (Golf).bin</t>
  </si>
  <si>
    <t>CRC32:94F9EBD2</t>
  </si>
  <si>
    <t>[MSS] 15 - Peach (Horse Racing).bin</t>
  </si>
  <si>
    <t>[MSS] 16 - Daisy (Soccer).bin</t>
  </si>
  <si>
    <t>CRC32:3098FF75</t>
  </si>
  <si>
    <t>[MSS] 17 - Daisy (Baseball).bin</t>
  </si>
  <si>
    <t>[MSS] 18 - Daisy (Tennis).bin</t>
  </si>
  <si>
    <t>CRC32:801261B0</t>
  </si>
  <si>
    <t>[MSS] 19 - Daisy (Golf).bin</t>
  </si>
  <si>
    <t>CRC32:2FA61EE2</t>
  </si>
  <si>
    <t>[MSS] 20 - Daisy (Horse Racing).bin</t>
  </si>
  <si>
    <t>CRC32:FEEEC66D</t>
  </si>
  <si>
    <t>[MSS] 21 - Yoshi (Soccer).bin</t>
  </si>
  <si>
    <t>CRC32:F690EA04</t>
  </si>
  <si>
    <t>[MSS] 22 - Yoshi (Baseball).bin</t>
  </si>
  <si>
    <t>[MSS] 23 - Yoshi (Tennis).bin</t>
  </si>
  <si>
    <t>CRC32:7BF383E1</t>
  </si>
  <si>
    <t>[MSS] 24 - Yoshi (Golf).bin</t>
  </si>
  <si>
    <t>CRC32:F8CD1574</t>
  </si>
  <si>
    <t>[MSS] 25 - Yoshi (Horse Racing).bin</t>
  </si>
  <si>
    <t>CRC32:5CEAF19F</t>
  </si>
  <si>
    <t>[MSS] 26 - Wario (Soccer).bin</t>
  </si>
  <si>
    <t>CRC32:E162F492</t>
  </si>
  <si>
    <t>[MSS] 27 - Wario (Baseball).bin</t>
  </si>
  <si>
    <t>CRC32:B92FF4BE</t>
  </si>
  <si>
    <t>[MSS] 28 - Wario (Tennis).bin</t>
  </si>
  <si>
    <t>CRC32:A66C72DD</t>
  </si>
  <si>
    <t>[MSS] 29 - Wario (Golf).bin</t>
  </si>
  <si>
    <t>CRC32:71E18704</t>
  </si>
  <si>
    <t>[MSS] 30 - Wario (Horse Racing).bin</t>
  </si>
  <si>
    <t>CRC32:F25D6B69</t>
  </si>
  <si>
    <t>[MSS] 31 - Waluigi (Soccer).bin</t>
  </si>
  <si>
    <t>CRC32:4BB47A8B</t>
  </si>
  <si>
    <t>[MSS] 32 - Waluigi (Baseball).bin</t>
  </si>
  <si>
    <t>CRC32:E3E813AE</t>
  </si>
  <si>
    <t>[MSS] 33 - Waluigi (Tennis).bin</t>
  </si>
  <si>
    <t>CRC32:5C17C0A5</t>
  </si>
  <si>
    <t>[MSS] 34 - Waluigi (Golf).bin</t>
  </si>
  <si>
    <t>[MSS] 35 - Waluigi (Horse Racing).bin</t>
  </si>
  <si>
    <t>CRC32:7784D873</t>
  </si>
  <si>
    <t>[MSS] 36 - Donkey Kong (Soccer).bin</t>
  </si>
  <si>
    <t>CRC32:6A3E6889</t>
  </si>
  <si>
    <t>[MSS] 37 - Donkey Kong (Baseball).bin</t>
  </si>
  <si>
    <t>CRC32:A9E41BAF</t>
  </si>
  <si>
    <t>[MSS] 38 - Donkey Kong (Tennis).bin</t>
  </si>
  <si>
    <t>CRC32:C61EDD45</t>
  </si>
  <si>
    <t>[MSS] 39 - Donkey Kong (Golf).bin</t>
  </si>
  <si>
    <t>CRC32:86F1C38F</t>
  </si>
  <si>
    <t>[MSS] 40 - Donkey Kong (Horse Racing).bin</t>
  </si>
  <si>
    <t>CRC32:7925347B</t>
  </si>
  <si>
    <t>[MSS] 41 - Diddy Kong (Soccer).bin</t>
  </si>
  <si>
    <t>CRC32:88215740</t>
  </si>
  <si>
    <t>[MSS] 42 - Diddy Kong (Baseball).bin</t>
  </si>
  <si>
    <t>CRC32:E06D5765</t>
  </si>
  <si>
    <t>[MSS] 43 - Diddy Kong (Tennis).bin</t>
  </si>
  <si>
    <t>CRC32:3D7BBEC4</t>
  </si>
  <si>
    <t>[MSS] 44 - Diddy Kong (Golf).bin</t>
  </si>
  <si>
    <t>CRC32:D72E5A5F</t>
  </si>
  <si>
    <t>[MSS] 45 - Diddy Kong (Horse Racing).bin</t>
  </si>
  <si>
    <t>CRC32:4D15F883</t>
  </si>
  <si>
    <t>[MSS] 46 - Bowser (Soccer).bin</t>
  </si>
  <si>
    <t>CRC32:D662617B</t>
  </si>
  <si>
    <t>[MSS] 47 - Bowser (Baseball).bin</t>
  </si>
  <si>
    <t>CRC32:6FEF1D0D</t>
  </si>
  <si>
    <t>[MSS] 48 - Bowser (Tennis).bin</t>
  </si>
  <si>
    <t>CRC32:2E96C833</t>
  </si>
  <si>
    <t>[MSS] 49 - Bowser (Golf).bin</t>
  </si>
  <si>
    <t>CRC32:EC5FA828</t>
  </si>
  <si>
    <t>[MSS] 50 - Bowser (Horse Racing).bin</t>
  </si>
  <si>
    <t>CRC32:12106237</t>
  </si>
  <si>
    <t>[MSS] 51 - Bowser Jr. (Soccer).bin</t>
  </si>
  <si>
    <t>CRC32:E163DD1A</t>
  </si>
  <si>
    <t>[MSS] 52 - Bowser Jr. (Baseball).bin</t>
  </si>
  <si>
    <t>CRC32:1173E751</t>
  </si>
  <si>
    <t>[MSS] 53 - Bowser Jr.  (Tennis).bin</t>
  </si>
  <si>
    <t>CRC32:CC09AB76</t>
  </si>
  <si>
    <t>[MSS] 54 - Bowser Jr. (Golf).bin</t>
  </si>
  <si>
    <t>CRC32:8D4322E2</t>
  </si>
  <si>
    <t>[MSS] 55 - Bowser Jr. (Horse Racing).bin</t>
  </si>
  <si>
    <t>CRC32:549A2060</t>
  </si>
  <si>
    <t>[MSS] 56 - Boo (Soccer).bin</t>
  </si>
  <si>
    <t>CRC32:C76EEB8F</t>
  </si>
  <si>
    <t>[MSS] 57 - Boo (Baseball).bin</t>
  </si>
  <si>
    <t>CRC32:78344431</t>
  </si>
  <si>
    <t>[MSS] 58 - Boo (Tennis).bin</t>
  </si>
  <si>
    <t>CRC32:2A4F83D8</t>
  </si>
  <si>
    <t>[MSS] 59 - Boo (Golf).bin</t>
  </si>
  <si>
    <t>CRC32:ED076596</t>
  </si>
  <si>
    <t>[MSS] 60 - Boo (Horse Racing).bin</t>
  </si>
  <si>
    <t>CRC32:1BB912E6</t>
  </si>
  <si>
    <t>[MSS] 61 - Baby Mario (Soccer).bin</t>
  </si>
  <si>
    <t>CRC32:E367C64D</t>
  </si>
  <si>
    <t>[MSS] 62 - Baby Mario (Baseball).bin</t>
  </si>
  <si>
    <t>CRC32:10B6E82C</t>
  </si>
  <si>
    <t>[MSS] 63 - Baby Mario (Tennis).bin</t>
  </si>
  <si>
    <t>CRC32:F765BC5D</t>
  </si>
  <si>
    <t>[MSS] 64 - Baby Mario (Golf).bin</t>
  </si>
  <si>
    <t>CRC32:43D5550F</t>
  </si>
  <si>
    <t>[MSS] 65 - Baby Mario (Horse Racing).bin</t>
  </si>
  <si>
    <t>CRC32:40966C5A</t>
  </si>
  <si>
    <t>[MSS] 66 - Baby Luigi (Soccer).bin</t>
  </si>
  <si>
    <t>CRC32:1F31632F</t>
  </si>
  <si>
    <t>[MSS] 67 - Baby Luigi (Baseball).bin</t>
  </si>
  <si>
    <t>CRC32:6119193C</t>
  </si>
  <si>
    <t>[MSS] 68 - Baby Luigi (Tennis).bin</t>
  </si>
  <si>
    <t>CRC32:F9D53309</t>
  </si>
  <si>
    <t>[MSS] 69 - Baby Luigi (Golf).bin</t>
  </si>
  <si>
    <t>CRC32:3AEB3DE3</t>
  </si>
  <si>
    <t>[MSS] 70 - Baby Luigi (Horse Racing).bin</t>
  </si>
  <si>
    <t>CRC32:36727BF7</t>
  </si>
  <si>
    <t>[MSS] 71 - Birdo (Soccer).bin</t>
  </si>
  <si>
    <t>CRC32:712C06FA</t>
  </si>
  <si>
    <t>[MSS] 72 - Birdo (Baseball).bin</t>
  </si>
  <si>
    <t>CRC32:32E6949F</t>
  </si>
  <si>
    <t>[MSS] 73 - Birdo (Tennis).bin</t>
  </si>
  <si>
    <t>CRC32:662EAA01</t>
  </si>
  <si>
    <t>[MSS] 74 - Birdo (Golf).bin</t>
  </si>
  <si>
    <t>CRC32:B0AE5D85</t>
  </si>
  <si>
    <t>[MSS] 75 - Birdo (Horse Racing).bin</t>
  </si>
  <si>
    <t>CRC32:167C6F63</t>
  </si>
  <si>
    <t>[MSS] 76 - Rosalina (Soccer).bin</t>
  </si>
  <si>
    <t>CRC32:BDEBFF54</t>
  </si>
  <si>
    <t>[MSS] 77 - Rosalina (Baseball).bin</t>
  </si>
  <si>
    <t>CRC32:1731377C</t>
  </si>
  <si>
    <t>[MSS] 78 - Rosalina (Tennis).bin</t>
  </si>
  <si>
    <t>CRC32:5B1B8059</t>
  </si>
  <si>
    <t>[MSS] 79 - Rosalina (Golf).bin</t>
  </si>
  <si>
    <t>CRC32:5A1F5D83</t>
  </si>
  <si>
    <t>[MSS] 80 - Rosalina (Horse Racing).bin</t>
  </si>
  <si>
    <t>CRC32:945FBA84</t>
  </si>
  <si>
    <t>[MSS] 81 - Metal Mario (Soccer).bin</t>
  </si>
  <si>
    <t>CRC32:36856A9C</t>
  </si>
  <si>
    <t>[MSS] 82 - Metal Mario (Baseball).bin</t>
  </si>
  <si>
    <t>CRC32:DBB7B740</t>
  </si>
  <si>
    <t>[MSS] 83 - Metal Mario (Tennis).bin</t>
  </si>
  <si>
    <t>[MSS] 84 - Metal Mario (Golf).bin</t>
  </si>
  <si>
    <t>CRC32:CED54304</t>
  </si>
  <si>
    <t>[MSS] 85 - Metal Mario (Horse Racing).bin</t>
  </si>
  <si>
    <t>CRC32:A1EBB303</t>
  </si>
  <si>
    <t>[MSS] 86 - Pink Gold Peach (Soccer).bin</t>
  </si>
  <si>
    <t>CRC32:171F162F</t>
  </si>
  <si>
    <t>[MSS] 87 - Pink Gold Peach (Baseball).bin</t>
  </si>
  <si>
    <t>CRC32:DFE2DEBF</t>
  </si>
  <si>
    <t>[MSS] 88 - Pink Gold Peach (Tennis).bin</t>
  </si>
  <si>
    <t>CRC32:4DA15823</t>
  </si>
  <si>
    <t>[MSS] 89 - Pink Gold Peach (Golf).bin</t>
  </si>
  <si>
    <t>CRC32:9B4FDE95</t>
  </si>
  <si>
    <t>[MSS] 90 - Pink Gold Peach (Horse Racing).bin</t>
  </si>
  <si>
    <t>CRC32:9346321C</t>
  </si>
  <si>
    <t>[SM] 01 - Mario.bin</t>
  </si>
  <si>
    <t>CRC32:D90EDD24</t>
  </si>
  <si>
    <t>[SM] 02 - Peach.bin</t>
  </si>
  <si>
    <t>CRC32:6683898D</t>
  </si>
  <si>
    <t>[SM] 03 - Toad.bin</t>
  </si>
  <si>
    <t>CRC32:460784A6</t>
  </si>
  <si>
    <t>[SM] 04 - Luigi.bin</t>
  </si>
  <si>
    <t>CRC32:8AD18F6A</t>
  </si>
  <si>
    <t>[SM] 05 - Yoshi.bin</t>
  </si>
  <si>
    <t>CRC32:42634292</t>
  </si>
  <si>
    <t>[SM] 06 - Bowser.bin</t>
  </si>
  <si>
    <t>CRC32:5A55B678</t>
  </si>
  <si>
    <t>[SM] 07 - Mario (Gold Edition).bin</t>
  </si>
  <si>
    <t>Head:04BAF7C1426F4080ED</t>
  </si>
  <si>
    <t>CRC32:85A9E618</t>
  </si>
  <si>
    <t>[SM] 08 - Mario (Silver Edition).bin</t>
  </si>
  <si>
    <t>Head:048B2F2812704080A2</t>
  </si>
  <si>
    <t>[SM] 09 - Wario.bin</t>
  </si>
  <si>
    <t>00070000-02630102</t>
  </si>
  <si>
    <t>Head:041F59CA7ADD4C816A</t>
  </si>
  <si>
    <t>[SM] 10 - Waluigi.bin</t>
  </si>
  <si>
    <t>00140000-02670102</t>
  </si>
  <si>
    <t>Head:04415994CAE04981E2</t>
  </si>
  <si>
    <t>CRC32:D3AD54A2</t>
  </si>
  <si>
    <t>[SM] 11 - Daisy.bin</t>
  </si>
  <si>
    <t>00130000-02660102</t>
  </si>
  <si>
    <t>Head:0448AE6A72ED4A8055</t>
  </si>
  <si>
    <t>CRC32:977EE945</t>
  </si>
  <si>
    <t>[SM] 12 - Rosalina.bin</t>
  </si>
  <si>
    <t>00040000-02620102</t>
  </si>
  <si>
    <t>Head:04D702593AEA4C8418</t>
  </si>
  <si>
    <t>CRC32:2B262D80</t>
  </si>
  <si>
    <t>[SM] 13 - Donkey Kong.bin</t>
  </si>
  <si>
    <t>00080000-02640102</t>
  </si>
  <si>
    <t>Head:044B63A442464B81CE</t>
  </si>
  <si>
    <t>CRC32:12F03505</t>
  </si>
  <si>
    <t>[SM] 14 - Diddy Kong.bin</t>
  </si>
  <si>
    <t>00090000-02650102</t>
  </si>
  <si>
    <t>Head:0490A9B5D2ED4C80F3</t>
  </si>
  <si>
    <t>CRC32:75ABA3AF</t>
  </si>
  <si>
    <t>[SM] 15 - Boo.bin</t>
  </si>
  <si>
    <t>00170000-02680102</t>
  </si>
  <si>
    <t>Head:0451F02D52304D81AE</t>
  </si>
  <si>
    <t>CRC32:6EBDEA6E</t>
  </si>
  <si>
    <t>[3AM] 01 - Mario Classic Colors.bin</t>
  </si>
  <si>
    <t>Head:04EE32502A574980B4</t>
  </si>
  <si>
    <t>CRC32:B174F63D</t>
  </si>
  <si>
    <t>[3AM] 02 - Mario Modern Colors.bin</t>
  </si>
  <si>
    <t>00000000-02390602</t>
  </si>
  <si>
    <t>Head:041A960072554980EE</t>
  </si>
  <si>
    <t>CRC32:2AD5DAB4</t>
  </si>
  <si>
    <t>[Kirby] 01 - Kirby.bin</t>
  </si>
  <si>
    <t>1F000000-02540C02</t>
  </si>
  <si>
    <t>Head:0483C8C76A464B80E7</t>
  </si>
  <si>
    <t>CRC32:F8A832FC</t>
  </si>
  <si>
    <t>[Kirby] 02 - Meta Knight.bin</t>
  </si>
  <si>
    <t>1F010000-02550C02</t>
  </si>
  <si>
    <t>Head:048B9D9A92754C802B</t>
  </si>
  <si>
    <t>CRC32:2A4DAA8A</t>
  </si>
  <si>
    <t>[Kirby] 03 - King Dedede.bin</t>
  </si>
  <si>
    <t>1F020000-02560C02</t>
  </si>
  <si>
    <t>Head:04F91A6F2A754C8093</t>
  </si>
  <si>
    <t>CRC32:E53F3A5D</t>
  </si>
  <si>
    <t>[Kirby] 04 - Waddle Dee.bin</t>
  </si>
  <si>
    <t>1F030000-02570C02</t>
  </si>
  <si>
    <t>Head:046E9E7C02454B818D</t>
  </si>
  <si>
    <t>CRC32:BE6DE49A</t>
  </si>
  <si>
    <t>[FE] 01 - Alm.bin</t>
  </si>
  <si>
    <t>21060000-03601202</t>
  </si>
  <si>
    <t>Head:04B7C5FE1A3A4D80ED</t>
  </si>
  <si>
    <t>CRC32:69852D0B</t>
  </si>
  <si>
    <t>[FE] 02 - Celica.bin</t>
  </si>
  <si>
    <t>21070000-03611202</t>
  </si>
  <si>
    <t>Head:04DEDF8D1A3A4D80ED</t>
  </si>
  <si>
    <t>CRC32:A2085DFA</t>
  </si>
  <si>
    <t>[CR] 01 - Chibi-Robo.bin</t>
  </si>
  <si>
    <t>22C00000-003A0202</t>
  </si>
  <si>
    <t>Head:042B822512014981DB</t>
  </si>
  <si>
    <t>CRC32:A4BD2BB2</t>
  </si>
  <si>
    <t>[BB] 01 - Qbby.bin</t>
  </si>
  <si>
    <t>1F400000-035E1002</t>
  </si>
  <si>
    <t>Head:04386EDA42724C80FC</t>
  </si>
  <si>
    <t>CRC32:49CB9E91</t>
  </si>
  <si>
    <t>[AC] 01 - Isabelle.bin</t>
  </si>
  <si>
    <t>CRC32:5AF11CBA</t>
  </si>
  <si>
    <t>[AC] 02 - K.K. Slider.bin</t>
  </si>
  <si>
    <t>Head:044B5C9BBA57498024</t>
  </si>
  <si>
    <t>CRC32:2EB5757D</t>
  </si>
  <si>
    <t>[AC] 03 - Lottie.bin</t>
  </si>
  <si>
    <t>Head:048C5858025749809C</t>
  </si>
  <si>
    <t>CRC32:3920A611</t>
  </si>
  <si>
    <t>[AC] 04 - Reese.bin</t>
  </si>
  <si>
    <t>Head:04784BBFCA57498155</t>
  </si>
  <si>
    <t>CRC32:78E8387B</t>
  </si>
  <si>
    <t>Head:045BD4035A554981C7</t>
  </si>
  <si>
    <t>CRC32:58F2419E</t>
  </si>
  <si>
    <t>[AC] 06 - Tom Nook.bin</t>
  </si>
  <si>
    <t>Head:04676F84FAE04981D2</t>
  </si>
  <si>
    <t>CRC32:B136CF6F</t>
  </si>
  <si>
    <t>[AC] 07 - Mabel.bin</t>
  </si>
  <si>
    <t>Head:0436EF55328549817F</t>
  </si>
  <si>
    <t>CRC32:E07EDAA1</t>
  </si>
  <si>
    <t>[AC] 08 - Digby.bin</t>
  </si>
  <si>
    <t>CRC32:66CECD15</t>
  </si>
  <si>
    <t>[AC] 09 - Resetti.bin</t>
  </si>
  <si>
    <t>CRC32:E0082CA9</t>
  </si>
  <si>
    <t>[AC] 10 - Blathers.bin</t>
  </si>
  <si>
    <t>CRC32:B3868185</t>
  </si>
  <si>
    <t>[AC] 11 - Kicks.bin</t>
  </si>
  <si>
    <t>CRC32:56A7E15D</t>
  </si>
  <si>
    <t>[AC] 12 - Celeste.bin</t>
  </si>
  <si>
    <t>CRC32:5EB2F1B6</t>
  </si>
  <si>
    <t>[AC] 13 - Timmy &amp; Tommy.bin</t>
  </si>
  <si>
    <t>[AC] 14 - Rover.bin</t>
  </si>
  <si>
    <t>CRC32:546945CE</t>
  </si>
  <si>
    <t>[AC] 15 - Kapp'n.bin</t>
  </si>
  <si>
    <t>[AC] 16 - Isabelle (Summer Outfit).bin</t>
  </si>
  <si>
    <t>CRC32:FA654B77</t>
  </si>
  <si>
    <t>[AC] W01 - Vivian.bin</t>
  </si>
  <si>
    <t>05130001-02E70502</t>
  </si>
  <si>
    <t>Head:0449884DDA774C8160</t>
  </si>
  <si>
    <t>CRC32:B41F4230</t>
  </si>
  <si>
    <t>[AC] W02 - Hopkins.bin</t>
  </si>
  <si>
    <t>04A20001-02E80502</t>
  </si>
  <si>
    <t>Head:04CA7731A2774C8019</t>
  </si>
  <si>
    <t>CRC32:9BA1E37A</t>
  </si>
  <si>
    <t>[AC] W03 - June.bin</t>
  </si>
  <si>
    <t>028A0001-02E90502</t>
  </si>
  <si>
    <t>Head:04A5A881A2774C8019</t>
  </si>
  <si>
    <t>CRC32:32EFBCD0</t>
  </si>
  <si>
    <t>[AC] W04 - Piper.bin</t>
  </si>
  <si>
    <t>02320001-02EA0502</t>
  </si>
  <si>
    <t>Head:04C86420DA774C8061</t>
  </si>
  <si>
    <t>CRC32:BF4CAF55</t>
  </si>
  <si>
    <t>[AC] W05 - Paolo.bin</t>
  </si>
  <si>
    <t>03280001-02EB0502</t>
  </si>
  <si>
    <t>Head:0465896022784C8096</t>
  </si>
  <si>
    <t>CRC32:53A85C94</t>
  </si>
  <si>
    <t>[AC] W06 - Hornsby.bin</t>
  </si>
  <si>
    <t>04B60001-02EC0502</t>
  </si>
  <si>
    <t>Head:0464896122784C8096</t>
  </si>
  <si>
    <t>CRC32:3C364714</t>
  </si>
  <si>
    <t>[AC] W07 - Stella.bin</t>
  </si>
  <si>
    <t>04C80001-02ED0502</t>
  </si>
  <si>
    <t>Head:045D4190A2774C8019</t>
  </si>
  <si>
    <t>CRC32:C033C4C6</t>
  </si>
  <si>
    <t>[AC] W08 - Tybalt.bin</t>
  </si>
  <si>
    <t>04FC0001-02EE0502</t>
  </si>
  <si>
    <t>Head:04D410482A784C809E</t>
  </si>
  <si>
    <t>CRC32:2D0A6DD2</t>
  </si>
  <si>
    <t>[AC] W09 - Huck.bin</t>
  </si>
  <si>
    <t>03430001-02EF0502</t>
  </si>
  <si>
    <t>Head:04403EF282314C817E</t>
  </si>
  <si>
    <t>CRC32:D1B1EF51</t>
  </si>
  <si>
    <t>[AC] W10 - Sylvana.bin</t>
  </si>
  <si>
    <t>04EB0001-02F00502</t>
  </si>
  <si>
    <t>Head:04BF2E1DDA774C8061</t>
  </si>
  <si>
    <t>CRC32:102C5BE8</t>
  </si>
  <si>
    <t>[AC] W11 - Boris.bin</t>
  </si>
  <si>
    <t>04810001-02F10502</t>
  </si>
  <si>
    <t>Head:04D40A5212784C80A6</t>
  </si>
  <si>
    <t>CRC32:ED5BEC15</t>
  </si>
  <si>
    <t>[AC] W12 - Wade.bin</t>
  </si>
  <si>
    <t>04680001-02F20502</t>
  </si>
  <si>
    <t>Head:047FC033D2774C8168</t>
  </si>
  <si>
    <t>CRC32:678A7E01</t>
  </si>
  <si>
    <t>[AC] W13 - Carrie.bin</t>
  </si>
  <si>
    <t>03D30001-02F30502</t>
  </si>
  <si>
    <t>Head:046BBF58CA754C8073</t>
  </si>
  <si>
    <t>CRC32:5E5D4D8A</t>
  </si>
  <si>
    <t>[AC] W14 - Ketchup.bin</t>
  </si>
  <si>
    <t>03140001-02F40502</t>
  </si>
  <si>
    <t>Head:04C7397252764C80E8</t>
  </si>
  <si>
    <t>CRC32:106035AA</t>
  </si>
  <si>
    <t>[AC] W15 - Rex.bin</t>
  </si>
  <si>
    <t>03E80001-02F50502</t>
  </si>
  <si>
    <t>Head:04218429CA754C8172</t>
  </si>
  <si>
    <t>CRC32:6732AD0F</t>
  </si>
  <si>
    <t>[AC] W16 - Stu.bin</t>
  </si>
  <si>
    <t>024D0001-02F60502</t>
  </si>
  <si>
    <t>Head:04C4C088CA754C8073</t>
  </si>
  <si>
    <t>CRC32:14BE5BBE</t>
  </si>
  <si>
    <t>[AC] W17 - Ursala.bin</t>
  </si>
  <si>
    <t>021C0001-02F70502</t>
  </si>
  <si>
    <t>Head:04DF6437CA754C8073</t>
  </si>
  <si>
    <t>CRC32:B5464792</t>
  </si>
  <si>
    <t>[AC] W18 - Jacob.bin</t>
  </si>
  <si>
    <t>02380001-02F80502</t>
  </si>
  <si>
    <t>Head:0410A539CA754C8073</t>
  </si>
  <si>
    <t>CRC32:D345507E</t>
  </si>
  <si>
    <t>[AC] W19 - Maddie.bin</t>
  </si>
  <si>
    <t>02F30001-02F90502</t>
  </si>
  <si>
    <t>Head:045365BACA754C8073</t>
  </si>
  <si>
    <t>CRC32:75F54E7E</t>
  </si>
  <si>
    <t>[AC] W20 - Billy.bin</t>
  </si>
  <si>
    <t>03580001-02FA0502</t>
  </si>
  <si>
    <t>Head:0494968ECA754C8172</t>
  </si>
  <si>
    <t>CRC32:FAB675D1</t>
  </si>
  <si>
    <t>[AC] W21 - Boyd.bin</t>
  </si>
  <si>
    <t>036E0001-02FB0502</t>
  </si>
  <si>
    <t>Head:04AD80A1CA754C8073</t>
  </si>
  <si>
    <t>[AC] W22 - Bitty.bin</t>
  </si>
  <si>
    <t>03950001-02FC0502</t>
  </si>
  <si>
    <t>Head:04959A8352BA4C8024</t>
  </si>
  <si>
    <t>[AC] W23 - Maggie.bin</t>
  </si>
  <si>
    <t>04820001-02FD0502</t>
  </si>
  <si>
    <t>Head:0468EF0BCA754C8073</t>
  </si>
  <si>
    <t>CRC32:297E16DB</t>
  </si>
  <si>
    <t>[AC] W24 - Murphy.bin</t>
  </si>
  <si>
    <t>02840001-02FE0502</t>
  </si>
  <si>
    <t>Head:04701BE7CA754C8073</t>
  </si>
  <si>
    <t>CRC32:1251182B</t>
  </si>
  <si>
    <t>[AC] W25 - Plucky.bin</t>
  </si>
  <si>
    <t>02A30001-02FF0502</t>
  </si>
  <si>
    <t>Head:042AB412DA774C8061</t>
  </si>
  <si>
    <t>CRC32:5D42F197</t>
  </si>
  <si>
    <t>[AC] W26 - Sandy.bin</t>
  </si>
  <si>
    <t>04380001-03000502</t>
  </si>
  <si>
    <t>Head:042BB413DA774C8061</t>
  </si>
  <si>
    <t>CRC32:27F4BC65</t>
  </si>
  <si>
    <t>[AC] W27 - Claude.bin</t>
  </si>
  <si>
    <t>049F0001-03010502</t>
  </si>
  <si>
    <t>Head:04E2107E12784C80A6</t>
  </si>
  <si>
    <t>CRC32:F5946FF7</t>
  </si>
  <si>
    <t>[AC] W28 - Raddle.bin</t>
  </si>
  <si>
    <t>03470001-03020502</t>
  </si>
  <si>
    <t>Head:041BB423DA774C8061</t>
  </si>
  <si>
    <t>CRC32:2210D540</t>
  </si>
  <si>
    <t>[AC] W29 - Julia.bin</t>
  </si>
  <si>
    <t>043B0001-03030502</t>
  </si>
  <si>
    <t>Head:044D478622784C8197</t>
  </si>
  <si>
    <t>CRC32:353D3557</t>
  </si>
  <si>
    <t>[AC] W30 - Louie.bin</t>
  </si>
  <si>
    <t>036D0001-03040502</t>
  </si>
  <si>
    <t>Head:04889A9E52724C81ED</t>
  </si>
  <si>
    <t>CRC32:EFCE1F57</t>
  </si>
  <si>
    <t>[AC] W31 - Bea.bin</t>
  </si>
  <si>
    <t>02F40001-03050502</t>
  </si>
  <si>
    <t>Head:04A72B0022784C8096</t>
  </si>
  <si>
    <t>CRC32:B47E5B18</t>
  </si>
  <si>
    <t>[AC] W32 - Admiral.bin</t>
  </si>
  <si>
    <t>02330001-03060502</t>
  </si>
  <si>
    <t>Head:0436B10B1A784C81AF</t>
  </si>
  <si>
    <t>CRC32:A3141258</t>
  </si>
  <si>
    <t>[AC] W33 - Ellie.bin</t>
  </si>
  <si>
    <t>032A0001-03070502</t>
  </si>
  <si>
    <t>Head:048F8182C2774C8079</t>
  </si>
  <si>
    <t>CRC32:4FE0333F</t>
  </si>
  <si>
    <t>[AC] W34 - Boots.bin</t>
  </si>
  <si>
    <t>02C50001-03080502</t>
  </si>
  <si>
    <t>Head:04FB84F3C2774C8079</t>
  </si>
  <si>
    <t>CRC32:76529452</t>
  </si>
  <si>
    <t>[AC] W35 - Weber.bin</t>
  </si>
  <si>
    <t>03120001-03090502</t>
  </si>
  <si>
    <t>Head:04A181ACC2774C8079</t>
  </si>
  <si>
    <t>CRC32:64F191ED</t>
  </si>
  <si>
    <t>[AC] W36 - Candi.bin</t>
  </si>
  <si>
    <t>04140001-030A0502</t>
  </si>
  <si>
    <t>Head:04EB84E3C2774C8079</t>
  </si>
  <si>
    <t>CRC32:3FE02603</t>
  </si>
  <si>
    <t>[AC] W37 - Leopold.bin</t>
  </si>
  <si>
    <t>03EA0001-030B0502</t>
  </si>
  <si>
    <t>Head:047A8771B2774C8009</t>
  </si>
  <si>
    <t>CRC32:FB93430B</t>
  </si>
  <si>
    <t>[AC] W38 - Spike.bin</t>
  </si>
  <si>
    <t>04B40001-030C0502</t>
  </si>
  <si>
    <t>Head:04F9364322784C8096</t>
  </si>
  <si>
    <t>CRC32:61CA7481</t>
  </si>
  <si>
    <t>[AC] W39 - Cashmere.bin</t>
  </si>
  <si>
    <t>04C90001-030D0502</t>
  </si>
  <si>
    <t>Head:040E3FBD9A774C8120</t>
  </si>
  <si>
    <t>CRC32:8C6A43F7</t>
  </si>
  <si>
    <t>[AC] W40 - Tad.bin</t>
  </si>
  <si>
    <t>03410001-030E0502</t>
  </si>
  <si>
    <t>Head:0480EFE31A784C80AE</t>
  </si>
  <si>
    <t>CRC32:A9EB5599</t>
  </si>
  <si>
    <t>[AC] W41 - Norma.bin</t>
  </si>
  <si>
    <t>02B70001-030F0502</t>
  </si>
  <si>
    <t>Head:041FA4373ABA4C814D</t>
  </si>
  <si>
    <t>CRC32:8389C21D</t>
  </si>
  <si>
    <t>[AC] W42 - Gonzo.bin</t>
  </si>
  <si>
    <t>03C00001-03100502</t>
  </si>
  <si>
    <t>Head:046287693ABA4C804C</t>
  </si>
  <si>
    <t>CRC32:4D0E7766</t>
  </si>
  <si>
    <t>[AC] W43 - Sprocket.bin</t>
  </si>
  <si>
    <t>04390001-03110502</t>
  </si>
  <si>
    <t>Head:044669A3CAE94C81EE</t>
  </si>
  <si>
    <t>CRC32:355CEBF9</t>
  </si>
  <si>
    <t>[AC] W44 - Snooty.bin</t>
  </si>
  <si>
    <t>02060001-03120502</t>
  </si>
  <si>
    <t>Head:04519A47CAE94C80EF</t>
  </si>
  <si>
    <t>CRC32:950025A9</t>
  </si>
  <si>
    <t>[AC] W45 - Olive.bin</t>
  </si>
  <si>
    <t>02860001-03130502</t>
  </si>
  <si>
    <t>Head:044BEE2932764C8088</t>
  </si>
  <si>
    <t>CRC32:D15A6E0B</t>
  </si>
  <si>
    <t>[AC] W46 - Dobie.bin</t>
  </si>
  <si>
    <t>050F0001-03140502</t>
  </si>
  <si>
    <t>Head:0479C83DAAE94C818E</t>
  </si>
  <si>
    <t>CRC32:8C38C46A</t>
  </si>
  <si>
    <t>[AC] W47 - Buzz.bin</t>
  </si>
  <si>
    <t>044E0001-03150502</t>
  </si>
  <si>
    <t>Head:0478C83CAAE94C818E</t>
  </si>
  <si>
    <t>CRC32:54E2F31C</t>
  </si>
  <si>
    <t>[AC] W48 - Cleo.bin</t>
  </si>
  <si>
    <t>03AB0001-03160502</t>
  </si>
  <si>
    <t>Head:040938BD9ADE4C8189</t>
  </si>
  <si>
    <t>CRC32:A2DD84DF</t>
  </si>
  <si>
    <t>[AC] W49 - Ike.bin</t>
  </si>
  <si>
    <t>021F0001-03170502</t>
  </si>
  <si>
    <t>Head:042A08AEAAE94C858A</t>
  </si>
  <si>
    <t>CRC32:32FA4CB2</t>
  </si>
  <si>
    <t>[AC] W50 - Tasha.bin</t>
  </si>
  <si>
    <t>04EA0001-03180502</t>
  </si>
  <si>
    <t>Head:0444F73FCAE94C81EE</t>
  </si>
  <si>
    <t>CRC32:2C1D5DA0</t>
  </si>
  <si>
    <t>[AC] 301 - Isabelle.bin</t>
  </si>
  <si>
    <t>01810301-01700502</t>
  </si>
  <si>
    <t>Head:0410BD21022D4C81E2</t>
  </si>
  <si>
    <t>CRC32:4B73733D</t>
  </si>
  <si>
    <t>[AC] 302 - Brewster.bin</t>
  </si>
  <si>
    <t>01900001-01710502</t>
  </si>
  <si>
    <t>Head:048C6A6AAA724C8014</t>
  </si>
  <si>
    <t>CRC32:46774C3F</t>
  </si>
  <si>
    <t>[AC] 303 - Katrina.bin</t>
  </si>
  <si>
    <t>01A50001-01720502</t>
  </si>
  <si>
    <t>Head:04ABBD9A92724C802C</t>
  </si>
  <si>
    <t>CRC32:3E0CC945</t>
  </si>
  <si>
    <t>[AC] 304 - Phineas.bin</t>
  </si>
  <si>
    <t>019C0001-01730502</t>
  </si>
  <si>
    <t>Head:049C7D6D92724C802C</t>
  </si>
  <si>
    <t>CRC32:611FC49F</t>
  </si>
  <si>
    <t>[AC] 305 - Celeste.bin</t>
  </si>
  <si>
    <t>01930001-01740502</t>
  </si>
  <si>
    <t>Head:04B7C7FC22314C80DF</t>
  </si>
  <si>
    <t>CRC32:384B4C6E</t>
  </si>
  <si>
    <t>[AC] 306 - Tommy.bin</t>
  </si>
  <si>
    <t>01860301-01750502</t>
  </si>
  <si>
    <t>Head:045832E662314C819E</t>
  </si>
  <si>
    <t>CRC32:A857415C</t>
  </si>
  <si>
    <t>[AC] 307 - Gracie.bin</t>
  </si>
  <si>
    <t>01A90001-01760502</t>
  </si>
  <si>
    <t>Head:04478C47B2724C810D</t>
  </si>
  <si>
    <t>CRC32:BF88B2EC</t>
  </si>
  <si>
    <t>[AC] 308 - Leilani.bin</t>
  </si>
  <si>
    <t>01970001-01770502</t>
  </si>
  <si>
    <t>Head:047C63937A724C80C4</t>
  </si>
  <si>
    <t>CRC32:A4300A17</t>
  </si>
  <si>
    <t>[AC] 309 - Resetti.bin</t>
  </si>
  <si>
    <t>018E0101-01780502</t>
  </si>
  <si>
    <t>Head:04F4077F022D4C84E7</t>
  </si>
  <si>
    <t>CRC32:82757DFA</t>
  </si>
  <si>
    <t>[AC] 310 - Timmy.bin</t>
  </si>
  <si>
    <t>01850401-01790502</t>
  </si>
  <si>
    <t>Head:0478DA2E222D4C80C3</t>
  </si>
  <si>
    <t>CRC32:4BB866BB</t>
  </si>
  <si>
    <t>[AC] 311 - Lottie.bin</t>
  </si>
  <si>
    <t>01C10101-017A0502</t>
  </si>
  <si>
    <t>Head:04EF086B022D4C84E7</t>
  </si>
  <si>
    <t>CRC32:1A9F8654</t>
  </si>
  <si>
    <t>[AC] 312 - Shrunk.bin</t>
  </si>
  <si>
    <t>01B10101-017B0502</t>
  </si>
  <si>
    <t>Head:04469E54AA724C8014</t>
  </si>
  <si>
    <t>CRC32:D2681136</t>
  </si>
  <si>
    <t>[AC] 313 - Pave.bin</t>
  </si>
  <si>
    <t>01AB0001-017C0502</t>
  </si>
  <si>
    <t>Head:04DA2F79B2724C800C</t>
  </si>
  <si>
    <t>CRC32:C76B45FD</t>
  </si>
  <si>
    <t>[AC] 314 - Gulliver.bin</t>
  </si>
  <si>
    <t>01A20001-017D0502</t>
  </si>
  <si>
    <t>Head:04D097CBAA724C8014</t>
  </si>
  <si>
    <t>CRC32:C6AF1481</t>
  </si>
  <si>
    <t>[AC] 315 - Redd.bin</t>
  </si>
  <si>
    <t>01A80101-017E0502</t>
  </si>
  <si>
    <t>Head:0460967AB2724C810D</t>
  </si>
  <si>
    <t>CRC32:E7F785AA</t>
  </si>
  <si>
    <t>[AC] 316 - Zipper.bin</t>
  </si>
  <si>
    <t>01AC0001-017F0502</t>
  </si>
  <si>
    <t>Head:04F2BDC3AA724C8014</t>
  </si>
  <si>
    <t>CRC32:D9F7C14D</t>
  </si>
  <si>
    <t>[AC] 317 - Goldie.bin</t>
  </si>
  <si>
    <t>02EA0001-01800502</t>
  </si>
  <si>
    <t>Head:044477BF722E4C8191</t>
  </si>
  <si>
    <t>CRC32:142AB15E</t>
  </si>
  <si>
    <t>[AC] 318 - Stitches.bin</t>
  </si>
  <si>
    <t>02820001-01810502</t>
  </si>
  <si>
    <t>Head:0421C5681A2E4C81F9</t>
  </si>
  <si>
    <t>CRC32:9CA9BBFD</t>
  </si>
  <si>
    <t>[AC] 319 - Pinky.bin</t>
  </si>
  <si>
    <t>02150001-01820502</t>
  </si>
  <si>
    <t>Head:040371FE22484B81A0</t>
  </si>
  <si>
    <t>CRC32:F0B73E0D</t>
  </si>
  <si>
    <t>[AC] 320 - Mott.bin</t>
  </si>
  <si>
    <t>03EC0001-01830502</t>
  </si>
  <si>
    <t>Head:047EA0520A484B8188</t>
  </si>
  <si>
    <t>CRC32:5A7AE736</t>
  </si>
  <si>
    <t>[AC] 321 - Mallary.bin</t>
  </si>
  <si>
    <t>030D0001-01840502</t>
  </si>
  <si>
    <t>Head:04169309E2444B816C</t>
  </si>
  <si>
    <t>CRC32:BF094A14</t>
  </si>
  <si>
    <t>[AC] 322 - Rocco.bin</t>
  </si>
  <si>
    <t>03900001-01850502</t>
  </si>
  <si>
    <t>Head:04B6447EBA764C8000</t>
  </si>
  <si>
    <t>[AC] 323 - Katt.bin</t>
  </si>
  <si>
    <t>02720001-01860502</t>
  </si>
  <si>
    <t>Head:041227B922484B81A0</t>
  </si>
  <si>
    <t>[AC] 324 - Graham.bin</t>
  </si>
  <si>
    <t>03800001-01870502</t>
  </si>
  <si>
    <t>Head:044BD413BA764C8101</t>
  </si>
  <si>
    <t>CRC32:76207C1C</t>
  </si>
  <si>
    <t>[AC] 325 - Peaches.bin</t>
  </si>
  <si>
    <t>03AC0001-01880502</t>
  </si>
  <si>
    <t>Head:044E5092E28C4B80A5</t>
  </si>
  <si>
    <t>[AC] 326 - Dizzy.bin</t>
  </si>
  <si>
    <t>03240001-01890502</t>
  </si>
  <si>
    <t>Head:0486B5BF12764C81A9</t>
  </si>
  <si>
    <t>[AC] 327 - Penelope.bin</t>
  </si>
  <si>
    <t>041D0001-018A0502</t>
  </si>
  <si>
    <t>Head:045D93427A314C8186</t>
  </si>
  <si>
    <t>CRC32:321B10BC</t>
  </si>
  <si>
    <t>[AC] 328 - Boone.bin</t>
  </si>
  <si>
    <t>036B0001-018B0502</t>
  </si>
  <si>
    <t>Head:0476B54F12764C81A9</t>
  </si>
  <si>
    <t>CRC32:ADEEB8C3</t>
  </si>
  <si>
    <t>[AC] 329 - Broffina.bin</t>
  </si>
  <si>
    <t>02A50001-018C0502</t>
  </si>
  <si>
    <t>Head:0413F6697A314C8186</t>
  </si>
  <si>
    <t>CRC32:1B668B74</t>
  </si>
  <si>
    <t>[AC] 330 - Croque.bin</t>
  </si>
  <si>
    <t>03490001-018D0502</t>
  </si>
  <si>
    <t>Head:0459E2377A314C8186</t>
  </si>
  <si>
    <t>[AC] 331 - Pashmina.bin</t>
  </si>
  <si>
    <t>035E0001-018E0502</t>
  </si>
  <si>
    <t>Head:0461FB16B22C4C8052</t>
  </si>
  <si>
    <t>CRC32:9C9447EE</t>
  </si>
  <si>
    <t>[AC] 332 - Shep.bin</t>
  </si>
  <si>
    <t>02FC0001-018F0502</t>
  </si>
  <si>
    <t>Head:0485646DFA2C4C811B</t>
  </si>
  <si>
    <t>CRC32:411F6B6B</t>
  </si>
  <si>
    <t>[AC] 333 - Lolly.bin</t>
  </si>
  <si>
    <t>026F0001-01900502</t>
  </si>
  <si>
    <t>Head:0480252952484B80D1</t>
  </si>
  <si>
    <t>CRC32:C8CCF733</t>
  </si>
  <si>
    <t>[AC] 334 - Erik.bin</t>
  </si>
  <si>
    <t>02DF0001-01910502</t>
  </si>
  <si>
    <t>Head:04737E81FA2C4C801A</t>
  </si>
  <si>
    <t>CRC32:A9C04E49</t>
  </si>
  <si>
    <t>[AC] 335 - Dotty.bin</t>
  </si>
  <si>
    <t>04950001-01920502</t>
  </si>
  <si>
    <t>Head:04FA1066AA2C4C844E</t>
  </si>
  <si>
    <t>CRC32:93F70135</t>
  </si>
  <si>
    <t>[AC] 336 - Pierce.bin</t>
  </si>
  <si>
    <t>044D0001-01930502</t>
  </si>
  <si>
    <t>Head:0439B603B22C4C8153</t>
  </si>
  <si>
    <t>CRC32:8EA7E93E</t>
  </si>
  <si>
    <t>[AC] 337 - Queenie.bin</t>
  </si>
  <si>
    <t>04360001-01940502</t>
  </si>
  <si>
    <t>Head:04FF4B3872314C808F</t>
  </si>
  <si>
    <t>CRC32:4BBF12CD</t>
  </si>
  <si>
    <t>[AC] 338 - Fang.bin</t>
  </si>
  <si>
    <t>05110001-01950502</t>
  </si>
  <si>
    <t>Head:042157FA62314C819E</t>
  </si>
  <si>
    <t>CRC32:74E69F3F</t>
  </si>
  <si>
    <t>[AC] 339 - Fritta.bin</t>
  </si>
  <si>
    <t>04D00001-01960502</t>
  </si>
  <si>
    <t>Head:04B91227022D4C80E3</t>
  </si>
  <si>
    <t>CRC32:D4AC09D0</t>
  </si>
  <si>
    <t>[AC] 340 - Tex.bin</t>
  </si>
  <si>
    <t>046B0001-01970502</t>
  </si>
  <si>
    <t>Head:044A3AFC7A474B80F6</t>
  </si>
  <si>
    <t>CRC32:25F4D761</t>
  </si>
  <si>
    <t>[AC] 341 - Melba.bin</t>
  </si>
  <si>
    <t>03BE0001-01980502</t>
  </si>
  <si>
    <t>Head:0434BD0562314C819E</t>
  </si>
  <si>
    <t>CRC32:3F50434E</t>
  </si>
  <si>
    <t>[AC] 342 - Bones.bin</t>
  </si>
  <si>
    <t>02EE0001-01990502</t>
  </si>
  <si>
    <t>Head:041852C61A454B8195</t>
  </si>
  <si>
    <t>CRC32:CD934B9C</t>
  </si>
  <si>
    <t>[AC] 343 - Anabelle.bin</t>
  </si>
  <si>
    <t>02030001-019A0502</t>
  </si>
  <si>
    <t>Head:04E099F5E2444B806D</t>
  </si>
  <si>
    <t>CRC32:C394F32B</t>
  </si>
  <si>
    <t>[AC] 344 - Rudy.bin</t>
  </si>
  <si>
    <t>02710001-019B0502</t>
  </si>
  <si>
    <t>Head:04514B963A474B80B6</t>
  </si>
  <si>
    <t>CRC32:C3E6A632</t>
  </si>
  <si>
    <t>[AC] 345 - Naomi.bin</t>
  </si>
  <si>
    <t>02B80001-019C0502</t>
  </si>
  <si>
    <t>Head:04D9C49122314C80DF</t>
  </si>
  <si>
    <t>[AC] 346 - Peewee.bin</t>
  </si>
  <si>
    <t>036A0001-019D0502</t>
  </si>
  <si>
    <t>Head:04FB96E1222D4C80C3</t>
  </si>
  <si>
    <t>CRC32:D12C6094</t>
  </si>
  <si>
    <t>[AC] 347 - Tammy.bin</t>
  </si>
  <si>
    <t>028E0001-019E0502</t>
  </si>
  <si>
    <t>Head:04FD72031A454B8094</t>
  </si>
  <si>
    <t>CRC32:E886FD67</t>
  </si>
  <si>
    <t>[AC] 348 - Olaf.bin</t>
  </si>
  <si>
    <t>02090001-019F0502</t>
  </si>
  <si>
    <t>Head:0441AE6322314C80DF</t>
  </si>
  <si>
    <t>CRC32:2280BBB6</t>
  </si>
  <si>
    <t>[AC] 349 - Lucy.bin</t>
  </si>
  <si>
    <t>047C0001-01A00502</t>
  </si>
  <si>
    <t>Head:0469F217BA474B8036</t>
  </si>
  <si>
    <t>CRC32:E7F9339A</t>
  </si>
  <si>
    <t>[AC] 350 - Elmer.bin</t>
  </si>
  <si>
    <t>03A70001-01A10502</t>
  </si>
  <si>
    <t>Head:04CAE8AEBA474B8036</t>
  </si>
  <si>
    <t>CRC32:59DA0722</t>
  </si>
  <si>
    <t>[AC] 351 - Puddles.bin</t>
  </si>
  <si>
    <t>033E0001-01A20502</t>
  </si>
  <si>
    <t>Head:044C824262314C809F</t>
  </si>
  <si>
    <t>CRC32:5B88E6AA</t>
  </si>
  <si>
    <t>[AC] 352 - Rory.bin</t>
  </si>
  <si>
    <t>03ED0001-01A30502</t>
  </si>
  <si>
    <t>Head:04914E5322314C80DF</t>
  </si>
  <si>
    <t>CRC32:8E59EE63</t>
  </si>
  <si>
    <t>[AC] 353 - Elise.bin</t>
  </si>
  <si>
    <t>03FE0001-01A40502</t>
  </si>
  <si>
    <t>Head:0471A75A62314C819E</t>
  </si>
  <si>
    <t>CRC32:D47EC976</t>
  </si>
  <si>
    <t>[AC] 354 - Walt.bin</t>
  </si>
  <si>
    <t>03D90001-01A50502</t>
  </si>
  <si>
    <t>Head:0488707462314C809F</t>
  </si>
  <si>
    <t>CRC32:B7491108</t>
  </si>
  <si>
    <t>[AC] 355 - Mira.bin</t>
  </si>
  <si>
    <t>04A70001-01A60502</t>
  </si>
  <si>
    <t>Head:045C815162314C809F</t>
  </si>
  <si>
    <t>CRC32:C14B4AAF</t>
  </si>
  <si>
    <t>[AC] 356 - Pietro.bin</t>
  </si>
  <si>
    <t>04D20001-01A70502</t>
  </si>
  <si>
    <t>Head:04C696DC62314C809F</t>
  </si>
  <si>
    <t>CRC32:26E16E09</t>
  </si>
  <si>
    <t>[AC] 357 - Aurora.bin</t>
  </si>
  <si>
    <t>045F0001-01A80502</t>
  </si>
  <si>
    <t>Head:044269A79A724C8024</t>
  </si>
  <si>
    <t>[AC] 358 - Papi.bin</t>
  </si>
  <si>
    <t>03B00001-01A90502</t>
  </si>
  <si>
    <t>Head:04FA592F9A724C8024</t>
  </si>
  <si>
    <t>CRC32:6F072ABC</t>
  </si>
  <si>
    <t>[AC] 359 - Apple.bin</t>
  </si>
  <si>
    <t>037F0001-01AA0502</t>
  </si>
  <si>
    <t>Head:04CE8BC982724C803C</t>
  </si>
  <si>
    <t>CRC32:9C88E9D8</t>
  </si>
  <si>
    <t>[AC] 360 - Rod.bin</t>
  </si>
  <si>
    <t>04110001-01AB0502</t>
  </si>
  <si>
    <t>Head:0465BF56B2764C8008</t>
  </si>
  <si>
    <t>CRC32:F61C7C19</t>
  </si>
  <si>
    <t>[AC] 361 - Purrl.bin</t>
  </si>
  <si>
    <t>02640001-01AC0502</t>
  </si>
  <si>
    <t>Head:048C6969BA724C8105</t>
  </si>
  <si>
    <t>CRC32:58C71778</t>
  </si>
  <si>
    <t>[AC] 362 - Static.bin</t>
  </si>
  <si>
    <t>04E50001-01AD0502</t>
  </si>
  <si>
    <t>Head:043A2E989A724C8125</t>
  </si>
  <si>
    <t>[AC] 363 - Celia.bin</t>
  </si>
  <si>
    <t>04540001-01AE0502</t>
  </si>
  <si>
    <t>Head:04D8F0A482724C803C</t>
  </si>
  <si>
    <t>CRC32:F3D35D1F</t>
  </si>
  <si>
    <t>[AC] 364 - Zucker.bin</t>
  </si>
  <si>
    <t>042B0001-01AF0502</t>
  </si>
  <si>
    <t>Head:049D243582724C803C</t>
  </si>
  <si>
    <t>CRC32:9F819FF7</t>
  </si>
  <si>
    <t>[AC] 365 - Peggy.bin</t>
  </si>
  <si>
    <t>04830001-01B00502</t>
  </si>
  <si>
    <t>Head:044224EA82724C813D</t>
  </si>
  <si>
    <t>CRC32:1ED1FEE9</t>
  </si>
  <si>
    <t>[AC] 366 - Ribbot.bin</t>
  </si>
  <si>
    <t>03390001-01B10502</t>
  </si>
  <si>
    <t>Head:04AC92B27A474B80F6</t>
  </si>
  <si>
    <t>CRC32:FB80C9EC</t>
  </si>
  <si>
    <t>[AC] 367 - Annalise.bin</t>
  </si>
  <si>
    <t>03AD0001-01B20502</t>
  </si>
  <si>
    <t>Head:04AF3D1E12484B8091</t>
  </si>
  <si>
    <t>CRC32:51F1FC16</t>
  </si>
  <si>
    <t>[AC] 368 - Chow.bin</t>
  </si>
  <si>
    <t>02170001-01B30502</t>
  </si>
  <si>
    <t>Head:043632888A474B8107</t>
  </si>
  <si>
    <t>CRC32:B2B81D50</t>
  </si>
  <si>
    <t>[AC] 369 - Sylvia.bin</t>
  </si>
  <si>
    <t>03D70001-01B40502</t>
  </si>
  <si>
    <t>Head:04969D87B2314C804F</t>
  </si>
  <si>
    <t>CRC32:707CC5BD</t>
  </si>
  <si>
    <t>[AC] 370 - Jacques.bin</t>
  </si>
  <si>
    <t>023D0001-01B50502</t>
  </si>
  <si>
    <t>Head:04CDBBFA82724C803C</t>
  </si>
  <si>
    <t>CRC32:733C5118</t>
  </si>
  <si>
    <t>[AC] 371 - Sally.bin</t>
  </si>
  <si>
    <t>04E40001-01B60502</t>
  </si>
  <si>
    <t>Head:040EA82ADA184A8109</t>
  </si>
  <si>
    <t>CRC32:E06D20F1</t>
  </si>
  <si>
    <t>[AC] 372 - Doc.bin</t>
  </si>
  <si>
    <t>049E0001-01B70502</t>
  </si>
  <si>
    <t>Head:04880D09B2764C840C</t>
  </si>
  <si>
    <t>CRC32:F180595D</t>
  </si>
  <si>
    <t>[AC] 373 - Pompom.bin</t>
  </si>
  <si>
    <t>030C0001-01B80502</t>
  </si>
  <si>
    <t>Head:044B8641E2474B816F</t>
  </si>
  <si>
    <t>CRC32:CBEF7919</t>
  </si>
  <si>
    <t>[AC] 374 - Tank.bin</t>
  </si>
  <si>
    <t>04B20001-01B90502</t>
  </si>
  <si>
    <t>Head:044E6FADA2764C8119</t>
  </si>
  <si>
    <t>CRC32:FA3589B4</t>
  </si>
  <si>
    <t>[AC] 375 - Becky.bin</t>
  </si>
  <si>
    <t>02A20001-01BA0502</t>
  </si>
  <si>
    <t>Head:04608B67AA474B8127</t>
  </si>
  <si>
    <t>CRC32:4113E2B2</t>
  </si>
  <si>
    <t>[AC] 376 - Rizzo.bin</t>
  </si>
  <si>
    <t>04150001-01BB0502</t>
  </si>
  <si>
    <t>Head:041A45D3B2764C8109</t>
  </si>
  <si>
    <t>CRC32:5C1BE931</t>
  </si>
  <si>
    <t>[AC] 377 - Sydney.bin</t>
  </si>
  <si>
    <t>03BF0001-01BC0502</t>
  </si>
  <si>
    <t>Head:04100C90B2314C854A</t>
  </si>
  <si>
    <t>CRC32:8F8E6418</t>
  </si>
  <si>
    <t>[AC] 378 - Barold.bin</t>
  </si>
  <si>
    <t>028D0001-01BD0502</t>
  </si>
  <si>
    <t>Head:046C997982474B800E</t>
  </si>
  <si>
    <t>CRC32:A0C4FED6</t>
  </si>
  <si>
    <t>[AC] 379 - Nibbles.bin</t>
  </si>
  <si>
    <t>04E10001-01BE0502</t>
  </si>
  <si>
    <t>Head:049DD5C48A314C8077</t>
  </si>
  <si>
    <t>CRC32:765177D0</t>
  </si>
  <si>
    <t>[AC] 380 - Kevin.bin</t>
  </si>
  <si>
    <t>04870001-01BF0502</t>
  </si>
  <si>
    <t>Head:04D7386382474B800E</t>
  </si>
  <si>
    <t>CRC32:5781B4D0</t>
  </si>
  <si>
    <t>[AC] 381 - Gloria.bin</t>
  </si>
  <si>
    <t>03160001-01C00502</t>
  </si>
  <si>
    <t>Head:047D4FBE8A314C8077</t>
  </si>
  <si>
    <t>CRC32:A46E55EA</t>
  </si>
  <si>
    <t>[AC] 382 - Lobo.bin</t>
  </si>
  <si>
    <t>050C0001-01C10502</t>
  </si>
  <si>
    <t>Head:04CABEF872474B80FE</t>
  </si>
  <si>
    <t>CRC32:FBCC3526</t>
  </si>
  <si>
    <t>[AC] 383 - Hippeux.bin</t>
  </si>
  <si>
    <t>03990001-01C20502</t>
  </si>
  <si>
    <t>Head:046C4FAF8A314C8077</t>
  </si>
  <si>
    <t>CRC32:B8BAAD0E</t>
  </si>
  <si>
    <t>[AC] 384 - Margie.bin</t>
  </si>
  <si>
    <t>03270001-01C30502</t>
  </si>
  <si>
    <t>Head:042D8928C2764C8179</t>
  </si>
  <si>
    <t>CRC32:63BA41AE</t>
  </si>
  <si>
    <t>[AC] 385 - Lucky.bin</t>
  </si>
  <si>
    <t>02EC0001-01C40502</t>
  </si>
  <si>
    <t>Head:0412A93782314C807F</t>
  </si>
  <si>
    <t>CRC32:BFA40DC5</t>
  </si>
  <si>
    <t>[AC] 386 - Rosie.bin</t>
  </si>
  <si>
    <t>025F0001-01C50502</t>
  </si>
  <si>
    <t>Head:04BDC5F4A2764C8018</t>
  </si>
  <si>
    <t>CRC32:B847E290</t>
  </si>
  <si>
    <t>[AC] 387 - Rowan.bin</t>
  </si>
  <si>
    <t>04FB0001-01C60502</t>
  </si>
  <si>
    <t>Head:04517AA7FA474B8177</t>
  </si>
  <si>
    <t>CRC32:7F0DE24E</t>
  </si>
  <si>
    <t>[AC] 388 - Maelle.bin</t>
  </si>
  <si>
    <t>030A0001-01C70502</t>
  </si>
  <si>
    <t>Head:0441A06DA2764C8018</t>
  </si>
  <si>
    <t>[AC] 389 - Bruce.bin</t>
  </si>
  <si>
    <t>02D90001-01C80502</t>
  </si>
  <si>
    <t>Head:04EFF99A8A474B8006</t>
  </si>
  <si>
    <t>CRC32:F0C9064C</t>
  </si>
  <si>
    <t>[AC] 390 - O'Hare.bin</t>
  </si>
  <si>
    <t>04A30001-01C90502</t>
  </si>
  <si>
    <t>Head:04BF7C4FB2314C804F</t>
  </si>
  <si>
    <t>CRC32:F524FE1D</t>
  </si>
  <si>
    <t>[AC] 391 - Gayle.bin</t>
  </si>
  <si>
    <t>02CA0001-01CA0502</t>
  </si>
  <si>
    <t>Head:044ABD7BAA474B8026</t>
  </si>
  <si>
    <t>[AC] 392 - Cranston.bin</t>
  </si>
  <si>
    <t>043C0001-01CB0502</t>
  </si>
  <si>
    <t>Head:04C927629A314C8067</t>
  </si>
  <si>
    <t>CRC32:68FA0336</t>
  </si>
  <si>
    <t>[AC] 393 - Frobert.bin</t>
  </si>
  <si>
    <t>033A0001-01CC0502</t>
  </si>
  <si>
    <t>Head:040D8302B2314C814E</t>
  </si>
  <si>
    <t>CRC32:B312D82F</t>
  </si>
  <si>
    <t>[AC] 394 - Grizzly.bin</t>
  </si>
  <si>
    <t>021D0001-01CD0502</t>
  </si>
  <si>
    <t>Head:04908894F2474B807E</t>
  </si>
  <si>
    <t>CRC32:54EF5293</t>
  </si>
  <si>
    <t>[AC] 395 - Cally.bin</t>
  </si>
  <si>
    <t>04E80001-01CE0502</t>
  </si>
  <si>
    <t>Head:04E985E0B2314C804F</t>
  </si>
  <si>
    <t>CRC32:4A12F8D7</t>
  </si>
  <si>
    <t>[AC] 396 - Simon.bin</t>
  </si>
  <si>
    <t>03FB0001-01CF0502</t>
  </si>
  <si>
    <t>Head:044C3BFB9A314C8067</t>
  </si>
  <si>
    <t>CRC32:D1086CA4</t>
  </si>
  <si>
    <t>[AC] 397 - Iggly.bin</t>
  </si>
  <si>
    <t>046A0001-01D00502</t>
  </si>
  <si>
    <t>Head:0477857EB2314C804F</t>
  </si>
  <si>
    <t>CRC32:91C0D7DB</t>
  </si>
  <si>
    <t>[AC] 398 - Angus.bin</t>
  </si>
  <si>
    <t>024A0001-01D10502</t>
  </si>
  <si>
    <t>Head:043AB2049A314C8166</t>
  </si>
  <si>
    <t>CRC32:BD3E467B</t>
  </si>
  <si>
    <t>[AC] 399 - Twiggy.bin</t>
  </si>
  <si>
    <t>02300001-01D20502</t>
  </si>
  <si>
    <t>Head:040AF87E9A314C8166</t>
  </si>
  <si>
    <t>[AC] 400 - Robin.bin</t>
  </si>
  <si>
    <t>022E0001-01D30502</t>
  </si>
  <si>
    <t>Head:044954919A314C8067</t>
  </si>
  <si>
    <t>CRC32:E206604E</t>
  </si>
  <si>
    <t>[AC] 201 - Rover.bin</t>
  </si>
  <si>
    <t>018D0001-010C0502</t>
  </si>
  <si>
    <t>Head:045727FC328D4B8074</t>
  </si>
  <si>
    <t>CRC32:4BFBA512</t>
  </si>
  <si>
    <t>[AC] 202 - Blathers.bin</t>
  </si>
  <si>
    <t>01920001-010D0502</t>
  </si>
  <si>
    <t>Head:04C10845622C4C8486</t>
  </si>
  <si>
    <t>CRC32:5A9DDE29</t>
  </si>
  <si>
    <t>[AC] 203 - Tom Nook.bin</t>
  </si>
  <si>
    <t>01830101-010E0502</t>
  </si>
  <si>
    <t>Head:048F8586F28C4B80B5</t>
  </si>
  <si>
    <t>CRC32:FD0E532E</t>
  </si>
  <si>
    <t>[AC] 204 - Pelly.bin</t>
  </si>
  <si>
    <t>01A00001-010F0502</t>
  </si>
  <si>
    <t>Head:043AD86E622C4C8082</t>
  </si>
  <si>
    <t>CRC32:28AD1B7C</t>
  </si>
  <si>
    <t>[AC] 205 - Phyllis.bin</t>
  </si>
  <si>
    <t>01A10001-01100502</t>
  </si>
  <si>
    <t>Head:043E49FBC2FE4A80F6</t>
  </si>
  <si>
    <t>CRC32:A58C673C</t>
  </si>
  <si>
    <t>[AC] 206 - Pete.bin</t>
  </si>
  <si>
    <t>019F0001-01110502</t>
  </si>
  <si>
    <t>Head:043D3889C2FE4A80F6</t>
  </si>
  <si>
    <t>CRC32:599A11B7</t>
  </si>
  <si>
    <t>[AC] 207 - Mabel.bin</t>
  </si>
  <si>
    <t>01880001-01120502</t>
  </si>
  <si>
    <t>Head:04388E3A5A8D4B811D</t>
  </si>
  <si>
    <t>CRC32:43305F0D</t>
  </si>
  <si>
    <t>[AC] 208 - Leif.bin</t>
  </si>
  <si>
    <t>01B40001-01130502</t>
  </si>
  <si>
    <t>Head:04494184C2FE4A81F7</t>
  </si>
  <si>
    <t>CRC32:808365F0</t>
  </si>
  <si>
    <t>[AC] 209 - Wendell.bin</t>
  </si>
  <si>
    <t>01A70001-01140502</t>
  </si>
  <si>
    <t>Head:04517FA2428D4B8004</t>
  </si>
  <si>
    <t>CRC32:AAD6815B</t>
  </si>
  <si>
    <t>[AC] 210 - Cyrus.bin</t>
  </si>
  <si>
    <t>018B0001-01150502</t>
  </si>
  <si>
    <t>Head:044775BE428D4B8004</t>
  </si>
  <si>
    <t>CRC32:6E28BE65</t>
  </si>
  <si>
    <t>[AC] 211 - Grams.bin</t>
  </si>
  <si>
    <t>01990001-01160502</t>
  </si>
  <si>
    <t>Head:0433F74872254B819D</t>
  </si>
  <si>
    <t>CRC32:E13D21E9</t>
  </si>
  <si>
    <t>[AC] 212 - Timmy.bin</t>
  </si>
  <si>
    <t>01850201-01170502</t>
  </si>
  <si>
    <t>Head:0460D23E328D4B8074</t>
  </si>
  <si>
    <t>CRC32:B8D38B7A</t>
  </si>
  <si>
    <t>[AC] 213 - Digby.bin</t>
  </si>
  <si>
    <t>018C0101-01180502</t>
  </si>
  <si>
    <t>Head:04864248428D4B8004</t>
  </si>
  <si>
    <t>CRC32:CF10F3A4</t>
  </si>
  <si>
    <t>[AC] 214 - Don Resetti.bin</t>
  </si>
  <si>
    <t>018F0101-01190502</t>
  </si>
  <si>
    <t>Head:0437318A722C4C8193</t>
  </si>
  <si>
    <t>CRC32:A6188062</t>
  </si>
  <si>
    <t>[AC] 215 - Isabelle.bin</t>
  </si>
  <si>
    <t>01810201-011A0502</t>
  </si>
  <si>
    <t>Head:04ABAC8B622C4C8082</t>
  </si>
  <si>
    <t>CRC32:A6DC661C</t>
  </si>
  <si>
    <t>[AC] 216 - Franklin.bin</t>
  </si>
  <si>
    <t>01AE0001-011B0502</t>
  </si>
  <si>
    <t>Head:041CC656D28C4B8095</t>
  </si>
  <si>
    <t>CRC32:D4C77A78</t>
  </si>
  <si>
    <t>[AC] 217 - Jingle.bin</t>
  </si>
  <si>
    <t>01AF0001-011C0502</t>
  </si>
  <si>
    <t>Head:04BB6C5B622C4C8082</t>
  </si>
  <si>
    <t>CRC32:394943F5</t>
  </si>
  <si>
    <t>[AC] 218 - Lily.bin</t>
  </si>
  <si>
    <t>03380001-011D0502</t>
  </si>
  <si>
    <t>Head:0430A21EF28C4B80B5</t>
  </si>
  <si>
    <t>CRC32:820406D3</t>
  </si>
  <si>
    <t>[AC] 219 - Anchovy.bin</t>
  </si>
  <si>
    <t>022F0001-011E0502</t>
  </si>
  <si>
    <t>Head:04D16D303A2D4C80DB</t>
  </si>
  <si>
    <t>CRC32:2C58795D</t>
  </si>
  <si>
    <t>[AC] 220 - Tabby.bin</t>
  </si>
  <si>
    <t>02690001-011F0502</t>
  </si>
  <si>
    <t>Head:0447844FF28C4B80B5</t>
  </si>
  <si>
    <t>[AC] 221 - Kody.bin</t>
  </si>
  <si>
    <t>02810001-01200502</t>
  </si>
  <si>
    <t>Head:04CBDF98C2FE4A80F6</t>
  </si>
  <si>
    <t>CRC32:5E4F8281</t>
  </si>
  <si>
    <t>[AC] 222 - Miranda.bin</t>
  </si>
  <si>
    <t>03130001-01210502</t>
  </si>
  <si>
    <t>Head:043B5DEAF28C4B80B5</t>
  </si>
  <si>
    <t>CRC32:944CAEB2</t>
  </si>
  <si>
    <t>[AC] 223 - Del.bin</t>
  </si>
  <si>
    <t>02C70001-01220502</t>
  </si>
  <si>
    <t>Head:0448D410CA8C4B818C</t>
  </si>
  <si>
    <t>CRC32:A875847B</t>
  </si>
  <si>
    <t>[AC] 224 - Paula.bin</t>
  </si>
  <si>
    <t>021E0001-01230502</t>
  </si>
  <si>
    <t>Head:04F85A2EF28C4B80B5</t>
  </si>
  <si>
    <t>CRC32:665E1D25</t>
  </si>
  <si>
    <t>[AC] 225 - Ken.bin</t>
  </si>
  <si>
    <t>02A60001-01240502</t>
  </si>
  <si>
    <t>Head:04686682F28C4B80B5</t>
  </si>
  <si>
    <t>CRC32:CD75A5EE</t>
  </si>
  <si>
    <t>[AC] 226 - Mitzi.bin</t>
  </si>
  <si>
    <t>025E0001-01250502</t>
  </si>
  <si>
    <t>Head:04505D81F28C4B81B4</t>
  </si>
  <si>
    <t>CRC32:633D2D74</t>
  </si>
  <si>
    <t>[AC] 227 - Rodeo.bin</t>
  </si>
  <si>
    <t>024B0001-01260502</t>
  </si>
  <si>
    <t>Head:04D06834F28C4B80B5</t>
  </si>
  <si>
    <t>CRC32:84240333</t>
  </si>
  <si>
    <t>[AC] 228 - Bubbles.bin</t>
  </si>
  <si>
    <t>03920001-01270502</t>
  </si>
  <si>
    <t>Head:041564FDF28C4B81B4</t>
  </si>
  <si>
    <t>CRC32:9544E3A0</t>
  </si>
  <si>
    <t>[AC] 229 - Cousteau.bin</t>
  </si>
  <si>
    <t>03420001-01280502</t>
  </si>
  <si>
    <t>Head:04655CB5F28C4B81B4</t>
  </si>
  <si>
    <t>CRC32:50007B2D</t>
  </si>
  <si>
    <t>[AC] 230 - Velma.bin</t>
  </si>
  <si>
    <t>035C0001-01290502</t>
  </si>
  <si>
    <t>Head:0400A02CCA8C4B818C</t>
  </si>
  <si>
    <t>CRC32:C9197A94</t>
  </si>
  <si>
    <t>[AC] 231 - Elvis.bin</t>
  </si>
  <si>
    <t>03E70001-012A0502</t>
  </si>
  <si>
    <t>Head:046339D6CA8C4B818C</t>
  </si>
  <si>
    <t>CRC32:37492D05</t>
  </si>
  <si>
    <t>[AC] 232 - Canberra.bin</t>
  </si>
  <si>
    <t>03C40001-012B0502</t>
  </si>
  <si>
    <t>Head:045D7AABCA8C4B808D</t>
  </si>
  <si>
    <t>CRC32:C531198F</t>
  </si>
  <si>
    <t>[AC] 233 - Colton.bin</t>
  </si>
  <si>
    <t>03AF0001-012C0502</t>
  </si>
  <si>
    <t>Head:044AD711CA8C4B808D</t>
  </si>
  <si>
    <t>CRC32:1D2E649B</t>
  </si>
  <si>
    <t>[AC] 234 - Marina.bin</t>
  </si>
  <si>
    <t>042A0001-012D0502</t>
  </si>
  <si>
    <t>Head:04549C44FA8C4B81BC</t>
  </si>
  <si>
    <t>CRC32:9D33C511</t>
  </si>
  <si>
    <t>[AC] 235 - Spork-Crackle.bin</t>
  </si>
  <si>
    <t>047D0001-012E0502</t>
  </si>
  <si>
    <t>Head:04DA2177EA8C4B80AD</t>
  </si>
  <si>
    <t>CRC32:8B0E6D83</t>
  </si>
  <si>
    <t>[AC] 236 - Freckles.bin</t>
  </si>
  <si>
    <t>030E0001-012F0502</t>
  </si>
  <si>
    <t>Head:042F45E6FA8C4B81BC</t>
  </si>
  <si>
    <t>CRC32:644D2455</t>
  </si>
  <si>
    <t>[AC] 237 - Bam.bin</t>
  </si>
  <si>
    <t>02D70001-01300502</t>
  </si>
  <si>
    <t>Head:042E9C3EEA8C4B80AD</t>
  </si>
  <si>
    <t>CRC32:3C302317</t>
  </si>
  <si>
    <t>[AC] 238 - Friga.bin</t>
  </si>
  <si>
    <t>04630001-01310502</t>
  </si>
  <si>
    <t>Head:0425842DFA8C4B81BC</t>
  </si>
  <si>
    <t>CRC32:BFA7FFA5</t>
  </si>
  <si>
    <t>[AC] 239 - Ricky.bin</t>
  </si>
  <si>
    <t>04E70001-01320502</t>
  </si>
  <si>
    <t>Head:046A47A1EA8C4B80AD</t>
  </si>
  <si>
    <t>CRC32:42C61E9D</t>
  </si>
  <si>
    <t>[AC] 240 - Deirdre.bin</t>
  </si>
  <si>
    <t>02DA0001-01330502</t>
  </si>
  <si>
    <t>Head:0439992CEA8C4B80AD</t>
  </si>
  <si>
    <t>CRC32:2BF53028</t>
  </si>
  <si>
    <t>[AC] 241 - Hans.bin</t>
  </si>
  <si>
    <t>03730001-01340502</t>
  </si>
  <si>
    <t>Head:042115B8EA8C4B81AC</t>
  </si>
  <si>
    <t>CRC32:E43524E7</t>
  </si>
  <si>
    <t>[AC] 242 - Chevre.bin</t>
  </si>
  <si>
    <t>03560001-01350502</t>
  </si>
  <si>
    <t>Head:049EF0E2BAFE4A808E</t>
  </si>
  <si>
    <t>CRC32:58632846</t>
  </si>
  <si>
    <t>[AC] 243 - Drago.bin</t>
  </si>
  <si>
    <t>02CB0001-01360502</t>
  </si>
  <si>
    <t>Head:04826668BAFE4A818F</t>
  </si>
  <si>
    <t>[AC] 244 - Tangy.bin</t>
  </si>
  <si>
    <t>02620001-01370502</t>
  </si>
  <si>
    <t>Head:045C8858C28C4B8085</t>
  </si>
  <si>
    <t>CRC32:C976CD7B</t>
  </si>
  <si>
    <t>[AC] 245 - Mac.bin</t>
  </si>
  <si>
    <t>02F80001-01380502</t>
  </si>
  <si>
    <t>Head:0426852FC28C4B8184</t>
  </si>
  <si>
    <t>CRC32:1D43DE78</t>
  </si>
  <si>
    <t>[AC] 246 - Eloise.bin</t>
  </si>
  <si>
    <t>03260001-01390502</t>
  </si>
  <si>
    <t>Head:0436C17BBAFE4A818F</t>
  </si>
  <si>
    <t>CRC32:45ED9D82</t>
  </si>
  <si>
    <t>[AC] 247 - Wart Jr..bin</t>
  </si>
  <si>
    <t>033D0001-013A0502</t>
  </si>
  <si>
    <t>Head:0416B822C28C4B8085</t>
  </si>
  <si>
    <t>CRC32:3F24DFE5</t>
  </si>
  <si>
    <t>[AC] 248 - Hazel.bin</t>
  </si>
  <si>
    <t>04EF0001-013B0502</t>
  </si>
  <si>
    <t>Head:047CB545C28C4B8184</t>
  </si>
  <si>
    <t>CRC32:7F68385F</t>
  </si>
  <si>
    <t>[AC] 249 - Beardo.bin</t>
  </si>
  <si>
    <t>02210001-013C0502</t>
  </si>
  <si>
    <t>Head:042F5DFEC28C4B8085</t>
  </si>
  <si>
    <t>CRC32:51B61A42</t>
  </si>
  <si>
    <t>[AC] 250 - Ava.bin</t>
  </si>
  <si>
    <t>029E0001-013D0502</t>
  </si>
  <si>
    <t>Head:04D7D78C028D4B8044</t>
  </si>
  <si>
    <t>CRC32:185A2FA3</t>
  </si>
  <si>
    <t>[AC] 251 - Chester.bin</t>
  </si>
  <si>
    <t>028C0001-013E0502</t>
  </si>
  <si>
    <t>Head:04708E72028D4B8044</t>
  </si>
  <si>
    <t>CRC32:1944C5BA</t>
  </si>
  <si>
    <t>[AC] 252 - Merry.bin</t>
  </si>
  <si>
    <t>026D0001-013F0502</t>
  </si>
  <si>
    <t>Head:045879AD028D4B8145</t>
  </si>
  <si>
    <t>CRC32:BD6A5399</t>
  </si>
  <si>
    <t>[AC] 253 - Genji.bin</t>
  </si>
  <si>
    <t>049C0001-01400502</t>
  </si>
  <si>
    <t>Head:044EEF2DF28C4B80B5</t>
  </si>
  <si>
    <t>CRC32:995E3CC0</t>
  </si>
  <si>
    <t>[AC] 254 - Greta.bin</t>
  </si>
  <si>
    <t>041C0001-01410502</t>
  </si>
  <si>
    <t>Head:04854E473A8D4B807C</t>
  </si>
  <si>
    <t>CRC32:53B9FCDC</t>
  </si>
  <si>
    <t>[AC] 255 - Wolfgang.bin</t>
  </si>
  <si>
    <t>050D0001-01420502</t>
  </si>
  <si>
    <t>Head:04ABE6C1028D4B8044</t>
  </si>
  <si>
    <t>[AC] 256 - Diva.bin</t>
  </si>
  <si>
    <t>034A0001-01430502</t>
  </si>
  <si>
    <t>Head:0412841A028D4B8044</t>
  </si>
  <si>
    <t>CRC32:7A50BFAE</t>
  </si>
  <si>
    <t>[AC] 257 - Klaus.bin</t>
  </si>
  <si>
    <t>02220001-01440502</t>
  </si>
  <si>
    <t>Head:04FFFB88028D4B8044</t>
  </si>
  <si>
    <t>CRC32:93D2D484</t>
  </si>
  <si>
    <t>[AC] 258 - Daisy.bin</t>
  </si>
  <si>
    <t>02F10001-01450502</t>
  </si>
  <si>
    <t>Head:041DD647D28C4B8194</t>
  </si>
  <si>
    <t>CRC32:454117DB</t>
  </si>
  <si>
    <t>[AC] 259 - Stinky.bin</t>
  </si>
  <si>
    <t>026A0001-01460502</t>
  </si>
  <si>
    <t>Head:0482909EEA8C4B80AD</t>
  </si>
  <si>
    <t>CRC32:9C2DEE78</t>
  </si>
  <si>
    <t>[AC] 260 - Tammi.bin</t>
  </si>
  <si>
    <t>03FC0001-01470502</t>
  </si>
  <si>
    <t>Head:04325FE1EA8C4B80AD</t>
  </si>
  <si>
    <t>CRC32:4CB6CAAC</t>
  </si>
  <si>
    <t>[AC] 261 - Tucker.bin</t>
  </si>
  <si>
    <t>032C0001-01480502</t>
  </si>
  <si>
    <t>Head:0450C11DEA8C4B81AC</t>
  </si>
  <si>
    <t>CRC32:8BCEA320</t>
  </si>
  <si>
    <t>[AC] 262 - Blanche.bin</t>
  </si>
  <si>
    <t>043E0001-01490502</t>
  </si>
  <si>
    <t>Head:04F4B9C1028D4B8044</t>
  </si>
  <si>
    <t>[AC] 263 - Gaston.bin</t>
  </si>
  <si>
    <t>04980001-014A0502</t>
  </si>
  <si>
    <t>Head:0455CB12F28C4B81B4</t>
  </si>
  <si>
    <t>CRC32:1CAA856E</t>
  </si>
  <si>
    <t>[AC] 264 - Marshal.bin</t>
  </si>
  <si>
    <t>04EE0001-014B0502</t>
  </si>
  <si>
    <t>Head:045B75A2028D4B8145</t>
  </si>
  <si>
    <t>CRC32:4E578C03</t>
  </si>
  <si>
    <t>[AC] 265 - Gala.bin</t>
  </si>
  <si>
    <t>04850001-014C0502</t>
  </si>
  <si>
    <t>Head:04F2C9B7028D4B8044</t>
  </si>
  <si>
    <t>CRC32:3FC15A49</t>
  </si>
  <si>
    <t>[AC] 266 - Joey.bin</t>
  </si>
  <si>
    <t>03080001-014D0502</t>
  </si>
  <si>
    <t>Head:04052BA2722C4C8193</t>
  </si>
  <si>
    <t>CRC32:827F8986</t>
  </si>
  <si>
    <t>[AC] 267 - Pippy.bin</t>
  </si>
  <si>
    <t>049A0001-014E0502</t>
  </si>
  <si>
    <t>Head:04469852622C4C8183</t>
  </si>
  <si>
    <t>CRC32:73AB93E7</t>
  </si>
  <si>
    <t>[AC] 268 - Buck.bin</t>
  </si>
  <si>
    <t>03A40001-014F0502</t>
  </si>
  <si>
    <t>Head:044323EC722C4C8193</t>
  </si>
  <si>
    <t>CRC32:8853CFB4</t>
  </si>
  <si>
    <t>[AC] 269 - Bree.bin</t>
  </si>
  <si>
    <t>040F0001-01500502</t>
  </si>
  <si>
    <t>Head:046D24C5722C4C8092</t>
  </si>
  <si>
    <t>CRC32:60DC47E8</t>
  </si>
  <si>
    <t>[AC] 270 - Rooney.bin</t>
  </si>
  <si>
    <t>03DA0001-01510502</t>
  </si>
  <si>
    <t>Head:045F72A1622C4C8183</t>
  </si>
  <si>
    <t>CRC32:A35A2CB1</t>
  </si>
  <si>
    <t>[AC] 271 - Curlos.bin</t>
  </si>
  <si>
    <t>04CD0001-01520502</t>
  </si>
  <si>
    <t>Head:041C20B0622C4C8183</t>
  </si>
  <si>
    <t>CRC32:5D330E9B</t>
  </si>
  <si>
    <t>[AC] 272 - Skye.bin</t>
  </si>
  <si>
    <t>05140001-01530502</t>
  </si>
  <si>
    <t>Head:0410DB475A8D4B811D</t>
  </si>
  <si>
    <t>CRC32:ABAF8E80</t>
  </si>
  <si>
    <t>[AC] 273 - Moe.bin</t>
  </si>
  <si>
    <t>02650001-01540502</t>
  </si>
  <si>
    <t>Head:040FCF4C5A8D4B811D</t>
  </si>
  <si>
    <t>CRC32:9CCF251D</t>
  </si>
  <si>
    <t>[AC] 274 - Flora.bin</t>
  </si>
  <si>
    <t>043F0001-01550502</t>
  </si>
  <si>
    <t>Head:0442F937BAFE4A818F</t>
  </si>
  <si>
    <t>CRC32:4CE80ACD</t>
  </si>
  <si>
    <t>[AC] 275 - Hamlet.bin</t>
  </si>
  <si>
    <t>037E0001-01560502</t>
  </si>
  <si>
    <t>Head:04E8CCA8C28C4B8085</t>
  </si>
  <si>
    <t>CRC32:2155C640</t>
  </si>
  <si>
    <t>[AC] 276 - Astrid.bin</t>
  </si>
  <si>
    <t>03D60001-01570502</t>
  </si>
  <si>
    <t>Head:04725DA3C28C4B8085</t>
  </si>
  <si>
    <t>CRC32:3DF73775</t>
  </si>
  <si>
    <t>[AC] 277 - Monty.bin</t>
  </si>
  <si>
    <t>03FD0001-01580502</t>
  </si>
  <si>
    <t>Head:04CF7A39BAFE4A808E</t>
  </si>
  <si>
    <t>CRC32:55A1F902</t>
  </si>
  <si>
    <t>[AC] 278 - Dora.bin</t>
  </si>
  <si>
    <t>040C0001-01590502</t>
  </si>
  <si>
    <t>Head:04D92673622C4C8082</t>
  </si>
  <si>
    <t>CRC32:A63C2DC4</t>
  </si>
  <si>
    <t>[AC] 279 - Biskit.bin</t>
  </si>
  <si>
    <t>02ED0001-015A0502</t>
  </si>
  <si>
    <t>Head:0413F06F5A8D4B811D</t>
  </si>
  <si>
    <t>CRC32:4A3362A1</t>
  </si>
  <si>
    <t>[AC] 280 - Victoria.bin</t>
  </si>
  <si>
    <t>03A50001-015B0502</t>
  </si>
  <si>
    <t>Head:04191386622C4C8183</t>
  </si>
  <si>
    <t>CRC32:E0696B6C</t>
  </si>
  <si>
    <t>[AC] 281 - Lyman.bin</t>
  </si>
  <si>
    <t>03C50001-015C0502</t>
  </si>
  <si>
    <t>Head:04C985C0622C4C8082</t>
  </si>
  <si>
    <t>CRC32:D52C4740</t>
  </si>
  <si>
    <t>[AC] 282 - Violet.bin</t>
  </si>
  <si>
    <t>03700001-015D0502</t>
  </si>
  <si>
    <t>Head:04B67B41328D4B8074</t>
  </si>
  <si>
    <t>CRC32:60C8E434</t>
  </si>
  <si>
    <t>[AC] 283 - Frank.bin</t>
  </si>
  <si>
    <t>04510001-015E0502</t>
  </si>
  <si>
    <t>Head:0481B3BE328D4B8175</t>
  </si>
  <si>
    <t>CRC32:A4A9DDD4</t>
  </si>
  <si>
    <t>[AC] 284 - Chadder.bin</t>
  </si>
  <si>
    <t>041E0001-015F0502</t>
  </si>
  <si>
    <t>Head:044AB177328D4B8175</t>
  </si>
  <si>
    <t>CRC32:8803225A</t>
  </si>
  <si>
    <t>[AC] 285 - Merengue.bin</t>
  </si>
  <si>
    <t>04B90001-01600502</t>
  </si>
  <si>
    <t>Head:045A9C4A328D4B8074</t>
  </si>
  <si>
    <t>CRC32:243EFA06</t>
  </si>
  <si>
    <t>[AC] 286 - Cube.bin</t>
  </si>
  <si>
    <t>04610001-01610502</t>
  </si>
  <si>
    <t>Head:0416BE24FA8C4B80BD</t>
  </si>
  <si>
    <t>CRC32:27EC2F2E</t>
  </si>
  <si>
    <t>[AC] 287 - Claudia.bin</t>
  </si>
  <si>
    <t>04FF0001-01620502</t>
  </si>
  <si>
    <t>Head:0425D77EFA8C4B81BC</t>
  </si>
  <si>
    <t>CRC32:B5A8B09F</t>
  </si>
  <si>
    <t>[AC] 288 - Curly.bin</t>
  </si>
  <si>
    <t>04780001-01630502</t>
  </si>
  <si>
    <t>Head:04C04509328D4B8074</t>
  </si>
  <si>
    <t>CRC32:4A645395</t>
  </si>
  <si>
    <t>[AC] 289 - Boomer.bin</t>
  </si>
  <si>
    <t>04690001-01640502</t>
  </si>
  <si>
    <t>Head:04964F55328D4B8074</t>
  </si>
  <si>
    <t>CRC32:19D385E5</t>
  </si>
  <si>
    <t>[AC] 290 - Caroline.bin</t>
  </si>
  <si>
    <t>04E30001-01650502</t>
  </si>
  <si>
    <t>Head:04E81F7B722C4C8092</t>
  </si>
  <si>
    <t>CRC32:FE7BD606</t>
  </si>
  <si>
    <t>[AC] 291 - Sparro.bin</t>
  </si>
  <si>
    <t>023F0001-01660502</t>
  </si>
  <si>
    <t>Head:04B0013D622C4C8486</t>
  </si>
  <si>
    <t>CRC32:A68F4844</t>
  </si>
  <si>
    <t>[AC] 292 - Baabara.bin</t>
  </si>
  <si>
    <t>04C60001-01670502</t>
  </si>
  <si>
    <t>Head:046B2DCA722C4C8092</t>
  </si>
  <si>
    <t>CRC32:6CCCD74B</t>
  </si>
  <si>
    <t>[AC] 293 - Rolf.bin</t>
  </si>
  <si>
    <t>04FA0001-01680502</t>
  </si>
  <si>
    <t>Head:04EE0765622C4C8486</t>
  </si>
  <si>
    <t>CRC32:9BED1A0D</t>
  </si>
  <si>
    <t>[AC] 294 - Maple.bin</t>
  </si>
  <si>
    <t>027E0001-01690502</t>
  </si>
  <si>
    <t>Head:04F4E0984A8D4B800C</t>
  </si>
  <si>
    <t>CRC32:8749DEAF</t>
  </si>
  <si>
    <t>[AC] 295 - Antonio.bin</t>
  </si>
  <si>
    <t>02010001-016A0502</t>
  </si>
  <si>
    <t>Head:04AE0D2F4A8D4B8408</t>
  </si>
  <si>
    <t>CRC32:BF3D1764</t>
  </si>
  <si>
    <t>[AC] 296 - Soleil.bin</t>
  </si>
  <si>
    <t>03820001-016B0502</t>
  </si>
  <si>
    <t>Head:04D5EDB4428D4B8004</t>
  </si>
  <si>
    <t>CRC32:F50A95BF</t>
  </si>
  <si>
    <t>[AC] 297 - Apollo.bin</t>
  </si>
  <si>
    <t>044B0001-016C0502</t>
  </si>
  <si>
    <t>Head:046EE604428D4B8004</t>
  </si>
  <si>
    <t>CRC32:B341F345</t>
  </si>
  <si>
    <t>[AC] 298 - Derwin.bin</t>
  </si>
  <si>
    <t>030F0001-016D0502</t>
  </si>
  <si>
    <t>Head:04BBF4C3C2FE4A80F6</t>
  </si>
  <si>
    <t>CRC32:8A2BB350</t>
  </si>
  <si>
    <t>[AC] 299 - Francine.bin</t>
  </si>
  <si>
    <t>04A00001-016E0502</t>
  </si>
  <si>
    <t>Head:04C4F7BFC2FE4A80F6</t>
  </si>
  <si>
    <t>CRC32:75E715C6</t>
  </si>
  <si>
    <t>[AC] 300 - Chrissy.bin</t>
  </si>
  <si>
    <t>04A10001-016F0502</t>
  </si>
  <si>
    <t>Head:046BFC1B328D4B8074</t>
  </si>
  <si>
    <t>CRC32:56333EB2</t>
  </si>
  <si>
    <t>[AC] 101 - K.K. Slider.bin</t>
  </si>
  <si>
    <t>01820001-00A80502</t>
  </si>
  <si>
    <t>Head:04A94663EAEF4980CC</t>
  </si>
  <si>
    <t>CRC32:4B80982C</t>
  </si>
  <si>
    <t>[AC] 102 - Reese.bin</t>
  </si>
  <si>
    <t>018A0001-00A90502</t>
  </si>
  <si>
    <t>Head:0471639E72E9498052</t>
  </si>
  <si>
    <t>CRC32:F9C28887</t>
  </si>
  <si>
    <t>[AC] 103 - Kicks.bin</t>
  </si>
  <si>
    <t>01940001-00AA0502</t>
  </si>
  <si>
    <t>Head:049125381AEE49803D</t>
  </si>
  <si>
    <t>CRC32:7484DC74</t>
  </si>
  <si>
    <t>[AC] 104 - Labelle.bin</t>
  </si>
  <si>
    <t>01890001-00AB0502</t>
  </si>
  <si>
    <t>Head:04C00A46AAEE49808D</t>
  </si>
  <si>
    <t>CRC32:CB9E35C8</t>
  </si>
  <si>
    <t>[AC] 105 - Copper.bin</t>
  </si>
  <si>
    <t>019D0001-00AC0502</t>
  </si>
  <si>
    <t>Head:0447A46F8AE94981AB</t>
  </si>
  <si>
    <t>CRC32:2141951D</t>
  </si>
  <si>
    <t>[AC] 106 - Booker.bin</t>
  </si>
  <si>
    <t>019E0001-00AD0502</t>
  </si>
  <si>
    <t>Head:04DAF2A48AE94980AA</t>
  </si>
  <si>
    <t>CRC32:AF3155EF</t>
  </si>
  <si>
    <t>[AC] 107 - Katie.bin</t>
  </si>
  <si>
    <t>01B60001-00AE0502</t>
  </si>
  <si>
    <t>Head:042B23843AEE49811C</t>
  </si>
  <si>
    <t>CRC32:F64EBED2</t>
  </si>
  <si>
    <t>[AC] 108 - Tommy.bin</t>
  </si>
  <si>
    <t>01860101-00AF0502</t>
  </si>
  <si>
    <t>Head:044661AB9AE94981BB</t>
  </si>
  <si>
    <t>CRC32:320D214C</t>
  </si>
  <si>
    <t>[AC] 109 - Porter.bin</t>
  </si>
  <si>
    <t>01950001-00B00502</t>
  </si>
  <si>
    <t>Head:04A5240D72E9498052</t>
  </si>
  <si>
    <t>CRC32:8449E930</t>
  </si>
  <si>
    <t>[AC] 110 - Leila.bin</t>
  </si>
  <si>
    <t>01980001-00B10502</t>
  </si>
  <si>
    <t>Head:0432E25CEAEF4980CC</t>
  </si>
  <si>
    <t>CRC32:B8FCF38B</t>
  </si>
  <si>
    <t>[AC] 111 - Shrunk.bin</t>
  </si>
  <si>
    <t>01B10001-00B20502</t>
  </si>
  <si>
    <t>Head:0470EA16EAEF4980CC</t>
  </si>
  <si>
    <t>CRC32:CEAAA1FB</t>
  </si>
  <si>
    <t>[AC] 112 - Don Resetti.bin</t>
  </si>
  <si>
    <t>018F0001-00B30502</t>
  </si>
  <si>
    <t>Head:044E74B622E149810B</t>
  </si>
  <si>
    <t>CRC32:E50EA243</t>
  </si>
  <si>
    <t>[AC] 113 - Isabelle.bin</t>
  </si>
  <si>
    <t>01810101-00B40502</t>
  </si>
  <si>
    <t>Head:04083FBBEAEF4981CD</t>
  </si>
  <si>
    <t>CRC32:ECDBEC86</t>
  </si>
  <si>
    <t>[AC] 114 - Blanca.bin</t>
  </si>
  <si>
    <t>01B30001-00B50502</t>
  </si>
  <si>
    <t>Head:046120CD72E9498052</t>
  </si>
  <si>
    <t>CRC32:BB7C5589</t>
  </si>
  <si>
    <t>[AC] 115 - Nat.bin</t>
  </si>
  <si>
    <t>019B0001-00B60502</t>
  </si>
  <si>
    <t>Head:040DAB2A72E9498052</t>
  </si>
  <si>
    <t>CRC32:FB5F91C9</t>
  </si>
  <si>
    <t>[AC] 116 - Chip.bin</t>
  </si>
  <si>
    <t>019A0001-00B70502</t>
  </si>
  <si>
    <t>Head:04C59BD272E9498052</t>
  </si>
  <si>
    <t>CRC32:5D139876</t>
  </si>
  <si>
    <t>[AC] 117 - Jack.bin</t>
  </si>
  <si>
    <t>01AD0001-00B80502</t>
  </si>
  <si>
    <t>Head:0443824D02E9498022</t>
  </si>
  <si>
    <t>CRC32:3E455EA0</t>
  </si>
  <si>
    <t>[AC] 118 - Poncho.bin</t>
  </si>
  <si>
    <t>027F0001-00B90502</t>
  </si>
  <si>
    <t>Head:04FF62114AED49806E</t>
  </si>
  <si>
    <t>CRC32:3D5E6239</t>
  </si>
  <si>
    <t>[AC] 119 - Felicity.bin</t>
  </si>
  <si>
    <t>026E0001-00BA0502</t>
  </si>
  <si>
    <t>Head:0431BC0122ED498107</t>
  </si>
  <si>
    <t>CRC32:E23469B1</t>
  </si>
  <si>
    <t>[AC] 120 - Ozzie.bin</t>
  </si>
  <si>
    <t>03C10001-00BB0502</t>
  </si>
  <si>
    <t>Head:046FC92A2AE1498103</t>
  </si>
  <si>
    <t>CRC32:5BFF66B9</t>
  </si>
  <si>
    <t>[AC] 121 - Tia.bin</t>
  </si>
  <si>
    <t>032D0001-00BC0502</t>
  </si>
  <si>
    <t>Head:046433DB3AE1498012</t>
  </si>
  <si>
    <t>CRC32:5D9A25CA</t>
  </si>
  <si>
    <t>[AC] 122 - Lucha.bin</t>
  </si>
  <si>
    <t>023C0001-00BD0502</t>
  </si>
  <si>
    <t>Head:044159941AE1498133</t>
  </si>
  <si>
    <t>CRC32:89D00B51</t>
  </si>
  <si>
    <t>[AC] 123 - Fuchsia.bin</t>
  </si>
  <si>
    <t>02DC0001-00BE0502</t>
  </si>
  <si>
    <t>Head:04B79FA41AE1498032</t>
  </si>
  <si>
    <t>CRC32:A9C43291</t>
  </si>
  <si>
    <t>[AC] 124 - Harry.bin</t>
  </si>
  <si>
    <t>03980001-00BF0502</t>
  </si>
  <si>
    <t>Head:04BD2F1E1AE1498032</t>
  </si>
  <si>
    <t>CRC32:3BFCFBE8</t>
  </si>
  <si>
    <t>[AC] 125 - Gwen.bin</t>
  </si>
  <si>
    <t>04640001-00C00502</t>
  </si>
  <si>
    <t>Head:04213D904AED49816F</t>
  </si>
  <si>
    <t>CRC32:B2A8088A</t>
  </si>
  <si>
    <t>[AC] 126 - Coach.bin</t>
  </si>
  <si>
    <t>02510001-00C10502</t>
  </si>
  <si>
    <t>Head:04B02C104AED49806E</t>
  </si>
  <si>
    <t>[AC] 127 - Kitt.bin</t>
  </si>
  <si>
    <t>03D10001-00C20502</t>
  </si>
  <si>
    <t>Head:0498627642ED498066</t>
  </si>
  <si>
    <t>CRC32:3F960A0F</t>
  </si>
  <si>
    <t>[AC] 128 - Tom.bin</t>
  </si>
  <si>
    <t>026C0001-00C30502</t>
  </si>
  <si>
    <t>Head:04057DF442ED498167</t>
  </si>
  <si>
    <t>CRC32:91739CC4</t>
  </si>
  <si>
    <t>[AC] 129 - Tipper.bin</t>
  </si>
  <si>
    <t>02B20001-00C40502</t>
  </si>
  <si>
    <t>Head:0495716842ED498066</t>
  </si>
  <si>
    <t>CRC32:3A8C1325</t>
  </si>
  <si>
    <t>[AC] 130 - Prince.bin</t>
  </si>
  <si>
    <t>03440001-00C50502</t>
  </si>
  <si>
    <t>Head:04EEB1D3FAE84980DB</t>
  </si>
  <si>
    <t>CRC32:E92BB6D5</t>
  </si>
  <si>
    <t>[AC] 131 - Pate.bin</t>
  </si>
  <si>
    <t>03090001-00C60502</t>
  </si>
  <si>
    <t>Head:0453CE114AED49806E</t>
  </si>
  <si>
    <t>CRC32:D1E97654</t>
  </si>
  <si>
    <t>[AC] 132 - Vladimir.bin</t>
  </si>
  <si>
    <t>02830001-00C70502</t>
  </si>
  <si>
    <t>Head:04879398FAE84981DA</t>
  </si>
  <si>
    <t>CRC32:D6CFF2BA</t>
  </si>
  <si>
    <t>[AC] 133 - Savannah.bin</t>
  </si>
  <si>
    <t>03A60001-00C80502</t>
  </si>
  <si>
    <t>Head:04228F215AED49807E</t>
  </si>
  <si>
    <t>CRC32:7591D025</t>
  </si>
  <si>
    <t>[AC] 134 - Kidd.bin</t>
  </si>
  <si>
    <t>035D0001-00C90502</t>
  </si>
  <si>
    <t>Head:046650BA32284981D2</t>
  </si>
  <si>
    <t>CRC32:29BD3EED</t>
  </si>
  <si>
    <t>[AC] 135 - Phoebe.bin</t>
  </si>
  <si>
    <t>04400001-00CA0502</t>
  </si>
  <si>
    <t>Head:04329A245AED49807E</t>
  </si>
  <si>
    <t>CRC32:32D3672D</t>
  </si>
  <si>
    <t>[AC] 136 - Egbert.bin</t>
  </si>
  <si>
    <t>029B0001-00CB0502</t>
  </si>
  <si>
    <t>Head:04428E40FAE84980DB</t>
  </si>
  <si>
    <t>CRC32:5640A9A8</t>
  </si>
  <si>
    <t>[AC] 137 - Cookie.bin</t>
  </si>
  <si>
    <t>02F20001-00CC0502</t>
  </si>
  <si>
    <t>Head:04752CD552ED498076</t>
  </si>
  <si>
    <t>CRC32:C52503BD</t>
  </si>
  <si>
    <t>[AC] 138 - Sly.bin</t>
  </si>
  <si>
    <t>02C90001-00CD0502</t>
  </si>
  <si>
    <t>Head:04E684EE9AE94980BA</t>
  </si>
  <si>
    <t>CRC32:1EF71047</t>
  </si>
  <si>
    <t>[AC] 139 - Blaire.bin</t>
  </si>
  <si>
    <t>04DE0001-00CE0502</t>
  </si>
  <si>
    <t>Head:0427993232E149811B</t>
  </si>
  <si>
    <t>CRC32:96A8EEAE</t>
  </si>
  <si>
    <t>[AC] 140 - Avery.bin</t>
  </si>
  <si>
    <t>04500001-00CF0502</t>
  </si>
  <si>
    <t>Head:046144A9FAE84980DB</t>
  </si>
  <si>
    <t>CRC32:DA41A964</t>
  </si>
  <si>
    <t>[AC] 141 - Nana.bin</t>
  </si>
  <si>
    <t>03FA0001-00D00502</t>
  </si>
  <si>
    <t>Head:04253D94EA894981AB</t>
  </si>
  <si>
    <t>CRC32:15AE4444</t>
  </si>
  <si>
    <t>[AC] 142 - Peck.bin</t>
  </si>
  <si>
    <t>023E0001-00D10502</t>
  </si>
  <si>
    <t>Head:045A38EE5AED49807E</t>
  </si>
  <si>
    <t>CRC32:49CBBB1F</t>
  </si>
  <si>
    <t>[AC] 143 - Olivia.bin</t>
  </si>
  <si>
    <t>02600001-00D20502</t>
  </si>
  <si>
    <t>Head:04B16B56DAEE4980FD</t>
  </si>
  <si>
    <t>CRC32:D44F6C3F</t>
  </si>
  <si>
    <t>[AC] 144 - Cesar.bin</t>
  </si>
  <si>
    <t>03690001-00D30502</t>
  </si>
  <si>
    <t>Head:040464EC52ED498177</t>
  </si>
  <si>
    <t>CRC32:3BB23A51</t>
  </si>
  <si>
    <t>[AC] 145 - Carmen.bin</t>
  </si>
  <si>
    <t>04A40001-00D40502</t>
  </si>
  <si>
    <t>Head:0472DC22FAE84980DB</t>
  </si>
  <si>
    <t>CRC32:E7A3613C</t>
  </si>
  <si>
    <t>[AC] 146 - Rodney.bin</t>
  </si>
  <si>
    <t>03810001-00D50502</t>
  </si>
  <si>
    <t>Head:045EB6645AED49817F</t>
  </si>
  <si>
    <t>CRC32:E3F89272</t>
  </si>
  <si>
    <t>[AC] 147 - Scoot.bin</t>
  </si>
  <si>
    <t>03110001-00D60502</t>
  </si>
  <si>
    <t>Head:0421993462ED498147</t>
  </si>
  <si>
    <t>CRC32:BAC5977E</t>
  </si>
  <si>
    <t>[AC] 148 - Whitney.bin</t>
  </si>
  <si>
    <t>050E0001-00D70502</t>
  </si>
  <si>
    <t>Head:047158A512B3498068</t>
  </si>
  <si>
    <t>CRC32:F3A08965</t>
  </si>
  <si>
    <t>[AC] 149 - Broccolo.bin</t>
  </si>
  <si>
    <t>04180001-00D80502</t>
  </si>
  <si>
    <t>Head:0446C2080AE949812B</t>
  </si>
  <si>
    <t>CRC32:7BA25218</t>
  </si>
  <si>
    <t>[AC] 150 - Coco.bin</t>
  </si>
  <si>
    <t>04960001-00D90502</t>
  </si>
  <si>
    <t>Head:0460947862ED498046</t>
  </si>
  <si>
    <t>CRC32:76CF0996</t>
  </si>
  <si>
    <t>[AC] 151 - Groucho.bin</t>
  </si>
  <si>
    <t>021A0001-00DA0502</t>
  </si>
  <si>
    <t>Head:045C22F262ED498046</t>
  </si>
  <si>
    <t>[AC] 152 - Wendy.bin</t>
  </si>
  <si>
    <t>04CE0001-00DB0502</t>
  </si>
  <si>
    <t>Head:046E07E50AE949842E</t>
  </si>
  <si>
    <t>CRC32:2175E713</t>
  </si>
  <si>
    <t>[AC] 153 - Alfonso.bin</t>
  </si>
  <si>
    <t>02C30001-00DC0502</t>
  </si>
  <si>
    <t>Head:043A259312B3498169</t>
  </si>
  <si>
    <t>CRC32:DA8B00BB</t>
  </si>
  <si>
    <t>[AC] 154 - Rhonda.bin</t>
  </si>
  <si>
    <t>04B30001-00DD0502</t>
  </si>
  <si>
    <t>Head:045CE53512B3498068</t>
  </si>
  <si>
    <t>CRC32:4166EC98</t>
  </si>
  <si>
    <t>[AC] 155 - Butch.bin</t>
  </si>
  <si>
    <t>02EB0001-00DE0502</t>
  </si>
  <si>
    <t>Head:043F43F062B3498119</t>
  </si>
  <si>
    <t>CRC32:908A5038</t>
  </si>
  <si>
    <t>[AC] 156 - Gabi.bin</t>
  </si>
  <si>
    <t>04990001-00DF0502</t>
  </si>
  <si>
    <t>Head:04FD2E5F1AE949803A</t>
  </si>
  <si>
    <t>CRC32:D90DD7C6</t>
  </si>
  <si>
    <t>[AC] 157 - Moose.bin</t>
  </si>
  <si>
    <t>041A0001-00E00502</t>
  </si>
  <si>
    <t>Head:040DEE6F1AE949813B</t>
  </si>
  <si>
    <t>[AC] 158 - Timbra.bin</t>
  </si>
  <si>
    <t>04CF0001-00E10502</t>
  </si>
  <si>
    <t>Head:04A36C43DA01498012</t>
  </si>
  <si>
    <t>CRC32:F5092669</t>
  </si>
  <si>
    <t>[AC] 159 - Zell.bin</t>
  </si>
  <si>
    <t>02D80001-00E20502</t>
  </si>
  <si>
    <t>Head:046FAB48DA01498113</t>
  </si>
  <si>
    <t>CRC32:497FACFF</t>
  </si>
  <si>
    <t>[AC] 160 - Pekoe.bin</t>
  </si>
  <si>
    <t>028B0001-00E30502</t>
  </si>
  <si>
    <t>Head:04B0142812ED498036</t>
  </si>
  <si>
    <t>CRC32:92C0C7EE</t>
  </si>
  <si>
    <t>[AC] 161 - Teddy.bin</t>
  </si>
  <si>
    <t>02140001-00E40502</t>
  </si>
  <si>
    <t>Head:04E96005DA01498012</t>
  </si>
  <si>
    <t>CRC32:1561B261</t>
  </si>
  <si>
    <t>[AC] 162 - Mathilda.bin</t>
  </si>
  <si>
    <t>03D20001-00E50502</t>
  </si>
  <si>
    <t>Head:04477FB47AED49805E</t>
  </si>
  <si>
    <t>[AC] 163 - Ed.bin</t>
  </si>
  <si>
    <t>03AA0001-00E60502</t>
  </si>
  <si>
    <t>Head:04A3E2CD62ED498046</t>
  </si>
  <si>
    <t>CRC32:923FB5E4</t>
  </si>
  <si>
    <t>[AC] 164 - Bianca.bin</t>
  </si>
  <si>
    <t>05000001-00E70502</t>
  </si>
  <si>
    <t>Head:04BF8EBD32ED498016</t>
  </si>
  <si>
    <t>CRC32:F9C6B8A5</t>
  </si>
  <si>
    <t>[AC] 165 - Filbert.bin</t>
  </si>
  <si>
    <t>04DF0001-00E80502</t>
  </si>
  <si>
    <t>Head:045A69BF6AED49804E</t>
  </si>
  <si>
    <t>CRC32:5BC334DA</t>
  </si>
  <si>
    <t>[AC] 166 - Kitty.bin</t>
  </si>
  <si>
    <t>026B0001-00E90502</t>
  </si>
  <si>
    <t>Head:0429D67332ED498016</t>
  </si>
  <si>
    <t>CRC32:CACAA9F0</t>
  </si>
  <si>
    <t>[AC] 167 - Beau.bin</t>
  </si>
  <si>
    <t>02DD0001-00EA0502</t>
  </si>
  <si>
    <t>Head:043052EEDA01498012</t>
  </si>
  <si>
    <t>CRC32:42F18181</t>
  </si>
  <si>
    <t>[AC] 168 - Nan.bin</t>
  </si>
  <si>
    <t>03570001-00EB0502</t>
  </si>
  <si>
    <t>Head:04F15E2332ED498016</t>
  </si>
  <si>
    <t>CRC32:AAB58EA0</t>
  </si>
  <si>
    <t>[AC] 169 - Bud.bin</t>
  </si>
  <si>
    <t>03E60001-00EC0502</t>
  </si>
  <si>
    <t>Head:04A9EECBAAE949808A</t>
  </si>
  <si>
    <t>CRC32:3A7FF4D8</t>
  </si>
  <si>
    <t>[AC] 170 - Ruby.bin</t>
  </si>
  <si>
    <t>049D0001-00ED0502</t>
  </si>
  <si>
    <t>Head:040C29A91AE949813B</t>
  </si>
  <si>
    <t>CRC32:481541AC</t>
  </si>
  <si>
    <t>[AC] 171 - Benedict.bin</t>
  </si>
  <si>
    <t>029A0001-00EE0502</t>
  </si>
  <si>
    <t>Head:0457B56E62B3498119</t>
  </si>
  <si>
    <t>CRC32:80CDF306</t>
  </si>
  <si>
    <t>[AC] 172 - Agnes.bin</t>
  </si>
  <si>
    <t>04890001-00EF0502</t>
  </si>
  <si>
    <t>Head:04B381BE12ED498036</t>
  </si>
  <si>
    <t>CRC32:3DB1A335</t>
  </si>
  <si>
    <t>[AC] 173 - Julian.bin</t>
  </si>
  <si>
    <t>03B10001-00F00502</t>
  </si>
  <si>
    <t>Head:048D8E8F72ED498157</t>
  </si>
  <si>
    <t>CRC32:438C4D78</t>
  </si>
  <si>
    <t>[AC] 174 - Bettina.bin</t>
  </si>
  <si>
    <t>041B0001-00F10502</t>
  </si>
  <si>
    <t>Head:04109B072AED49810F</t>
  </si>
  <si>
    <t>CRC32:DFAECFC1</t>
  </si>
  <si>
    <t>[AC] 175 - Jay.bin</t>
  </si>
  <si>
    <t>022D0001-00F20502</t>
  </si>
  <si>
    <t>Head:0477D3281AED49803E</t>
  </si>
  <si>
    <t>CRC32:D48995AE</t>
  </si>
  <si>
    <t>[AC] 176 - Sprinkle.bin</t>
  </si>
  <si>
    <t>046D0001-00F30502</t>
  </si>
  <si>
    <t>Head:04ACDEFE1AED49803E</t>
  </si>
  <si>
    <t>CRC32:3A2D6383</t>
  </si>
  <si>
    <t>[AC] 177 - Flip.bin</t>
  </si>
  <si>
    <t>03FF0001-00F40502</t>
  </si>
  <si>
    <t>Head:04D0EEB2DA01498012</t>
  </si>
  <si>
    <t>CRC32:4A143376</t>
  </si>
  <si>
    <t>[AC] 178 - Hugh.bin</t>
  </si>
  <si>
    <t>047B0001-00F50502</t>
  </si>
  <si>
    <t>Head:04D4520A42ED498066</t>
  </si>
  <si>
    <t>CRC32:A3A9D9ED</t>
  </si>
  <si>
    <t>[AC] 179 - Hopper.bin</t>
  </si>
  <si>
    <t>04620001-00F60502</t>
  </si>
  <si>
    <t>Head:0440498522ED498006</t>
  </si>
  <si>
    <t>CRC32:1D29191C</t>
  </si>
  <si>
    <t>[AC] 180 - Pecan.bin</t>
  </si>
  <si>
    <t>04E00001-00F70502</t>
  </si>
  <si>
    <t>Head:04BABC8A42ED498066</t>
  </si>
  <si>
    <t>CRC32:5A9E42E0</t>
  </si>
  <si>
    <t>[AC] 181 - Drake.bin</t>
  </si>
  <si>
    <t>03100001-00F80502</t>
  </si>
  <si>
    <t>Head:046CA44422ED498006</t>
  </si>
  <si>
    <t>CRC32:DD388E30</t>
  </si>
  <si>
    <t>[AC] 182 - Alice.bin</t>
  </si>
  <si>
    <t>03BD0001-00F90502</t>
  </si>
  <si>
    <t>Head:04BD655432EE498015</t>
  </si>
  <si>
    <t>CRC32:5650B2F1</t>
  </si>
  <si>
    <t>[AC] 183 - Camofrog.bin</t>
  </si>
  <si>
    <t>033B0001-00FA0502</t>
  </si>
  <si>
    <t>Head:04923E203AED49801E</t>
  </si>
  <si>
    <t>CRC32:3A653B63</t>
  </si>
  <si>
    <t>[AC] 184 - Anicotti.bin</t>
  </si>
  <si>
    <t>04160001-00FB0502</t>
  </si>
  <si>
    <t>Head:041069F562E9498143</t>
  </si>
  <si>
    <t>CRC32:5DB9AB55</t>
  </si>
  <si>
    <t>[AC] 185 - Chops.bin</t>
  </si>
  <si>
    <t>04860001-00FC0502</t>
  </si>
  <si>
    <t>Head:04E5F09962E9498042</t>
  </si>
  <si>
    <t>CRC32:2A004FFB</t>
  </si>
  <si>
    <t>[AC] 186 - Charlise.bin</t>
  </si>
  <si>
    <t>02200001-00FD0502</t>
  </si>
  <si>
    <t>Head:0461FA171AED49803E</t>
  </si>
  <si>
    <t>CRC32:2B5EBA4D</t>
  </si>
  <si>
    <t>[AC] 187 - Vic.bin</t>
  </si>
  <si>
    <t>02520001-00FE0502</t>
  </si>
  <si>
    <t>Head:045B94437AED49805E</t>
  </si>
  <si>
    <t>CRC32:462376CE</t>
  </si>
  <si>
    <t>[AC] 188 - Ankha.bin</t>
  </si>
  <si>
    <t>02700001-00FF0502</t>
  </si>
  <si>
    <t>Head:04839D9282ED4981A7</t>
  </si>
  <si>
    <t>CRC32:8C207C8F</t>
  </si>
  <si>
    <t>[AC] 189 - Drift.bin</t>
  </si>
  <si>
    <t>033C0001-01000502</t>
  </si>
  <si>
    <t>Head:0425C8612AED49810F</t>
  </si>
  <si>
    <t>CRC32:DF3AC003</t>
  </si>
  <si>
    <t>[AC] 190 - Vesta.bin</t>
  </si>
  <si>
    <t>04C50001-01010502</t>
  </si>
  <si>
    <t>Head:04D4E7BFE2EF4980C4</t>
  </si>
  <si>
    <t>CRC32:5E91BF1F</t>
  </si>
  <si>
    <t>[AC] 191 - Marcel.bin</t>
  </si>
  <si>
    <t>02F90001-01020502</t>
  </si>
  <si>
    <t>Head:047EA0521AE949813B</t>
  </si>
  <si>
    <t>CRC32:FF370C5F</t>
  </si>
  <si>
    <t>[AC] 192 - Pango.bin</t>
  </si>
  <si>
    <t>02020001-01030502</t>
  </si>
  <si>
    <t>Head:04D64B111AE949803A</t>
  </si>
  <si>
    <t>CRC32:FD11EDEA</t>
  </si>
  <si>
    <t>[AC] 193 - Keaton.bin</t>
  </si>
  <si>
    <t>04530001-01040502</t>
  </si>
  <si>
    <t>Head:04B58AB31AE949803A</t>
  </si>
  <si>
    <t>CRC32:1871F876</t>
  </si>
  <si>
    <t>[AC] 194 - Gladys.bin</t>
  </si>
  <si>
    <t>04370001-01050502</t>
  </si>
  <si>
    <t>Head:048ECDCFE2EF4980C4</t>
  </si>
  <si>
    <t>CRC32:567D4EB1</t>
  </si>
  <si>
    <t>[AC] 195 - Hamphrey.bin</t>
  </si>
  <si>
    <t>03850001-01060502</t>
  </si>
  <si>
    <t>Head:04ECE7871AE949803A</t>
  </si>
  <si>
    <t>CRC32:1601E7A1</t>
  </si>
  <si>
    <t>[AC] 196 - Freya.bin</t>
  </si>
  <si>
    <t>05100001-01070502</t>
  </si>
  <si>
    <t>Head:0494899162B3498018</t>
  </si>
  <si>
    <t>CRC32:EAAB2D7D</t>
  </si>
  <si>
    <t>[AC] 197 - Kid Cat.bin</t>
  </si>
  <si>
    <t>02670001-01080502</t>
  </si>
  <si>
    <t>Head:04EF90F31AE949803A</t>
  </si>
  <si>
    <t>[AC] 198 - Agent S.bin</t>
  </si>
  <si>
    <t>04E20001-01090502</t>
  </si>
  <si>
    <t>Head:04562BF132EE498114</t>
  </si>
  <si>
    <t>CRC32:BFD5F40B</t>
  </si>
  <si>
    <t>[AC] 199 - Big Top.bin</t>
  </si>
  <si>
    <t>03250001-010A0502</t>
  </si>
  <si>
    <t>Head:0477669D22ED498107</t>
  </si>
  <si>
    <t>[AC] 200 - Rocket.bin</t>
  </si>
  <si>
    <t>03720001-010B0502</t>
  </si>
  <si>
    <t>Head:046CDD3D62B3498018</t>
  </si>
  <si>
    <t>CRC32:8D434251</t>
  </si>
  <si>
    <t>[AC] 001 - Isabelle.bin</t>
  </si>
  <si>
    <t>CRC32:2BDAAB9D</t>
  </si>
  <si>
    <t>[AC] 002 - Tom Nook.bin</t>
  </si>
  <si>
    <t>01830001-00450502</t>
  </si>
  <si>
    <t>Head:042244EA5AB2488121</t>
  </si>
  <si>
    <t>CRC32:C1F36D5A</t>
  </si>
  <si>
    <t>[AC] 003 - DJ KK.bin</t>
  </si>
  <si>
    <t>01820101-00460502</t>
  </si>
  <si>
    <t>Head:0465917872574981ED</t>
  </si>
  <si>
    <t>[AC] 004 - Sable.bin</t>
  </si>
  <si>
    <t>01870001-00470502</t>
  </si>
  <si>
    <t>Head:04BD073672574984E8</t>
  </si>
  <si>
    <t>CRC32:F8A35AF7</t>
  </si>
  <si>
    <t>01960001-00480502</t>
  </si>
  <si>
    <t>Head:047CD828D2C14880DB</t>
  </si>
  <si>
    <t>CRC32:E94CD68A</t>
  </si>
  <si>
    <t>[AC] 006 - Resetti.bin</t>
  </si>
  <si>
    <t>018E0001-00490502</t>
  </si>
  <si>
    <t>Head:0499E3F6D2C14880DB</t>
  </si>
  <si>
    <t>CRC32:25F7927F</t>
  </si>
  <si>
    <t>[AC] 007 - Joan.bin</t>
  </si>
  <si>
    <t>01A30001-004A0502</t>
  </si>
  <si>
    <t>Head:046AA94F5AC948815A</t>
  </si>
  <si>
    <t>CRC32:BF2B400A</t>
  </si>
  <si>
    <t>[AC] 008 - Timmy.bin</t>
  </si>
  <si>
    <t>01850001-004B0502</t>
  </si>
  <si>
    <t>Head:04B7BB80D2C14880DB</t>
  </si>
  <si>
    <t>CRC32:4D845F95</t>
  </si>
  <si>
    <t>[AC] 009 - Digby.bin</t>
  </si>
  <si>
    <t>018C0001-004C0502</t>
  </si>
  <si>
    <t>Head:045C5E8E7228498093</t>
  </si>
  <si>
    <t>CRC32:29166DCD</t>
  </si>
  <si>
    <t>[AC] 010 - Pascal.bin</t>
  </si>
  <si>
    <t>01A40001-004D0502</t>
  </si>
  <si>
    <t>Head:047F51A29A02498051</t>
  </si>
  <si>
    <t>CRC32:3C5B6BAB</t>
  </si>
  <si>
    <t>[AC] 011 - Harriet.bin</t>
  </si>
  <si>
    <t>01910001-004E0502</t>
  </si>
  <si>
    <t>Head:049088944A544980D7</t>
  </si>
  <si>
    <t>CRC32:BC422D48</t>
  </si>
  <si>
    <t>[AC] 012 - Redd.bin</t>
  </si>
  <si>
    <t>01A80001-004F0502</t>
  </si>
  <si>
    <t>Head:040C8C0C4A544981D6</t>
  </si>
  <si>
    <t>CRC32:FB20F015</t>
  </si>
  <si>
    <t>[AC] 013 - Saharah.bin</t>
  </si>
  <si>
    <t>01A60001-00500502</t>
  </si>
  <si>
    <t>Head:04C1A7EA7228498093</t>
  </si>
  <si>
    <t>[AC] 014 - Luna.bin</t>
  </si>
  <si>
    <t>01B50001-00510502</t>
  </si>
  <si>
    <t>Head:04225BF5D2C14881DA</t>
  </si>
  <si>
    <t>CRC32:76306784</t>
  </si>
  <si>
    <t>[AC] 015 - Tortimer.bin</t>
  </si>
  <si>
    <t>01B00001-00520502</t>
  </si>
  <si>
    <t>Head:046C56B6D2C14881DA</t>
  </si>
  <si>
    <t>[AC] 016 - Lyle.bin</t>
  </si>
  <si>
    <t>01AA0001-00530502</t>
  </si>
  <si>
    <t>Head:047C32C2D2C14880DB</t>
  </si>
  <si>
    <t>CRC32:6C60EC88</t>
  </si>
  <si>
    <t>[AC] 017 - Lottie.bin</t>
  </si>
  <si>
    <t>01C10001-00540502</t>
  </si>
  <si>
    <t>Head:047728D3D2C14880DB</t>
  </si>
  <si>
    <t>CRC32:45DFDD83</t>
  </si>
  <si>
    <t>[AC] 018 - Bob.bin</t>
  </si>
  <si>
    <t>025D0001-00550502</t>
  </si>
  <si>
    <t>Head:0448DA1E9A02498150</t>
  </si>
  <si>
    <t>CRC32:8078E351</t>
  </si>
  <si>
    <t>[AC] 019 - Fauna.bin</t>
  </si>
  <si>
    <t>02D60001-00560502</t>
  </si>
  <si>
    <t>Head:04BA6A5C7228498093</t>
  </si>
  <si>
    <t>CRC32:114463BE</t>
  </si>
  <si>
    <t>[AC] 020 - Curt.bin</t>
  </si>
  <si>
    <t>02160001-00570502</t>
  </si>
  <si>
    <t>Head:047469917228498093</t>
  </si>
  <si>
    <t>CRC32:DE3651C4</t>
  </si>
  <si>
    <t>[AC] 021 - Portia.bin</t>
  </si>
  <si>
    <t>02EF0001-00580502</t>
  </si>
  <si>
    <t>Head:042FB0137228498192</t>
  </si>
  <si>
    <t>CRC32:A50DE921</t>
  </si>
  <si>
    <t>[AC] 022 - Leonardo.bin</t>
  </si>
  <si>
    <t>04FE0001-00590502</t>
  </si>
  <si>
    <t>Head:040A2FA9825549811F</t>
  </si>
  <si>
    <t>CRC32:70307BE2</t>
  </si>
  <si>
    <t>[AC] 023 - Cheri.bin</t>
  </si>
  <si>
    <t>02870001-005A0502</t>
  </si>
  <si>
    <t>Head:043A8731825549801E</t>
  </si>
  <si>
    <t>CRC32:4180F689</t>
  </si>
  <si>
    <t>[AC] 024 - Kyle.bin</t>
  </si>
  <si>
    <t>05150001-005B0502</t>
  </si>
  <si>
    <t>Head:04D3CB948A54498017</t>
  </si>
  <si>
    <t>CRC32:6D903DE1</t>
  </si>
  <si>
    <t>[AC] 025 - Al.bin</t>
  </si>
  <si>
    <t>03710001-005C0502</t>
  </si>
  <si>
    <t>Head:044EC3018A54498116</t>
  </si>
  <si>
    <t>CRC32:9CA527C4</t>
  </si>
  <si>
    <t>[AC] 026 - Renee.bin</t>
  </si>
  <si>
    <t>04BA0001-005D0502</t>
  </si>
  <si>
    <t>Head:04BEA391DAC14880D3</t>
  </si>
  <si>
    <t>CRC32:CFA3A338</t>
  </si>
  <si>
    <t>[AC] 027 - Lopez.bin</t>
  </si>
  <si>
    <t>02DB0001-005E0502</t>
  </si>
  <si>
    <t>Head:048F595ADAC14880D3</t>
  </si>
  <si>
    <t>CRC32:3DF36839</t>
  </si>
  <si>
    <t>[AC] 028 - Jambette.bin</t>
  </si>
  <si>
    <t>03450001-005F0502</t>
  </si>
  <si>
    <t>Head:04289337DAC14880D3</t>
  </si>
  <si>
    <t>CRC32:DDAF0E03</t>
  </si>
  <si>
    <t>[AC] 029 - Rasher.bin</t>
  </si>
  <si>
    <t>047A0001-00600502</t>
  </si>
  <si>
    <t>Head:0483A2ADDAC14880D3</t>
  </si>
  <si>
    <t>CRC32:C9D5DBE2</t>
  </si>
  <si>
    <t>[AC] 030 - Tiffany.bin</t>
  </si>
  <si>
    <t>049B0001-00610502</t>
  </si>
  <si>
    <t>Head:04E25C328A54498017</t>
  </si>
  <si>
    <t>CRC32:C17F6788</t>
  </si>
  <si>
    <t>[AC] 031 - Sheldon.bin</t>
  </si>
  <si>
    <t>04ED0001-00620502</t>
  </si>
  <si>
    <t>Head:04394DF88A54498017</t>
  </si>
  <si>
    <t>CRC32:4E9563A2</t>
  </si>
  <si>
    <t>[AC] 032 - Bluebear.bin</t>
  </si>
  <si>
    <t>027D0001-00630502</t>
  </si>
  <si>
    <t>Head:043E94268A54498017</t>
  </si>
  <si>
    <t>CRC32:28C7BA57</t>
  </si>
  <si>
    <t>[AC] 033 - Bill.bin</t>
  </si>
  <si>
    <t>03070001-00640502</t>
  </si>
  <si>
    <t>Head:043922972ABF48815C</t>
  </si>
  <si>
    <t>CRC32:A9C2A281</t>
  </si>
  <si>
    <t>[AC] 034 - Kiki.bin</t>
  </si>
  <si>
    <t>02610001-00650502</t>
  </si>
  <si>
    <t>Head:04E75E35CAC14880C3</t>
  </si>
  <si>
    <t>CRC32:60F5241D</t>
  </si>
  <si>
    <t>[AC] 035 - Deli.bin</t>
  </si>
  <si>
    <t>04010001-00660502</t>
  </si>
  <si>
    <t>Head:040B9512DAC14881D2</t>
  </si>
  <si>
    <t>CRC32:F2116976</t>
  </si>
  <si>
    <t>[AC] 036 - Alli.bin</t>
  </si>
  <si>
    <t>02C40001-00670502</t>
  </si>
  <si>
    <t>Head:042745EE5203498199</t>
  </si>
  <si>
    <t>CRC32:654B3A7D</t>
  </si>
  <si>
    <t>[AC] 037 - Kabuki.bin</t>
  </si>
  <si>
    <t>02660001-00680502</t>
  </si>
  <si>
    <t>Head:0491938E5203498098</t>
  </si>
  <si>
    <t>CRC32:BA971528</t>
  </si>
  <si>
    <t>[AC] 038 - Patty.bin</t>
  </si>
  <si>
    <t>02B10001-00690502</t>
  </si>
  <si>
    <t>Head:047EB042825549801E</t>
  </si>
  <si>
    <t>CRC32:100A9796</t>
  </si>
  <si>
    <t>[AC] 039 - Jitters.bin</t>
  </si>
  <si>
    <t>02310001-006A0502</t>
  </si>
  <si>
    <t>Head:041FC0538A54498116</t>
  </si>
  <si>
    <t>CRC32:E3609A47</t>
  </si>
  <si>
    <t>[AC] 040 - Gigi.bin</t>
  </si>
  <si>
    <t>03480001-006B0502</t>
  </si>
  <si>
    <t>Head:04A7012A8A54498413</t>
  </si>
  <si>
    <t>CRC32:D1E13E52</t>
  </si>
  <si>
    <t>[AC] 041 - Quillson.bin</t>
  </si>
  <si>
    <t>03180001-006C0502</t>
  </si>
  <si>
    <t>Head:0424A60E825549811F</t>
  </si>
  <si>
    <t>CRC32:6A13CF05</t>
  </si>
  <si>
    <t>[AC] 042 - Marcie.bin</t>
  </si>
  <si>
    <t>03DB0001-006D0502</t>
  </si>
  <si>
    <t>Head:040F5EDD8A54498116</t>
  </si>
  <si>
    <t>CRC32:EA467FB2</t>
  </si>
  <si>
    <t>[AC] 043 - Puck.bin</t>
  </si>
  <si>
    <t>04650001-006E0502</t>
  </si>
  <si>
    <t>Head:0454ED358A54498017</t>
  </si>
  <si>
    <t>[AC] 044 - Shari.bin</t>
  </si>
  <si>
    <t>04000001-006F0502</t>
  </si>
  <si>
    <t>Head:043B3087825549811F</t>
  </si>
  <si>
    <t>CRC32:DFF5481C</t>
  </si>
  <si>
    <t>[AC] 045 - Octavian.bin</t>
  </si>
  <si>
    <t>04290001-00700502</t>
  </si>
  <si>
    <t>Head:041F8714825549811F</t>
  </si>
  <si>
    <t>CRC32:B22EAC8A</t>
  </si>
  <si>
    <t>[AC] 046 - Winnie.bin</t>
  </si>
  <si>
    <t>03A90001-00710502</t>
  </si>
  <si>
    <t>Head:040F1291825549811F</t>
  </si>
  <si>
    <t>CRC32:43A809C7</t>
  </si>
  <si>
    <t>[AC] 047 - Knox.bin</t>
  </si>
  <si>
    <t>02A40001-00720502</t>
  </si>
  <si>
    <t>Head:0474E8108A54498017</t>
  </si>
  <si>
    <t>CRC32:9522B1E8</t>
  </si>
  <si>
    <t>[AC] 048 - Sterling.bin</t>
  </si>
  <si>
    <t>04520001-00730502</t>
  </si>
  <si>
    <t>Head:04FA89FF8A54498017</t>
  </si>
  <si>
    <t>CRC32:ECAA14B8</t>
  </si>
  <si>
    <t>[AC] 049 - Bonbon.bin</t>
  </si>
  <si>
    <t>04A50001-00740502</t>
  </si>
  <si>
    <t>Head:043CFD4D8A54498116</t>
  </si>
  <si>
    <t>CRC32:E5D5800D</t>
  </si>
  <si>
    <t>[AC] 050 - Punchy.bin</t>
  </si>
  <si>
    <t>02630001-00750502</t>
  </si>
  <si>
    <t>Head:046A26C04203498088</t>
  </si>
  <si>
    <t>CRC32:592AA351</t>
  </si>
  <si>
    <t>[AC] 051 - Opal.bin</t>
  </si>
  <si>
    <t>03230001-00760502</t>
  </si>
  <si>
    <t>Head:04ADAA8B4203498088</t>
  </si>
  <si>
    <t>CRC32:E6B2F5AB</t>
  </si>
  <si>
    <t>[AC] 052 - Poppy.bin</t>
  </si>
  <si>
    <t>04EC0001-00770502</t>
  </si>
  <si>
    <t>Head:046D66871AC2488111</t>
  </si>
  <si>
    <t>[AC] 053 - Limberg.bin</t>
  </si>
  <si>
    <t>040D0001-00780502</t>
  </si>
  <si>
    <t>Head:04636B841AC2488111</t>
  </si>
  <si>
    <t>CRC32:2A3CF3CE</t>
  </si>
  <si>
    <t>[AC] 054 - Deena.bin</t>
  </si>
  <si>
    <t>030B0001-00790502</t>
  </si>
  <si>
    <t>Head:04598D582A034980E0</t>
  </si>
  <si>
    <t>[AC] 055 - Snake.bin</t>
  </si>
  <si>
    <t>04970001-007A0502</t>
  </si>
  <si>
    <t>Head:040C7AFA4203498088</t>
  </si>
  <si>
    <t>CRC32:4F15684D</t>
  </si>
  <si>
    <t>[AC] 056 - Bangle.bin</t>
  </si>
  <si>
    <t>04FD0001-007B0502</t>
  </si>
  <si>
    <t>Head:04A582AB4203498088</t>
  </si>
  <si>
    <t>CRC32:F66F7142</t>
  </si>
  <si>
    <t>[AC] 057 - Phil.bin</t>
  </si>
  <si>
    <t>043D0001-007C0502</t>
  </si>
  <si>
    <t>Head:046FCC2F4203498189</t>
  </si>
  <si>
    <t>CRC32:8B1A49C4</t>
  </si>
  <si>
    <t>[AC] 058 - Monique.bin</t>
  </si>
  <si>
    <t>02680001-007D0502</t>
  </si>
  <si>
    <t>Head:0448894D1AC2488111</t>
  </si>
  <si>
    <t>CRC32:EFBA6CC1</t>
  </si>
  <si>
    <t>[AC] 059 - Nate.bin</t>
  </si>
  <si>
    <t>02190001-007E0502</t>
  </si>
  <si>
    <t>Head:04DC75251AC2488010</t>
  </si>
  <si>
    <t>CRC32:EC212726</t>
  </si>
  <si>
    <t>[AC] 060 - Samson.bin</t>
  </si>
  <si>
    <t>04100001-007F0502</t>
  </si>
  <si>
    <t>Head:046241AF2A034980E0</t>
  </si>
  <si>
    <t>CRC32:EA6AA827</t>
  </si>
  <si>
    <t>[AC] 061 - Tutu.bin</t>
  </si>
  <si>
    <t>021B0001-00800502</t>
  </si>
  <si>
    <t>Head:04182CB82A034981E1</t>
  </si>
  <si>
    <t>CRC32:81FF585A</t>
  </si>
  <si>
    <t>[AC] 062 - T-Bone.bin</t>
  </si>
  <si>
    <t>024F0001-00810502</t>
  </si>
  <si>
    <t>Head:04757A834203498088</t>
  </si>
  <si>
    <t>CRC32:26F17513</t>
  </si>
  <si>
    <t>[AC] 063 - Mint.bin</t>
  </si>
  <si>
    <t>04E60001-00820502</t>
  </si>
  <si>
    <t>Head:044589402A034980E0</t>
  </si>
  <si>
    <t>CRC32:E42B8935</t>
  </si>
  <si>
    <t>[AC] 064 - Pudge.bin</t>
  </si>
  <si>
    <t>02800001-00830502</t>
  </si>
  <si>
    <t>Head:040E8B092A034980E0</t>
  </si>
  <si>
    <t>CRC32:375A0DA7</t>
  </si>
  <si>
    <t>[AC] 065 - Midge.bin</t>
  </si>
  <si>
    <t>02350001-00840502</t>
  </si>
  <si>
    <t>Head:042002AE420349858D</t>
  </si>
  <si>
    <t>CRC32:6A12847E</t>
  </si>
  <si>
    <t>[AC] 066 - Gruff.bin</t>
  </si>
  <si>
    <t>035A0001-00850502</t>
  </si>
  <si>
    <t>Head:044AE82E4203498088</t>
  </si>
  <si>
    <t>CRC32:CDB2E742</t>
  </si>
  <si>
    <t>[AC] 067 - Flurry.bin</t>
  </si>
  <si>
    <t>03840001-00860502</t>
  </si>
  <si>
    <t>Head:04DF6D3E4203498088</t>
  </si>
  <si>
    <t>CRC32:2FC2FA8C</t>
  </si>
  <si>
    <t>[AC] 068 - Clyde.bin</t>
  </si>
  <si>
    <t>03AE0001-00870502</t>
  </si>
  <si>
    <t>Head:044F70B34203498088</t>
  </si>
  <si>
    <t>CRC32:3EA39487</t>
  </si>
  <si>
    <t>[AC] 069 - Bella.bin</t>
  </si>
  <si>
    <t>040E0001-00880502</t>
  </si>
  <si>
    <t>Head:042DD5744203498189</t>
  </si>
  <si>
    <t>CRC32:7FD4C079</t>
  </si>
  <si>
    <t>[AC] 070 - Biff.bin</t>
  </si>
  <si>
    <t>03940001-00890502</t>
  </si>
  <si>
    <t>Head:04E6ACC62A034980E0</t>
  </si>
  <si>
    <t>CRC32:F41DADDD</t>
  </si>
  <si>
    <t>[AC] 071 - Yuka.bin</t>
  </si>
  <si>
    <t>03BC0001-008A0502</t>
  </si>
  <si>
    <t>Head:0435B900CAC14880C3</t>
  </si>
  <si>
    <t>CRC32:56CE1509</t>
  </si>
  <si>
    <t>[AC] 072 - Lionel.bin</t>
  </si>
  <si>
    <t>03EE0001-008B0502</t>
  </si>
  <si>
    <t>Head:0431922FCAC14880C3</t>
  </si>
  <si>
    <t>[AC] 073 - Flo.bin</t>
  </si>
  <si>
    <t>046C0001-008C0502</t>
  </si>
  <si>
    <t>Head:0437D46FCAC14881C2</t>
  </si>
  <si>
    <t>CRC32:EE9776B0</t>
  </si>
  <si>
    <t>[AC] 074 - Cobb.bin</t>
  </si>
  <si>
    <t>04800001-008D0502</t>
  </si>
  <si>
    <t>Head:04A2002E2A034984E4</t>
  </si>
  <si>
    <t>[AC] 075 - Amelia.bin</t>
  </si>
  <si>
    <t>044C0001-008E0502</t>
  </si>
  <si>
    <t>Head:0476A3592A034981E1</t>
  </si>
  <si>
    <t>CRC32:69B74F70</t>
  </si>
  <si>
    <t>[AC] 076 - Jeramiah.bin</t>
  </si>
  <si>
    <t>033F0001-008F0502</t>
  </si>
  <si>
    <t>Head:046FFD1E2A034980E0</t>
  </si>
  <si>
    <t>CRC32:774E3A75</t>
  </si>
  <si>
    <t>[AC] 077 - Cherry.bin</t>
  </si>
  <si>
    <t>02FB0001-00900502</t>
  </si>
  <si>
    <t>Head:0480929E4203498189</t>
  </si>
  <si>
    <t>CRC32:2030C5BD</t>
  </si>
  <si>
    <t>[AC] 078 - Roscoe.bin</t>
  </si>
  <si>
    <t>03A80001-00910502</t>
  </si>
  <si>
    <t>Head:0460EA06CAC14880C3</t>
  </si>
  <si>
    <t>[AC] 079 - Truffles.bin</t>
  </si>
  <si>
    <t>04790001-00920502</t>
  </si>
  <si>
    <t>Head:0415A1382A034981E1</t>
  </si>
  <si>
    <t>CRC32:8FE99866</t>
  </si>
  <si>
    <t>[AC] 080 - Eugene.bin</t>
  </si>
  <si>
    <t>03C60001-00930502</t>
  </si>
  <si>
    <t>Head:04E30F602A034984E4</t>
  </si>
  <si>
    <t>CRC32:56AF3BAA</t>
  </si>
  <si>
    <t>[AC] 081 - Eunice.bin</t>
  </si>
  <si>
    <t>04C70001-00940502</t>
  </si>
  <si>
    <t>Head:04F29AE44203498088</t>
  </si>
  <si>
    <t>CRC32:955B9CA7</t>
  </si>
  <si>
    <t>[AC] 082 - Goose.bin</t>
  </si>
  <si>
    <t>02990001-00950502</t>
  </si>
  <si>
    <t>Head:048A62645288498112</t>
  </si>
  <si>
    <t>CRC32:51C141F0</t>
  </si>
  <si>
    <t>[AC] 083 - Annalisa.bin</t>
  </si>
  <si>
    <t>02080001-00960502</t>
  </si>
  <si>
    <t>Head:047001FD92894984D6</t>
  </si>
  <si>
    <t>CRC32:C194C5A5</t>
  </si>
  <si>
    <t>[AC] 084 - Benjamin.bin</t>
  </si>
  <si>
    <t>02FA0001-00970502</t>
  </si>
  <si>
    <t>Head:04314FF222034980E8</t>
  </si>
  <si>
    <t>CRC32:C76A0056</t>
  </si>
  <si>
    <t>[AC] 085 - Pancetti.bin</t>
  </si>
  <si>
    <t>04880001-00980502</t>
  </si>
  <si>
    <t>Head:0434C27A22034981E9</t>
  </si>
  <si>
    <t>CRC32:8B6683C0</t>
  </si>
  <si>
    <t>[AC] 086 - Chief.bin</t>
  </si>
  <si>
    <t>050B0001-00990502</t>
  </si>
  <si>
    <t>Head:04F5F78E5A574980C4</t>
  </si>
  <si>
    <t>CRC32:7AC5F4E8</t>
  </si>
  <si>
    <t>[AC] 087 - Bunnie.bin</t>
  </si>
  <si>
    <t>04940001-009A0502</t>
  </si>
  <si>
    <t>Head:0483838C72574981ED</t>
  </si>
  <si>
    <t>CRC32:F24FC4F4</t>
  </si>
  <si>
    <t>[AC] 088 - Clay.bin</t>
  </si>
  <si>
    <t>03830001-009B0502</t>
  </si>
  <si>
    <t>Head:047A85735AC948815A</t>
  </si>
  <si>
    <t>CRC32:60F5317B</t>
  </si>
  <si>
    <t>[AC] 089 - Diana.bin</t>
  </si>
  <si>
    <t>02DE0001-009C0502</t>
  </si>
  <si>
    <t>Head:048B8E895A574981C5</t>
  </si>
  <si>
    <t>CRC32:C0707FBA</t>
  </si>
  <si>
    <t>[AC] 090 - Axel.bin</t>
  </si>
  <si>
    <t>03290001-009D0502</t>
  </si>
  <si>
    <t>Head:044075B972574981ED</t>
  </si>
  <si>
    <t>CRC32:EAE96050</t>
  </si>
  <si>
    <t>[AC] 091 - Muffy.bin</t>
  </si>
  <si>
    <t>04D10001-009E0502</t>
  </si>
  <si>
    <t>Head:04828F815A574980C4</t>
  </si>
  <si>
    <t>CRC32:8570E6A4</t>
  </si>
  <si>
    <t>[AC] 092 - Henry.bin</t>
  </si>
  <si>
    <t>034B0001-009F0502</t>
  </si>
  <si>
    <t>Head:0487A4AF5A574980C4</t>
  </si>
  <si>
    <t>CRC32:8F734118</t>
  </si>
  <si>
    <t>[AC] 093 - Bertha.bin</t>
  </si>
  <si>
    <t>03930001-00A00502</t>
  </si>
  <si>
    <t>Head:040476FE5A574981C5</t>
  </si>
  <si>
    <t>CRC32:82804F04</t>
  </si>
  <si>
    <t>[AC] 094 - Cyrano.bin</t>
  </si>
  <si>
    <t>02000001-00A10502</t>
  </si>
  <si>
    <t>Head:046ECE2CFAC14881F2</t>
  </si>
  <si>
    <t>CRC32:6F7CEE61</t>
  </si>
  <si>
    <t>[AC] 095 - Peanut.bin</t>
  </si>
  <si>
    <t>04DD0001-00A20502</t>
  </si>
  <si>
    <t>Head:040D880972574981ED</t>
  </si>
  <si>
    <t>CRC32:7D374DBD</t>
  </si>
  <si>
    <t>[AC] 096 - Cole.bin</t>
  </si>
  <si>
    <t>04A60001-00A30502</t>
  </si>
  <si>
    <t>Head:048CA7A772574981ED</t>
  </si>
  <si>
    <t>CRC32:67F3A8A4</t>
  </si>
  <si>
    <t>[AC] 097 - Willow.bin</t>
  </si>
  <si>
    <t>04CC0001-00A40502</t>
  </si>
  <si>
    <t>Head:04C8317572574980EC</t>
  </si>
  <si>
    <t>CRC32:E0081E7A</t>
  </si>
  <si>
    <t>[AC] 098 - Roald.bin</t>
  </si>
  <si>
    <t>04600001-00A50502</t>
  </si>
  <si>
    <t>Head:045D8B5A72574980EC</t>
  </si>
  <si>
    <t>CRC32:8A994CC8</t>
  </si>
  <si>
    <t>[AC] 099 - Molly.bin</t>
  </si>
  <si>
    <t>03170001-00A60502</t>
  </si>
  <si>
    <t>Head:042DDA7B5A574980C4</t>
  </si>
  <si>
    <t>CRC32:FD526DF0</t>
  </si>
  <si>
    <t>[AC] 100 - Walker.bin</t>
  </si>
  <si>
    <t>02F00001-00A70502</t>
  </si>
  <si>
    <t>Head:044AE523FAC14881F2</t>
  </si>
  <si>
    <t>CRC32:F7CF4B0D</t>
  </si>
  <si>
    <t>[AC] CP1 - Isabelle.bin</t>
  </si>
  <si>
    <t>01810001-01D40502</t>
  </si>
  <si>
    <t>Head:04D69CC652BF488025</t>
  </si>
  <si>
    <t>CRC32:F880D6C2</t>
  </si>
  <si>
    <t>[AC] CP2 - K.K. Slider.bin</t>
  </si>
  <si>
    <t>01820001-01D80502</t>
  </si>
  <si>
    <t>Head:04F3354AF2394A8001</t>
  </si>
  <si>
    <t>CRC32:8F34FB80</t>
  </si>
  <si>
    <t>[AC] AF1 - Stitches.bin</t>
  </si>
  <si>
    <t>02820001-01D60502</t>
  </si>
  <si>
    <t>Head:040A78FE22EE498005</t>
  </si>
  <si>
    <t>CRC32:3FDD5E34</t>
  </si>
  <si>
    <t>[AC] AF2 - Rosie.bin</t>
  </si>
  <si>
    <t>025F0001-01D70502</t>
  </si>
  <si>
    <t>Head:04504E9262EF498145</t>
  </si>
  <si>
    <t>CRC32:E5D93B4C</t>
  </si>
  <si>
    <t>[AC] AF3 - Goldie.bin</t>
  </si>
  <si>
    <t>02EA0001-01D50502</t>
  </si>
  <si>
    <t>Head:04FD691882EF4980A4</t>
  </si>
  <si>
    <t>CRC32:14B6B226</t>
  </si>
  <si>
    <t>[AC] XS1 - Rilla.bin</t>
  </si>
  <si>
    <t>03740101-03190502</t>
  </si>
  <si>
    <t>Head:0487BCB77A764C80C0</t>
  </si>
  <si>
    <t>CRC32:6F8F134D</t>
  </si>
  <si>
    <t>[AC] XS2 - Marty.bin</t>
  </si>
  <si>
    <t>028F0101-031A0502</t>
  </si>
  <si>
    <t>Head:044EBB79A22D4C8043</t>
  </si>
  <si>
    <t>CRC32:CB78A418</t>
  </si>
  <si>
    <t>[AC] XS3 - Étoile.bin</t>
  </si>
  <si>
    <t>04D30101-031B0502</t>
  </si>
  <si>
    <t>Head:049D1C0DDA774C8061</t>
  </si>
  <si>
    <t>CRC32:369BAF01</t>
  </si>
  <si>
    <t>[AC] XS4 - Chai.bin</t>
  </si>
  <si>
    <t>032E0101-031C0502</t>
  </si>
  <si>
    <t>Head:042C3898BA774C8100</t>
  </si>
  <si>
    <t>CRC32:77853474</t>
  </si>
  <si>
    <t>[AC] XS5 - Chelsea.bin</t>
  </si>
  <si>
    <t>02E00101-031D0502</t>
  </si>
  <si>
    <t>Head:0455CD147A764C81C1</t>
  </si>
  <si>
    <t>CRC32:402815D3</t>
  </si>
  <si>
    <t>[AC] XS6 - Toby.bin</t>
  </si>
  <si>
    <t>04A80101-031E0502</t>
  </si>
  <si>
    <t>Head:04D6DC8632314C80CF</t>
  </si>
  <si>
    <t>CRC32:691B0111</t>
  </si>
  <si>
    <t>Yoshi's Woolly World</t>
  </si>
  <si>
    <t>The Legend of Zelda\The Legend of Zelda Twilight Princess</t>
  </si>
  <si>
    <t>The Legend of Zelda\The Legend of Zelda Breath of the Wild</t>
  </si>
  <si>
    <t>The Legend of Zelda\The Legend of Zelda 30th Anniversary</t>
  </si>
  <si>
    <t>Super Smash Bros</t>
  </si>
  <si>
    <t>Splatoon</t>
  </si>
  <si>
    <t>Skylanders SuperChargers</t>
  </si>
  <si>
    <t>Shovel Knight</t>
  </si>
  <si>
    <t>Pokkén Tournament</t>
  </si>
  <si>
    <t>Pikmin</t>
  </si>
  <si>
    <t>Monster Hunter Stories</t>
  </si>
  <si>
    <t>Mario Sports Superstars</t>
  </si>
  <si>
    <t>Mario\Super Mario Figures</t>
  </si>
  <si>
    <t>Mario\Super Mario Bros. 30th Anniversary</t>
  </si>
  <si>
    <t>Kirby</t>
  </si>
  <si>
    <t>Fire Emblem</t>
  </si>
  <si>
    <t>Chibi-Robo</t>
  </si>
  <si>
    <t>BoxBoy!</t>
  </si>
  <si>
    <t>Animal Crossing\Figures</t>
  </si>
  <si>
    <t>Animal Crossing\Cards - Welcome amiibo Series</t>
  </si>
  <si>
    <t>Animal Crossing\Cards - Series 4</t>
  </si>
  <si>
    <t>Animal Crossing\Cards - Series 3</t>
  </si>
  <si>
    <t>Animal Crossing\Cards - Series 2</t>
  </si>
  <si>
    <t>Animal Crossing\Cards - Series 1</t>
  </si>
  <si>
    <t>Animal Crossing\Cards - Promo - Character Parfait</t>
  </si>
  <si>
    <t>Animal Crossing\Cards - Promo - Amiibo Festival</t>
  </si>
  <si>
    <t>Animal Crossing\Cards - Animal Crossing x Sanrio Series</t>
  </si>
  <si>
    <t>Powersaves\The Legend of Zelda\The Legend of Zelda Twilight Princess</t>
  </si>
  <si>
    <t>Powersaves\Mario\Super Mario Figures</t>
  </si>
  <si>
    <t>Powersaves\Animal Crossing\Cards - Series 1</t>
  </si>
  <si>
    <t>文件夹</t>
    <phoneticPr fontId="1" type="noConversion"/>
  </si>
  <si>
    <t>文件名</t>
    <phoneticPr fontId="1" type="noConversion"/>
  </si>
  <si>
    <t>CRC32</t>
    <phoneticPr fontId="1" type="noConversion"/>
  </si>
  <si>
    <t>[MSS] 04 - Mario (Baseball) [Unlocked Superstar].bin</t>
  </si>
  <si>
    <t>Powersaves</t>
  </si>
  <si>
    <t>Animal Crossing\Cards\Welcome amiibo Series</t>
  </si>
  <si>
    <t>Animal Crossing\Cards\Series 4</t>
  </si>
  <si>
    <t>Animal Crossing\Cards\Series 3</t>
  </si>
  <si>
    <t>Animal Crossing\Cards\Series 2</t>
  </si>
  <si>
    <t>Animal Crossing\Cards\Series 1</t>
  </si>
  <si>
    <t>Animal Crossing\Cards\Promo</t>
  </si>
  <si>
    <t>Animal Crossing\Cards\Animal Crossing x Sanrio Series</t>
  </si>
  <si>
    <t>新</t>
    <phoneticPr fontId="20" type="noConversion"/>
  </si>
  <si>
    <t>校验</t>
    <phoneticPr fontId="20" type="noConversion"/>
  </si>
  <si>
    <t>旧</t>
    <phoneticPr fontId="1" type="noConversion"/>
  </si>
  <si>
    <t>汇总</t>
    <phoneticPr fontId="1" type="noConversion"/>
  </si>
  <si>
    <t>目录</t>
    <phoneticPr fontId="1" type="noConversion"/>
  </si>
  <si>
    <t>文件</t>
    <phoneticPr fontId="1" type="noConversion"/>
  </si>
  <si>
    <t>官方文件夹</t>
    <phoneticPr fontId="2" type="noConversion"/>
  </si>
  <si>
    <t>规范后文件夹</t>
    <phoneticPr fontId="2" type="noConversion"/>
  </si>
  <si>
    <t>对比</t>
    <phoneticPr fontId="2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</si>
  <si>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00</t>
    </r>
    <r>
      <rPr>
        <sz val="11"/>
        <color theme="1"/>
        <rFont val="等线"/>
        <family val="3"/>
        <charset val="134"/>
        <scheme val="minor"/>
      </rPr>
      <t>F440FC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</si>
  <si>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3BD908D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</si>
  <si>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6F7F6F8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</si>
  <si>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BE4F8C2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</si>
  <si>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A9C0C36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</si>
  <si>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79E8BD4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</si>
  <si>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567FC5F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</si>
  <si>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EB9A5B5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</si>
  <si>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6C2A165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</si>
  <si>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38C4743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</si>
  <si>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D3AB56E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</si>
  <si>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63DDDCF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</si>
  <si>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40CF16D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</si>
  <si>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92E5FEF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</si>
  <si>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BA504AD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</si>
  <si>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F6685E3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</si>
  <si>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C604125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</si>
  <si>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D62C76A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</si>
  <si>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7E1EB77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</si>
  <si>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B339627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</si>
  <si>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989B5BE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</si>
  <si>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C109B64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</si>
  <si>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366E95F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</si>
  <si>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600E72F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</si>
  <si>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3713D98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</si>
  <si>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5C0E5B4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</si>
  <si>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F4F0DDB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</si>
  <si>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C7FBDA4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</si>
  <si>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382DAFF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</si>
  <si>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3121AAA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</si>
  <si>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843CE24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</si>
  <si>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4E5FD57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</si>
  <si>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B350D20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</si>
  <si>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2FE3E97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</si>
  <si>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BA52436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</si>
  <si>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8C2EB4A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</si>
  <si>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850FBBA</t>
    </r>
    <phoneticPr fontId="1" type="noConversion"/>
  </si>
  <si>
    <r>
      <t>CRC32</t>
    </r>
    <r>
      <rPr>
        <sz val="11"/>
        <color theme="1"/>
        <rFont val="等线"/>
        <family val="3"/>
        <charset val="134"/>
        <scheme val="minor"/>
      </rPr>
      <t>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BCE4B86</t>
    </r>
    <phoneticPr fontId="1" type="noConversion"/>
  </si>
  <si>
    <t>CRC32:09A3640C</t>
  </si>
  <si>
    <t>CRC32:09A3640C</t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</si>
  <si>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8CD257E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</si>
  <si>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EBB08D1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</si>
  <si>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EC73066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</si>
  <si>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6FFD246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</si>
  <si>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70C6CA5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</si>
  <si>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D3205A3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</si>
  <si>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5CF07EE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</si>
  <si>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BB2DBF9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</si>
  <si>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41CDDD7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</si>
  <si>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C77CA9C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</si>
  <si>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93A9D8B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</si>
  <si>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2B6F528</t>
    </r>
    <phoneticPr fontId="1" type="noConversion"/>
  </si>
  <si>
    <r>
      <t>CRC32: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A233710</t>
    </r>
    <phoneticPr fontId="1" type="noConversion"/>
  </si>
  <si>
    <t>CRC32:0D3AB56E</t>
  </si>
  <si>
    <t>CRC32:063DDDCF</t>
  </si>
  <si>
    <t>CRC32:040CF16D</t>
  </si>
  <si>
    <t>CRC32:092E5FEF</t>
  </si>
  <si>
    <t>CRC32:0BA504AD</t>
  </si>
  <si>
    <t>CRC32:0F6685E3</t>
  </si>
  <si>
    <t>CRC32:0C604125</t>
  </si>
  <si>
    <t>CRC32:0D62C76A</t>
  </si>
  <si>
    <t>CRC32:07E1EB77</t>
  </si>
  <si>
    <t>CRC32:0B339627</t>
  </si>
  <si>
    <t>CRC32:0989B5BE</t>
  </si>
  <si>
    <t>CRC32:0C109B64</t>
  </si>
  <si>
    <t>CRC32:0366E95F</t>
  </si>
  <si>
    <t>CRC32:0600E72F</t>
  </si>
  <si>
    <t>CRC32:03713D98</t>
  </si>
  <si>
    <t>CRC32:05C0E5B4</t>
  </si>
  <si>
    <t>CRC32:02B6F528</t>
  </si>
  <si>
    <t>CRC32:0A233710</t>
  </si>
  <si>
    <t>CRC32:093A9D8B</t>
  </si>
  <si>
    <t>CRC32:0C77CA9C</t>
  </si>
  <si>
    <t>CRC32:041CDDD7</t>
  </si>
  <si>
    <t>CRC32:0BB2DBF9</t>
  </si>
  <si>
    <t>CRC32:05CF07EE</t>
  </si>
  <si>
    <t>CRC32:0D3205A3</t>
  </si>
  <si>
    <t>CRC32:070C6CA5</t>
  </si>
  <si>
    <t>CRC32:06FFD246</t>
  </si>
  <si>
    <t>CRC32:0EC73066</t>
  </si>
  <si>
    <t>CRC32:0EBB08D1</t>
  </si>
  <si>
    <t>CRC32:08CD257E</t>
  </si>
  <si>
    <t>CRC32:0BCE4B86</t>
  </si>
  <si>
    <t>CRC32:0850FBBA</t>
  </si>
  <si>
    <t>CRC32:08C2EB4A</t>
  </si>
  <si>
    <t>CRC32:0BA52436</t>
  </si>
  <si>
    <t>CRC32:02FE3E97</t>
  </si>
  <si>
    <t>CRC32:0B350D20</t>
  </si>
  <si>
    <t>CRC32:04E5FD57</t>
  </si>
  <si>
    <t>CRC32:0843CE24</t>
  </si>
  <si>
    <t>CRC32:03121AAA</t>
  </si>
  <si>
    <t>CRC32:0382DAFF</t>
  </si>
  <si>
    <t>CRC32:0C7FBDA4</t>
  </si>
  <si>
    <t>CRC32:0F4F0DDB</t>
  </si>
  <si>
    <t>CRC32:038C4743</t>
  </si>
  <si>
    <t>CRC32:06C2A165</t>
  </si>
  <si>
    <t>CRC32:0EB9A5B5</t>
  </si>
  <si>
    <t>CRC32:0567FC5F</t>
  </si>
  <si>
    <t>CRC32:079E8BD4</t>
  </si>
  <si>
    <t>CRC32:0A9C0C36</t>
  </si>
  <si>
    <t>CRC32:0BE4F8C2</t>
  </si>
  <si>
    <t>CRC32:06F7F6F8</t>
  </si>
  <si>
    <t>CRC32:03BD908D</t>
  </si>
  <si>
    <t>旧</t>
    <phoneticPr fontId="20" type="noConversion"/>
  </si>
  <si>
    <t>新</t>
    <phoneticPr fontId="20" type="noConversion"/>
  </si>
  <si>
    <t>测试</t>
    <phoneticPr fontId="20" type="noConversion"/>
  </si>
  <si>
    <t>计算值</t>
    <phoneticPr fontId="20" type="noConversion"/>
  </si>
  <si>
    <t>修正值</t>
    <phoneticPr fontId="20" type="noConversion"/>
  </si>
  <si>
    <t>需要改正</t>
    <phoneticPr fontId="20" type="noConversion"/>
  </si>
  <si>
    <t>Head:04E8925A574980</t>
  </si>
  <si>
    <t>Head:04826372574981</t>
  </si>
  <si>
    <t>Head:04D29AC23C4D80</t>
  </si>
  <si>
    <t>Head:04B1315A764C80</t>
  </si>
  <si>
    <t>Head:042ED95A764C81</t>
  </si>
  <si>
    <t>Head:04A1D1C23C4D80</t>
  </si>
  <si>
    <t>Head:04E395623C4D80</t>
  </si>
  <si>
    <t>Head:04932D12734C80</t>
  </si>
  <si>
    <t>Head:0410C86A764C81</t>
  </si>
  <si>
    <t>Head:041BCDEA754C81</t>
  </si>
  <si>
    <t>Head:04DA7832384D80</t>
  </si>
  <si>
    <t>Head:0411FDCAE84C81</t>
  </si>
  <si>
    <t>Head:04A19AC23C4D80</t>
  </si>
  <si>
    <t>Head:04ACD662764C80</t>
  </si>
  <si>
    <t>Head:046496AA2C4C81</t>
  </si>
  <si>
    <t>Head:04DCD3C23C4D80</t>
  </si>
  <si>
    <t>Head:04AFA1523C4D80</t>
  </si>
  <si>
    <t>Head:043451FA754C81</t>
  </si>
  <si>
    <t>Head:04BBD662764C80</t>
  </si>
  <si>
    <t>Head:046396AA2C4C81</t>
  </si>
  <si>
    <t>Head:0455B7C23C4D81</t>
  </si>
  <si>
    <t>Head:042BA5CAE84C81</t>
  </si>
  <si>
    <t>Head:04F63CA2724C80</t>
  </si>
  <si>
    <t>Head:04865E32314C80</t>
  </si>
  <si>
    <t>Head:04EA84DA754C80</t>
  </si>
  <si>
    <t>Head:040276C23C4D81</t>
  </si>
  <si>
    <t>Head:04CFBAB2E04C80</t>
  </si>
  <si>
    <t>Head:04111D2AEA4C81</t>
  </si>
  <si>
    <t>Head:04975E32314C80</t>
  </si>
  <si>
    <t>Head:04EF0E623C4D84</t>
  </si>
  <si>
    <t>Head:04BE6EA23C4D80</t>
  </si>
  <si>
    <t>Head:04EA2D7A384D80</t>
  </si>
  <si>
    <t>Head:04282AD2E84C81</t>
  </si>
  <si>
    <t>Head:0457552A314C81</t>
  </si>
  <si>
    <t>Head:0452475A764C80</t>
  </si>
  <si>
    <t>Head:043E884A384D81</t>
  </si>
  <si>
    <t>Head:04E92D7A384D80</t>
  </si>
  <si>
    <t>Head:044399DA754C80</t>
  </si>
  <si>
    <t>Head:04875E32314C80</t>
  </si>
  <si>
    <t>Head:041FACF2754C80</t>
  </si>
  <si>
    <t>Head:043F884A384D81</t>
  </si>
  <si>
    <t>Head:04DA2D7A384D80</t>
  </si>
  <si>
    <t>CRC32:00F440FC</t>
  </si>
  <si>
    <t>Head:0426251A784C81</t>
  </si>
  <si>
    <t>Head:04BECD02734C80</t>
  </si>
  <si>
    <t>Head:046B5CA2E34C81</t>
  </si>
  <si>
    <t>Head:04B6C9AA3C4D80</t>
  </si>
  <si>
    <t>Head:04F08662E84C80</t>
  </si>
  <si>
    <t>Head:04C12EFA754C80</t>
  </si>
  <si>
    <t>Head:04533ACA724C81</t>
  </si>
  <si>
    <t>Head:04AF23BA3C4D80</t>
  </si>
  <si>
    <t>Head:0459DFD2E84C80</t>
  </si>
  <si>
    <t>Head:04F18662E84C80</t>
  </si>
  <si>
    <t>Head:04417C62E84C81</t>
  </si>
  <si>
    <t>Head:0488C44AE14C80</t>
  </si>
  <si>
    <t>Head:04FF36BA3C4D80</t>
  </si>
  <si>
    <t>Head:04CAECD2E84C80</t>
  </si>
  <si>
    <t>Head:043D3C2AEA4C80</t>
  </si>
  <si>
    <t>Head:0427251A784C81</t>
  </si>
  <si>
    <t>Head:04D826CA724C80</t>
  </si>
  <si>
    <t>Head:043D73C23C4D80</t>
  </si>
  <si>
    <t>Head:048E3AB2E84C80</t>
  </si>
  <si>
    <t>Head:0491D3BA3C4D80</t>
  </si>
  <si>
    <t>Head:04833032764C80</t>
  </si>
  <si>
    <t>Head:04907F4AE14C80</t>
  </si>
  <si>
    <t>Head:0493BBCA3C4D80</t>
  </si>
  <si>
    <t>Head:04F3D5CA3C4D80</t>
  </si>
  <si>
    <t>Head:04405AD2E84C80</t>
  </si>
  <si>
    <t>Head:04558A3A764C80</t>
  </si>
  <si>
    <t>Head:0405BA02734C81</t>
  </si>
  <si>
    <t>Head:048692FA754C81</t>
  </si>
  <si>
    <t>Head:047D82623C4D81</t>
  </si>
  <si>
    <t>Head:04313ED2E84C81</t>
  </si>
  <si>
    <t>Head:04648A3A764C80</t>
  </si>
  <si>
    <t>Head:0414BA02734C81</t>
  </si>
  <si>
    <t>Head:04643ECA3C4D80</t>
  </si>
  <si>
    <t>Head:048B0262E04C84</t>
  </si>
  <si>
    <t>Head:04AD8F6AE84C80</t>
  </si>
  <si>
    <t>Head:0455CB2A764C80</t>
  </si>
  <si>
    <t>Head:04E0934AE14C80</t>
  </si>
  <si>
    <t>Head:04733ECA3C4D80</t>
  </si>
  <si>
    <t>Head:044062623C4D80</t>
  </si>
  <si>
    <t>Head:047226B2E04C80</t>
  </si>
  <si>
    <t>Head:0457E422764C81</t>
  </si>
  <si>
    <t>Head:04DBB222764C80</t>
  </si>
  <si>
    <t>Head:04882FBA3C4D80</t>
  </si>
  <si>
    <t>Head:04F4B0CA724C80</t>
  </si>
  <si>
    <t>Head:046867B23C4D81</t>
  </si>
  <si>
    <t>Head:0429746A764C80</t>
  </si>
  <si>
    <t>Head:042BC1C2774C81</t>
  </si>
  <si>
    <t>Head:04064DA2E34C81</t>
  </si>
  <si>
    <t>Head:044C9222784C81</t>
  </si>
  <si>
    <t>Head:0445A762E84C81</t>
  </si>
  <si>
    <t>Head:0477EE7A043F80</t>
  </si>
  <si>
    <t>Head:044E68F2714081</t>
  </si>
  <si>
    <t>Head:04231552043F81</t>
  </si>
  <si>
    <t>Head:04A09902704080</t>
  </si>
  <si>
    <t>Head:046DFA626F4080</t>
  </si>
  <si>
    <t>Head:045191E26F4081</t>
  </si>
  <si>
    <t>Head:042C2A0A704081</t>
  </si>
  <si>
    <t>Head:041C59E26F4081</t>
  </si>
  <si>
    <t>Head:04107A9A8E4B81</t>
  </si>
  <si>
    <t>Head:0438DE927C4880</t>
  </si>
  <si>
    <t>Head:047D769AA04080</t>
  </si>
  <si>
    <t>Head:04FCAA72B24880</t>
  </si>
  <si>
    <t>Head:048B0F4A554984</t>
  </si>
  <si>
    <t>Head:04A8B152E04C80</t>
  </si>
  <si>
    <t>Head:0491A492754C81</t>
  </si>
  <si>
    <t>Head:04A00CC2E94C80</t>
  </si>
  <si>
    <t>Head:04A7D65A754C80</t>
  </si>
  <si>
    <t>Head:04D5EBFA774C80</t>
  </si>
  <si>
    <t>Head:046AB26A754C80</t>
  </si>
  <si>
    <t>Head:0477B642784C80</t>
  </si>
  <si>
    <t>Head:04B339DAE94C80</t>
  </si>
  <si>
    <t>Head:047100F2E94C84</t>
  </si>
  <si>
    <t>Head:04219ADAE94C81</t>
  </si>
  <si>
    <t>Head:04DAB4D2B94C80</t>
  </si>
  <si>
    <t>Head:046A427ABA4C81</t>
  </si>
  <si>
    <t>Head:047332D2B94C80</t>
  </si>
  <si>
    <t>Head:048E0132724C84</t>
  </si>
  <si>
    <t>Head:04647F62983C80</t>
  </si>
  <si>
    <t>Head:049BC582993C80</t>
  </si>
  <si>
    <t>Head:044AE16ABD3C80</t>
  </si>
  <si>
    <t>Head:042D771A983C81</t>
  </si>
  <si>
    <t>Head:04BD7A0AFE3D80</t>
  </si>
  <si>
    <t>Head:0471C382993C81</t>
  </si>
  <si>
    <t>Head:0482226ABD3C80</t>
  </si>
  <si>
    <t>Head:04FA6FDA973C80</t>
  </si>
  <si>
    <t>Head:04AFF162983C80</t>
  </si>
  <si>
    <t>Head:04802AF2973C80</t>
  </si>
  <si>
    <t>Head:042AF3EA9A3D81</t>
  </si>
  <si>
    <t>Head:04C4D332983C80</t>
  </si>
  <si>
    <t>Head:042051CA9A3D81</t>
  </si>
  <si>
    <t>Head:04B8B332C23E80</t>
  </si>
  <si>
    <t>Head:045A5AE21E3E81</t>
  </si>
  <si>
    <t>Head:0493ECEA9A3D80</t>
  </si>
  <si>
    <t>Head:0479A822FE3D81</t>
  </si>
  <si>
    <t>Head:047EF23AC23E80</t>
  </si>
  <si>
    <t>Head:047BCC32623E80</t>
  </si>
  <si>
    <t>Head:04C3DBA2C23E80</t>
  </si>
  <si>
    <t>Head:047DF672613E80</t>
  </si>
  <si>
    <t>Head:04F12F42C23E80</t>
  </si>
  <si>
    <t>Head:047B6EB2A13E80</t>
  </si>
  <si>
    <t>Head:04D48A2ABD4880</t>
  </si>
  <si>
    <t>Head:04298542C23E81</t>
  </si>
  <si>
    <t>Head:0442627A043F81</t>
  </si>
  <si>
    <t>Head:04E02562E33E80</t>
  </si>
  <si>
    <t>Head:040E4E206E0481</t>
  </si>
  <si>
    <t>Head:04CBE1BAA14080</t>
  </si>
  <si>
    <t>Head:049975F2C64080</t>
  </si>
  <si>
    <t>Head:04577B1A724081</t>
  </si>
  <si>
    <t>Head:04678E02724080</t>
  </si>
  <si>
    <t>Head:04EAA0F2714080</t>
  </si>
  <si>
    <t>Head:048BC66A6F4080</t>
  </si>
  <si>
    <t>Head:043B814A6F4080</t>
  </si>
  <si>
    <t>Head:04A447F26F4080</t>
  </si>
  <si>
    <t>Head:0431EE02724081</t>
  </si>
  <si>
    <t>Head:043B4512724081</t>
  </si>
  <si>
    <t>Head:04CE7242E14980</t>
  </si>
  <si>
    <t>Head:04316192544980</t>
  </si>
  <si>
    <t>Head:041B68A2A14081</t>
  </si>
  <si>
    <t>Head:04947B32BF4880</t>
  </si>
  <si>
    <t>Head:04D2F2027D4880</t>
  </si>
  <si>
    <t>Head:04AE0DA2A14080</t>
  </si>
  <si>
    <t>Head:0469D2627C4881</t>
  </si>
  <si>
    <t>Head:042E88F2C84880</t>
  </si>
  <si>
    <t>Head:04F3643A034980</t>
  </si>
  <si>
    <t>Head:04FC3082034980</t>
  </si>
  <si>
    <t>Head:04785472B24880</t>
  </si>
  <si>
    <t>Head:04C2567ABF4880</t>
  </si>
  <si>
    <t>Head:04D9788AB24880</t>
  </si>
  <si>
    <t>Head:0431BF9A554980</t>
  </si>
  <si>
    <t>Head:048F2402C94880</t>
  </si>
  <si>
    <t>Head:04082132124A81</t>
  </si>
  <si>
    <t>Head:04D70D0A3B4080</t>
  </si>
  <si>
    <t>Head:046F8CD2EE4A80</t>
  </si>
  <si>
    <t>Head:04877242A64A80</t>
  </si>
  <si>
    <t>Head:046D491AEA4C80</t>
  </si>
  <si>
    <t>Head:046B7FDAB94C81</t>
  </si>
  <si>
    <t>Head:0481C5E2E94C80</t>
  </si>
  <si>
    <t>Head:0437765A724C80</t>
  </si>
  <si>
    <t>Head:0442940A734C80</t>
  </si>
  <si>
    <t>Head:0497F45A724C80</t>
  </si>
  <si>
    <t>Head:047745BA7C4880</t>
  </si>
  <si>
    <t>Head:045071EAA04081</t>
  </si>
  <si>
    <t>Head:044D2EA2C64080</t>
  </si>
  <si>
    <t>Head:04F08DF2444B80</t>
  </si>
  <si>
    <t>Head:04EBC242484B80</t>
  </si>
  <si>
    <t>Head:041F2F7A484B81</t>
  </si>
  <si>
    <t>Head:04BD316A464B80</t>
  </si>
  <si>
    <t>Head:04DD7D72464B80</t>
  </si>
  <si>
    <t>Head:04177A3A724C80</t>
  </si>
  <si>
    <t>Head:04BC974ABA4C80</t>
  </si>
  <si>
    <t>Head:04DAAB42464B80</t>
  </si>
  <si>
    <t>Head:04E4F6622C4980</t>
  </si>
  <si>
    <t>Head:045DB30ABD4880</t>
  </si>
  <si>
    <t>Head:043EE11ABD4881</t>
  </si>
  <si>
    <t>Head:047A4052B24880</t>
  </si>
  <si>
    <t>Head:0440F22A544981</t>
  </si>
  <si>
    <t>Head:04346D6AED4B81</t>
  </si>
  <si>
    <t>Head:04E7C652314C80</t>
  </si>
  <si>
    <t>Head:04C44072304D80</t>
  </si>
  <si>
    <t>Head:04E4686A304D80</t>
  </si>
  <si>
    <t>Head:04798E4A3A4D81</t>
  </si>
  <si>
    <t>Head:0454F5DAEE4A80</t>
  </si>
  <si>
    <t>Head:040EDEF2E94C81</t>
  </si>
  <si>
    <t>Head:04BA166A724C80</t>
  </si>
  <si>
    <t>Metroid</t>
  </si>
  <si>
    <t>[MET] 01 - Samus Aran.bin</t>
  </si>
  <si>
    <t>05C00000-03651302</t>
  </si>
  <si>
    <t>Head:04598EF2E94C81</t>
  </si>
  <si>
    <t>CRC32:5C6F54BD</t>
  </si>
  <si>
    <t>[MET] 02 - Metroid.bin</t>
  </si>
  <si>
    <t>05C10000-03661302</t>
  </si>
  <si>
    <t>Head:04DD0A12BA4C84</t>
  </si>
  <si>
    <t>CRC32:3D2FBB09</t>
  </si>
  <si>
    <t>Head:04BAF7426F4080</t>
  </si>
  <si>
    <t>Head:048B2F12704080</t>
  </si>
  <si>
    <t>Head:041F597ADD4C81</t>
  </si>
  <si>
    <t>Head:044159CAE04981</t>
  </si>
  <si>
    <t>Head:0448AE72ED4A80</t>
  </si>
  <si>
    <t>Head:04D7023AEA4C84</t>
  </si>
  <si>
    <t>Head:044B6342464B81</t>
  </si>
  <si>
    <t>Head:0490A9D2ED4C80</t>
  </si>
  <si>
    <t>Head:0451F052304D81</t>
  </si>
  <si>
    <t>Head:04EE322A574980</t>
  </si>
  <si>
    <t>Head:041A9672554980</t>
  </si>
  <si>
    <t>Mario\Mario Sports Superstars</t>
  </si>
  <si>
    <t>Head:0483C86A464B80</t>
  </si>
  <si>
    <t>Head:048B9D92754C80</t>
  </si>
  <si>
    <t>Head:04F91A2A754C80</t>
  </si>
  <si>
    <t>Head:046E9E02454B81</t>
  </si>
  <si>
    <t>Head:04B7C51A3A4D80</t>
  </si>
  <si>
    <t>Head:04DEDF1A3A4D80</t>
  </si>
  <si>
    <t>Head:042B8212014981</t>
  </si>
  <si>
    <t>Head:04386E42724C80</t>
  </si>
  <si>
    <t>Head:0464FCBA8A4980</t>
  </si>
  <si>
    <t>Head:044B5CBA574980</t>
  </si>
  <si>
    <t>Head:048C5802574980</t>
  </si>
  <si>
    <t>Head:04784BCA574981</t>
  </si>
  <si>
    <t>Head:045BD45A554981</t>
  </si>
  <si>
    <t>Head:04676FFAE04981</t>
  </si>
  <si>
    <t>Head:0436EF32854981</t>
  </si>
  <si>
    <t>Head:045E8982D74980</t>
  </si>
  <si>
    <t>Head:04831892A54A80</t>
  </si>
  <si>
    <t>Head:04F61382574980</t>
  </si>
  <si>
    <t>Head:0451F08AA14A80</t>
  </si>
  <si>
    <t>Head:0424B602FF4A81</t>
  </si>
  <si>
    <t>Head:04856ECAE04981</t>
  </si>
  <si>
    <t>Head:0456C48A2C4C80</t>
  </si>
  <si>
    <t>Head:0437AC7A2D4C81</t>
  </si>
  <si>
    <t>Head:046D6FFAEE4980</t>
  </si>
  <si>
    <t>Head:044988DA774C81</t>
  </si>
  <si>
    <t>Head:04CA77A2774C80</t>
  </si>
  <si>
    <t>Head:04A5A8A2774C80</t>
  </si>
  <si>
    <t>Head:04C864DA774C80</t>
  </si>
  <si>
    <t>Head:04658922784C80</t>
  </si>
  <si>
    <t>Head:04648922784C80</t>
  </si>
  <si>
    <t>Head:045D41A2774C80</t>
  </si>
  <si>
    <t>Head:04D4102A784C80</t>
  </si>
  <si>
    <t>Head:04403E82314C81</t>
  </si>
  <si>
    <t>Head:04BF2EDA774C80</t>
  </si>
  <si>
    <t>Head:04D40A12784C80</t>
  </si>
  <si>
    <t>Head:047FC0D2774C81</t>
  </si>
  <si>
    <t>Head:046BBFCA754C80</t>
  </si>
  <si>
    <t>Head:04C73952764C80</t>
  </si>
  <si>
    <t>Head:042184CA754C81</t>
  </si>
  <si>
    <t>Head:04C4C0CA754C80</t>
  </si>
  <si>
    <t>Head:04DF64CA754C80</t>
  </si>
  <si>
    <t>Head:0410A5CA754C80</t>
  </si>
  <si>
    <t>Head:045365CA754C80</t>
  </si>
  <si>
    <t>Head:049496CA754C81</t>
  </si>
  <si>
    <t>Head:04AD80CA754C80</t>
  </si>
  <si>
    <t>Head:04959A52BA4C80</t>
  </si>
  <si>
    <t>Head:0468EFCA754C80</t>
  </si>
  <si>
    <t>Head:04701BCA754C80</t>
  </si>
  <si>
    <t>Head:042AB4DA774C80</t>
  </si>
  <si>
    <t>Head:042BB4DA774C80</t>
  </si>
  <si>
    <t>Head:04E21012784C80</t>
  </si>
  <si>
    <t>Head:041BB4DA774C80</t>
  </si>
  <si>
    <t>Head:044D4722784C81</t>
  </si>
  <si>
    <t>Head:04889A52724C81</t>
  </si>
  <si>
    <t>Head:04A72B22784C80</t>
  </si>
  <si>
    <t>Head:0436B11A784C81</t>
  </si>
  <si>
    <t>Head:048F81C2774C80</t>
  </si>
  <si>
    <t>Head:04FB84C2774C80</t>
  </si>
  <si>
    <t>Head:04A181C2774C80</t>
  </si>
  <si>
    <t>Head:04EB84C2774C80</t>
  </si>
  <si>
    <t>Head:047A87B2774C80</t>
  </si>
  <si>
    <t>Head:04F93622784C80</t>
  </si>
  <si>
    <t>Head:040E3F9A774C81</t>
  </si>
  <si>
    <t>Head:0480EF1A784C80</t>
  </si>
  <si>
    <t>Head:041FA43ABA4C81</t>
  </si>
  <si>
    <t>Head:0462873ABA4C80</t>
  </si>
  <si>
    <t>Head:044669CAE94C81</t>
  </si>
  <si>
    <t>Head:04519ACAE94C80</t>
  </si>
  <si>
    <t>Head:044BEE32764C80</t>
  </si>
  <si>
    <t>Head:0479C8AAE94C81</t>
  </si>
  <si>
    <t>Head:0478C8AAE94C81</t>
  </si>
  <si>
    <t>Head:0409389ADE4C81</t>
  </si>
  <si>
    <t>Head:042A08AAE94C85</t>
  </si>
  <si>
    <t>Head:0444F7CAE94C81</t>
  </si>
  <si>
    <t>Head:0410BD022D4C81</t>
  </si>
  <si>
    <t>Head:048C6AAA724C80</t>
  </si>
  <si>
    <t>Head:04ABBD92724C80</t>
  </si>
  <si>
    <t>Head:049C7D92724C80</t>
  </si>
  <si>
    <t>Head:04B7C722314C80</t>
  </si>
  <si>
    <t>Head:04583262314C81</t>
  </si>
  <si>
    <t>Head:04478CB2724C81</t>
  </si>
  <si>
    <t>Head:047C637A724C80</t>
  </si>
  <si>
    <t>Head:04F407022D4C84</t>
  </si>
  <si>
    <t>Head:0478DA222D4C80</t>
  </si>
  <si>
    <t>Head:04EF08022D4C84</t>
  </si>
  <si>
    <t>Head:04469EAA724C80</t>
  </si>
  <si>
    <t>Head:04DA2FB2724C80</t>
  </si>
  <si>
    <t>Head:04D097AA724C80</t>
  </si>
  <si>
    <t>Head:046096B2724C81</t>
  </si>
  <si>
    <t>Head:04F2BDAA724C80</t>
  </si>
  <si>
    <t>Head:044477722E4C81</t>
  </si>
  <si>
    <t>Head:0421C51A2E4C81</t>
  </si>
  <si>
    <t>Head:04037122484B81</t>
  </si>
  <si>
    <t>Head:047EA00A484B81</t>
  </si>
  <si>
    <t>Head:041693E2444B81</t>
  </si>
  <si>
    <t>Head:04B644BA764C80</t>
  </si>
  <si>
    <t>Head:04122722484B81</t>
  </si>
  <si>
    <t>Head:044BD4BA764C81</t>
  </si>
  <si>
    <t>Head:044E50E28C4B80</t>
  </si>
  <si>
    <t>Head:0486B512764C81</t>
  </si>
  <si>
    <t>Head:045D937A314C81</t>
  </si>
  <si>
    <t>Head:0476B512764C81</t>
  </si>
  <si>
    <t>Head:0413F67A314C81</t>
  </si>
  <si>
    <t>Head:0459E27A314C81</t>
  </si>
  <si>
    <t>Head:0461FBB22C4C80</t>
  </si>
  <si>
    <t>Head:048564FA2C4C81</t>
  </si>
  <si>
    <t>Head:04802552484B80</t>
  </si>
  <si>
    <t>Head:04737EFA2C4C80</t>
  </si>
  <si>
    <t>Head:04FA10AA2C4C84</t>
  </si>
  <si>
    <t>Head:0439B6B22C4C81</t>
  </si>
  <si>
    <t>Head:04FF4B72314C80</t>
  </si>
  <si>
    <t>Head:04215762314C81</t>
  </si>
  <si>
    <t>Head:04B912022D4C80</t>
  </si>
  <si>
    <t>Head:044A3A7A474B80</t>
  </si>
  <si>
    <t>Head:0434BD62314C81</t>
  </si>
  <si>
    <t>Head:0418521A454B81</t>
  </si>
  <si>
    <t>Head:04E099E2444B80</t>
  </si>
  <si>
    <t>Head:04514B3A474B80</t>
  </si>
  <si>
    <t>Head:04D9C422314C80</t>
  </si>
  <si>
    <t>Head:04FB96222D4C80</t>
  </si>
  <si>
    <t>Head:04FD721A454B80</t>
  </si>
  <si>
    <t>Head:0441AE22314C80</t>
  </si>
  <si>
    <t>Head:0469F2BA474B80</t>
  </si>
  <si>
    <t>Head:04CAE8BA474B80</t>
  </si>
  <si>
    <t>Head:044C8262314C80</t>
  </si>
  <si>
    <t>Head:04914E22314C80</t>
  </si>
  <si>
    <t>Head:0471A762314C81</t>
  </si>
  <si>
    <t>Head:04887062314C80</t>
  </si>
  <si>
    <t>Head:045C8162314C80</t>
  </si>
  <si>
    <t>Head:04C69662314C80</t>
  </si>
  <si>
    <t>Head:0442699A724C80</t>
  </si>
  <si>
    <t>Head:04FA599A724C80</t>
  </si>
  <si>
    <t>Head:04CE8B82724C80</t>
  </si>
  <si>
    <t>Head:0465BFB2764C80</t>
  </si>
  <si>
    <t>Head:048C69BA724C81</t>
  </si>
  <si>
    <t>Head:043A2E9A724C81</t>
  </si>
  <si>
    <t>Head:04D8F082724C80</t>
  </si>
  <si>
    <t>Head:049D2482724C80</t>
  </si>
  <si>
    <t>Head:04422482724C81</t>
  </si>
  <si>
    <t>Head:04AC927A474B80</t>
  </si>
  <si>
    <t>Head:04AF3D12484B80</t>
  </si>
  <si>
    <t>Head:0436328A474B81</t>
  </si>
  <si>
    <t>Head:04969DB2314C80</t>
  </si>
  <si>
    <t>Head:04CDBB82724C80</t>
  </si>
  <si>
    <t>Head:040EA8DA184A81</t>
  </si>
  <si>
    <t>Head:04880DB2764C84</t>
  </si>
  <si>
    <t>Head:044B86E2474B81</t>
  </si>
  <si>
    <t>Head:044E6FA2764C81</t>
  </si>
  <si>
    <t>Head:04608BAA474B81</t>
  </si>
  <si>
    <t>Head:041A45B2764C81</t>
  </si>
  <si>
    <t>Head:04100CB2314C85</t>
  </si>
  <si>
    <t>Head:046C9982474B80</t>
  </si>
  <si>
    <t>Head:049DD58A314C80</t>
  </si>
  <si>
    <t>Head:04D73882474B80</t>
  </si>
  <si>
    <t>Head:047D4F8A314C80</t>
  </si>
  <si>
    <t>Head:04CABE72474B80</t>
  </si>
  <si>
    <t>Head:046C4F8A314C80</t>
  </si>
  <si>
    <t>Head:042D89C2764C81</t>
  </si>
  <si>
    <t>Head:0412A982314C80</t>
  </si>
  <si>
    <t>Head:04BDC5A2764C80</t>
  </si>
  <si>
    <t>Head:04517AFA474B81</t>
  </si>
  <si>
    <t>Head:0441A0A2764C80</t>
  </si>
  <si>
    <t>Head:04EFF98A474B80</t>
  </si>
  <si>
    <t>Head:04BF7CB2314C80</t>
  </si>
  <si>
    <t>Head:044ABDAA474B80</t>
  </si>
  <si>
    <t>Head:04C9279A314C80</t>
  </si>
  <si>
    <t>Head:040D83B2314C81</t>
  </si>
  <si>
    <t>Head:049088F2474B80</t>
  </si>
  <si>
    <t>Head:04E985B2314C80</t>
  </si>
  <si>
    <t>Head:044C3B9A314C80</t>
  </si>
  <si>
    <t>Head:047785B2314C80</t>
  </si>
  <si>
    <t>Head:043AB29A314C81</t>
  </si>
  <si>
    <t>Head:040AF89A314C81</t>
  </si>
  <si>
    <t>Head:0449549A314C80</t>
  </si>
  <si>
    <t>Head:045727328D4B80</t>
  </si>
  <si>
    <t>Head:04C108622C4C84</t>
  </si>
  <si>
    <t>Head:048F85F28C4B80</t>
  </si>
  <si>
    <t>Head:043AD8622C4C80</t>
  </si>
  <si>
    <t>Head:043E49C2FE4A80</t>
  </si>
  <si>
    <t>Head:043D38C2FE4A80</t>
  </si>
  <si>
    <t>Head:04388E5A8D4B81</t>
  </si>
  <si>
    <t>Head:044941C2FE4A81</t>
  </si>
  <si>
    <t>Head:04517F428D4B80</t>
  </si>
  <si>
    <t>Head:044775428D4B80</t>
  </si>
  <si>
    <t>Head:0433F772254B81</t>
  </si>
  <si>
    <t>Head:0460D2328D4B80</t>
  </si>
  <si>
    <t>Head:048642428D4B80</t>
  </si>
  <si>
    <t>Head:043731722C4C81</t>
  </si>
  <si>
    <t>Head:04ABAC622C4C80</t>
  </si>
  <si>
    <t>Head:041CC6D28C4B80</t>
  </si>
  <si>
    <t>Head:04BB6C622C4C80</t>
  </si>
  <si>
    <t>Head:0430A2F28C4B80</t>
  </si>
  <si>
    <t>Head:04D16D3A2D4C80</t>
  </si>
  <si>
    <t>Head:044784F28C4B80</t>
  </si>
  <si>
    <t>Head:04CBDFC2FE4A80</t>
  </si>
  <si>
    <t>Head:043B5DF28C4B80</t>
  </si>
  <si>
    <t>Head:0448D4CA8C4B81</t>
  </si>
  <si>
    <t>Head:04F85AF28C4B80</t>
  </si>
  <si>
    <t>Head:046866F28C4B80</t>
  </si>
  <si>
    <t>Head:04505DF28C4B81</t>
  </si>
  <si>
    <t>Head:04D068F28C4B80</t>
  </si>
  <si>
    <t>Head:041564F28C4B81</t>
  </si>
  <si>
    <t>Head:04655CF28C4B81</t>
  </si>
  <si>
    <t>Head:0400A0CA8C4B81</t>
  </si>
  <si>
    <t>Head:046339CA8C4B81</t>
  </si>
  <si>
    <t>Head:045D7ACA8C4B80</t>
  </si>
  <si>
    <t>Head:044AD7CA8C4B80</t>
  </si>
  <si>
    <t>Head:04549CFA8C4B81</t>
  </si>
  <si>
    <t>Head:04DA21EA8C4B80</t>
  </si>
  <si>
    <t>Head:042F45FA8C4B81</t>
  </si>
  <si>
    <t>Head:042E9CEA8C4B80</t>
  </si>
  <si>
    <t>Head:042584FA8C4B81</t>
  </si>
  <si>
    <t>Head:046A47EA8C4B80</t>
  </si>
  <si>
    <t>Head:043999EA8C4B80</t>
  </si>
  <si>
    <t>Head:042115EA8C4B81</t>
  </si>
  <si>
    <t>Head:049EF0BAFE4A80</t>
  </si>
  <si>
    <t>Head:048266BAFE4A81</t>
  </si>
  <si>
    <t>Head:045C88C28C4B80</t>
  </si>
  <si>
    <t>Head:042685C28C4B81</t>
  </si>
  <si>
    <t>Head:0436C1BAFE4A81</t>
  </si>
  <si>
    <t>Head:0416B8C28C4B80</t>
  </si>
  <si>
    <t>Head:047CB5C28C4B81</t>
  </si>
  <si>
    <t>Head:042F5DC28C4B80</t>
  </si>
  <si>
    <t>Head:04D7D7028D4B80</t>
  </si>
  <si>
    <t>Head:04708E028D4B80</t>
  </si>
  <si>
    <t>Head:045879028D4B81</t>
  </si>
  <si>
    <t>Head:044EEFF28C4B80</t>
  </si>
  <si>
    <t>Head:04854E3A8D4B80</t>
  </si>
  <si>
    <t>Head:04ABE6028D4B80</t>
  </si>
  <si>
    <t>Head:041284028D4B80</t>
  </si>
  <si>
    <t>Head:04FFFB028D4B80</t>
  </si>
  <si>
    <t>Head:041DD6D28C4B81</t>
  </si>
  <si>
    <t>Head:048290EA8C4B80</t>
  </si>
  <si>
    <t>Head:04325FEA8C4B80</t>
  </si>
  <si>
    <t>Head:0450C1EA8C4B81</t>
  </si>
  <si>
    <t>Head:04F4B9028D4B80</t>
  </si>
  <si>
    <t>Head:0455CBF28C4B81</t>
  </si>
  <si>
    <t>Head:045B75028D4B81</t>
  </si>
  <si>
    <t>Head:04F2C9028D4B80</t>
  </si>
  <si>
    <t>Head:04052B722C4C81</t>
  </si>
  <si>
    <t>Head:044698622C4C81</t>
  </si>
  <si>
    <t>Head:044323722C4C81</t>
  </si>
  <si>
    <t>Head:046D24722C4C80</t>
  </si>
  <si>
    <t>Head:045F72622C4C81</t>
  </si>
  <si>
    <t>Head:041C20622C4C81</t>
  </si>
  <si>
    <t>Head:0410DB5A8D4B81</t>
  </si>
  <si>
    <t>Head:040FCF5A8D4B81</t>
  </si>
  <si>
    <t>Head:0442F9BAFE4A81</t>
  </si>
  <si>
    <t>Head:04E8CCC28C4B80</t>
  </si>
  <si>
    <t>Head:04725DC28C4B80</t>
  </si>
  <si>
    <t>Head:04CF7ABAFE4A80</t>
  </si>
  <si>
    <t>Head:04D926622C4C80</t>
  </si>
  <si>
    <t>Head:0413F05A8D4B81</t>
  </si>
  <si>
    <t>Head:041913622C4C81</t>
  </si>
  <si>
    <t>Head:04C985622C4C80</t>
  </si>
  <si>
    <t>Head:04B67B328D4B80</t>
  </si>
  <si>
    <t>Head:0481B3328D4B81</t>
  </si>
  <si>
    <t>Head:044AB1328D4B81</t>
  </si>
  <si>
    <t>Head:045A9C328D4B80</t>
  </si>
  <si>
    <t>Head:0416BEFA8C4B80</t>
  </si>
  <si>
    <t>Head:0425D7FA8C4B81</t>
  </si>
  <si>
    <t>Head:04C045328D4B80</t>
  </si>
  <si>
    <t>Head:04964F328D4B80</t>
  </si>
  <si>
    <t>Head:04E81F722C4C80</t>
  </si>
  <si>
    <t>Head:04B001622C4C84</t>
  </si>
  <si>
    <t>Head:046B2D722C4C80</t>
  </si>
  <si>
    <t>Head:04EE07622C4C84</t>
  </si>
  <si>
    <t>Head:04F4E04A8D4B80</t>
  </si>
  <si>
    <t>Head:04AE0D4A8D4B84</t>
  </si>
  <si>
    <t>Head:04D5ED428D4B80</t>
  </si>
  <si>
    <t>Head:046EE6428D4B80</t>
  </si>
  <si>
    <t>Head:04BBF4C2FE4A80</t>
  </si>
  <si>
    <t>Head:04C4F7C2FE4A80</t>
  </si>
  <si>
    <t>Head:046BFC328D4B80</t>
  </si>
  <si>
    <t>Head:04A946EAEF4980</t>
  </si>
  <si>
    <t>Head:04716372E94980</t>
  </si>
  <si>
    <t>Head:0491251AEE4980</t>
  </si>
  <si>
    <t>Head:04C00AAAEE4980</t>
  </si>
  <si>
    <t>Head:0447A48AE94981</t>
  </si>
  <si>
    <t>Head:04DAF28AE94980</t>
  </si>
  <si>
    <t>Head:042B233AEE4981</t>
  </si>
  <si>
    <t>Head:0446619AE94981</t>
  </si>
  <si>
    <t>Head:04A52472E94980</t>
  </si>
  <si>
    <t>Head:0432E2EAEF4980</t>
  </si>
  <si>
    <t>Head:0470EAEAEF4980</t>
  </si>
  <si>
    <t>Head:044E7422E14981</t>
  </si>
  <si>
    <t>Head:04083FEAEF4981</t>
  </si>
  <si>
    <t>Head:04612072E94980</t>
  </si>
  <si>
    <t>Head:040DAB72E94980</t>
  </si>
  <si>
    <t>Head:04C59B72E94980</t>
  </si>
  <si>
    <t>Head:04438202E94980</t>
  </si>
  <si>
    <t>Head:04FF624AED4980</t>
  </si>
  <si>
    <t>Head:0431BC22ED4981</t>
  </si>
  <si>
    <t>Head:046FC92AE14981</t>
  </si>
  <si>
    <t>Head:0464333AE14980</t>
  </si>
  <si>
    <t>Head:0441591AE14981</t>
  </si>
  <si>
    <t>Head:04B79F1AE14980</t>
  </si>
  <si>
    <t>Head:04BD2F1AE14980</t>
  </si>
  <si>
    <t>Head:04213D4AED4981</t>
  </si>
  <si>
    <t>Head:04B02C4AED4980</t>
  </si>
  <si>
    <t>Head:04986242ED4980</t>
  </si>
  <si>
    <t>Head:04057D42ED4981</t>
  </si>
  <si>
    <t>Head:04957142ED4980</t>
  </si>
  <si>
    <t>Head:04EEB1FAE84980</t>
  </si>
  <si>
    <t>Head:0453CE4AED4980</t>
  </si>
  <si>
    <t>Head:048793FAE84981</t>
  </si>
  <si>
    <t>Head:04228F5AED4980</t>
  </si>
  <si>
    <t>Head:04665032284981</t>
  </si>
  <si>
    <t>Head:04329A5AED4980</t>
  </si>
  <si>
    <t>Head:04428EFAE84980</t>
  </si>
  <si>
    <t>Head:04752C52ED4980</t>
  </si>
  <si>
    <t>Head:04E6849AE94980</t>
  </si>
  <si>
    <t>Head:04279932E14981</t>
  </si>
  <si>
    <t>Head:046144FAE84980</t>
  </si>
  <si>
    <t>Head:04253DEA894981</t>
  </si>
  <si>
    <t>Head:045A385AED4980</t>
  </si>
  <si>
    <t>Head:04B16BDAEE4980</t>
  </si>
  <si>
    <t>Head:04046452ED4981</t>
  </si>
  <si>
    <t>Head:0472DCFAE84980</t>
  </si>
  <si>
    <t>Head:045EB65AED4981</t>
  </si>
  <si>
    <t>Head:04219962ED4981</t>
  </si>
  <si>
    <t>Head:04715812B34980</t>
  </si>
  <si>
    <t>Head:0446C20AE94981</t>
  </si>
  <si>
    <t>Head:04609462ED4980</t>
  </si>
  <si>
    <t>Head:045C2262ED4980</t>
  </si>
  <si>
    <t>Head:046E070AE94984</t>
  </si>
  <si>
    <t>Head:043A2512B34981</t>
  </si>
  <si>
    <t>Head:045CE512B34980</t>
  </si>
  <si>
    <t>Head:043F4362B34981</t>
  </si>
  <si>
    <t>Head:04FD2E1AE94980</t>
  </si>
  <si>
    <t>Head:040DEE1AE94981</t>
  </si>
  <si>
    <t>Head:04A36CDA014980</t>
  </si>
  <si>
    <t>Head:046FABDA014981</t>
  </si>
  <si>
    <t>Head:04B01412ED4980</t>
  </si>
  <si>
    <t>Head:04E960DA014980</t>
  </si>
  <si>
    <t>Head:04477F7AED4980</t>
  </si>
  <si>
    <t>Head:04A3E262ED4980</t>
  </si>
  <si>
    <t>Head:04BF8E32ED4980</t>
  </si>
  <si>
    <t>Head:045A696AED4980</t>
  </si>
  <si>
    <t>Head:0429D632ED4980</t>
  </si>
  <si>
    <t>Head:043052DA014980</t>
  </si>
  <si>
    <t>Head:04F15E32ED4980</t>
  </si>
  <si>
    <t>Head:04A9EEAAE94980</t>
  </si>
  <si>
    <t>Head:040C291AE94981</t>
  </si>
  <si>
    <t>Head:0457B562B34981</t>
  </si>
  <si>
    <t>Head:04B38112ED4980</t>
  </si>
  <si>
    <t>Head:048D8E72ED4981</t>
  </si>
  <si>
    <t>Head:04109B2AED4981</t>
  </si>
  <si>
    <t>Head:0477D31AED4980</t>
  </si>
  <si>
    <t>Head:04ACDE1AED4980</t>
  </si>
  <si>
    <t>Head:04D0EEDA014980</t>
  </si>
  <si>
    <t>Head:04D45242ED4980</t>
  </si>
  <si>
    <t>Head:04404922ED4980</t>
  </si>
  <si>
    <t>Head:04BABC42ED4980</t>
  </si>
  <si>
    <t>Head:046CA422ED4980</t>
  </si>
  <si>
    <t>Head:04BD6532EE4980</t>
  </si>
  <si>
    <t>Head:04923E3AED4980</t>
  </si>
  <si>
    <t>Head:04106962E94981</t>
  </si>
  <si>
    <t>Head:04E5F062E94980</t>
  </si>
  <si>
    <t>Head:0461FA1AED4980</t>
  </si>
  <si>
    <t>Head:045B947AED4980</t>
  </si>
  <si>
    <t>Head:04839D82ED4981</t>
  </si>
  <si>
    <t>Head:0425C82AED4981</t>
  </si>
  <si>
    <t>Head:04D4E7E2EF4980</t>
  </si>
  <si>
    <t>Head:047EA01AE94981</t>
  </si>
  <si>
    <t>Head:04D64B1AE94980</t>
  </si>
  <si>
    <t>Head:04B58A1AE94980</t>
  </si>
  <si>
    <t>Head:048ECDE2EF4980</t>
  </si>
  <si>
    <t>Head:04ECE71AE94980</t>
  </si>
  <si>
    <t>Head:04948962B34980</t>
  </si>
  <si>
    <t>Head:04EF901AE94980</t>
  </si>
  <si>
    <t>Head:04562B32EE4981</t>
  </si>
  <si>
    <t>Head:04776622ED4981</t>
  </si>
  <si>
    <t>Head:046CDD62B34980</t>
  </si>
  <si>
    <t>Head:0422445AB24881</t>
  </si>
  <si>
    <t>Head:04659172574981</t>
  </si>
  <si>
    <t>Head:04BD0772574984</t>
  </si>
  <si>
    <t>Head:047CD8D2C14880</t>
  </si>
  <si>
    <t>Head:0499E3D2C14880</t>
  </si>
  <si>
    <t>Head:046AA95AC94881</t>
  </si>
  <si>
    <t>Head:04B7BBD2C14880</t>
  </si>
  <si>
    <t>Head:045C5E72284980</t>
  </si>
  <si>
    <t>Head:047F519A024980</t>
  </si>
  <si>
    <t>Head:0490884A544980</t>
  </si>
  <si>
    <t>Head:040C8C4A544981</t>
  </si>
  <si>
    <t>Head:04C1A772284980</t>
  </si>
  <si>
    <t>Head:04225BD2C14881</t>
  </si>
  <si>
    <t>Head:046C56D2C14881</t>
  </si>
  <si>
    <t>Head:047C32D2C14880</t>
  </si>
  <si>
    <t>Head:047728D2C14880</t>
  </si>
  <si>
    <t>Head:0448DA9A024981</t>
  </si>
  <si>
    <t>Head:04BA6A72284980</t>
  </si>
  <si>
    <t>Head:04746972284980</t>
  </si>
  <si>
    <t>Head:042FB072284981</t>
  </si>
  <si>
    <t>Head:040A2F82554981</t>
  </si>
  <si>
    <t>Head:043A8782554980</t>
  </si>
  <si>
    <t>Head:04D3CB8A544980</t>
  </si>
  <si>
    <t>Head:044EC38A544981</t>
  </si>
  <si>
    <t>Head:04BEA3DAC14880</t>
  </si>
  <si>
    <t>Head:048F59DAC14880</t>
  </si>
  <si>
    <t>Head:042893DAC14880</t>
  </si>
  <si>
    <t>Head:0483A2DAC14880</t>
  </si>
  <si>
    <t>Head:04E25C8A544980</t>
  </si>
  <si>
    <t>Head:04394D8A544980</t>
  </si>
  <si>
    <t>Head:043E948A544980</t>
  </si>
  <si>
    <t>Head:0439222ABF4881</t>
  </si>
  <si>
    <t>Head:04E75ECAC14880</t>
  </si>
  <si>
    <t>Head:040B95DAC14881</t>
  </si>
  <si>
    <t>Head:04274552034981</t>
  </si>
  <si>
    <t>Head:04919352034980</t>
  </si>
  <si>
    <t>Head:047EB082554980</t>
  </si>
  <si>
    <t>Head:041FC08A544981</t>
  </si>
  <si>
    <t>Head:04A7018A544984</t>
  </si>
  <si>
    <t>Head:0424A682554981</t>
  </si>
  <si>
    <t>Head:040F5E8A544981</t>
  </si>
  <si>
    <t>Head:0454ED8A544980</t>
  </si>
  <si>
    <t>Head:043B3082554981</t>
  </si>
  <si>
    <t>Head:041F8782554981</t>
  </si>
  <si>
    <t>Head:040F1282554981</t>
  </si>
  <si>
    <t>Head:0474E88A544980</t>
  </si>
  <si>
    <t>Head:04FA898A544980</t>
  </si>
  <si>
    <t>Head:043CFD8A544981</t>
  </si>
  <si>
    <t>Head:046A2642034980</t>
  </si>
  <si>
    <t>Head:04ADAA42034980</t>
  </si>
  <si>
    <t>Head:046D661AC24881</t>
  </si>
  <si>
    <t>Head:04636B1AC24881</t>
  </si>
  <si>
    <t>Head:04598D2A034980</t>
  </si>
  <si>
    <t>Head:040C7A42034980</t>
  </si>
  <si>
    <t>Head:04A58242034980</t>
  </si>
  <si>
    <t>Head:046FCC42034981</t>
  </si>
  <si>
    <t>Head:0448891AC24881</t>
  </si>
  <si>
    <t>Head:04DC751AC24880</t>
  </si>
  <si>
    <t>Head:0462412A034980</t>
  </si>
  <si>
    <t>Head:04182C2A034981</t>
  </si>
  <si>
    <t>Head:04757A42034980</t>
  </si>
  <si>
    <t>Head:0445892A034980</t>
  </si>
  <si>
    <t>Head:040E8B2A034980</t>
  </si>
  <si>
    <t>Head:04200242034985</t>
  </si>
  <si>
    <t>Head:044AE842034980</t>
  </si>
  <si>
    <t>Head:04DF6D42034980</t>
  </si>
  <si>
    <t>Head:044F7042034980</t>
  </si>
  <si>
    <t>Head:042DD542034981</t>
  </si>
  <si>
    <t>Head:04E6AC2A034980</t>
  </si>
  <si>
    <t>Head:0435B9CAC14880</t>
  </si>
  <si>
    <t>Head:043192CAC14880</t>
  </si>
  <si>
    <t>Head:0437D4CAC14881</t>
  </si>
  <si>
    <t>Head:04A2002A034984</t>
  </si>
  <si>
    <t>Head:0476A32A034981</t>
  </si>
  <si>
    <t>Head:046FFD2A034980</t>
  </si>
  <si>
    <t>Head:04809242034981</t>
  </si>
  <si>
    <t>Head:0460EACAC14880</t>
  </si>
  <si>
    <t>Head:0415A12A034981</t>
  </si>
  <si>
    <t>Head:04E30F2A034984</t>
  </si>
  <si>
    <t>Head:04F29A42034980</t>
  </si>
  <si>
    <t>Head:048A6252884981</t>
  </si>
  <si>
    <t>Head:04700192894984</t>
  </si>
  <si>
    <t>Head:04314F22034980</t>
  </si>
  <si>
    <t>Head:0434C222034981</t>
  </si>
  <si>
    <t>Head:04F5F75A574980</t>
  </si>
  <si>
    <t>Head:04838372574981</t>
  </si>
  <si>
    <t>Head:047A855AC94881</t>
  </si>
  <si>
    <t>Head:048B8E5A574981</t>
  </si>
  <si>
    <t>Head:04407572574981</t>
  </si>
  <si>
    <t>Head:04828F5A574980</t>
  </si>
  <si>
    <t>Head:0487A45A574980</t>
  </si>
  <si>
    <t>Head:0404765A574981</t>
  </si>
  <si>
    <t>Head:046ECEFAC14881</t>
  </si>
  <si>
    <t>Head:040D8872574981</t>
  </si>
  <si>
    <t>Head:048CA772574981</t>
  </si>
  <si>
    <t>Head:04C83172574980</t>
  </si>
  <si>
    <t>Head:045D8B72574980</t>
  </si>
  <si>
    <t>Head:042DDA5A574980</t>
  </si>
  <si>
    <t>Head:044AE5FAC14881</t>
  </si>
  <si>
    <t>Head:040A7822EE4980</t>
  </si>
  <si>
    <t>Head:04504E62EF4981</t>
  </si>
  <si>
    <t>Head:04FD6982EF4980</t>
  </si>
  <si>
    <t>Head:04D69C52BF4880</t>
  </si>
  <si>
    <t>Head:04F335F2394A80</t>
  </si>
  <si>
    <t>Head:0487BC7A764C80</t>
  </si>
  <si>
    <t>Head:044EBBA22D4C80</t>
  </si>
  <si>
    <t>Head:049D1CDA774C80</t>
  </si>
  <si>
    <t>Head:042C38BA774C81</t>
  </si>
  <si>
    <t>Head:0455CD7A764C81</t>
  </si>
  <si>
    <t>Head:04D6DC32314C80</t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</si>
  <si>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</si>
  <si>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</si>
  <si>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</si>
  <si>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</si>
  <si>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F</t>
    <phoneticPr fontId="1" type="noConversion"/>
  </si>
  <si>
    <t>Mario\Mario Sports Superstars</t>
    <phoneticPr fontId="1" type="noConversion"/>
  </si>
  <si>
    <t>Mario\Mario Sports Superstars</t>
    <phoneticPr fontId="2" type="noConversion"/>
  </si>
  <si>
    <t>Spoofs</t>
    <phoneticPr fontId="2" type="noConversion"/>
  </si>
  <si>
    <t>Metroid</t>
    <phoneticPr fontId="1" type="noConversion"/>
  </si>
  <si>
    <t>Metroid</t>
    <phoneticPr fontId="2" type="noConversion"/>
  </si>
  <si>
    <t>E</t>
    <phoneticPr fontId="1" type="noConversion"/>
  </si>
  <si>
    <t>Spoofs\Mario\Super Mario Figures</t>
    <phoneticPr fontId="2" type="noConversion"/>
  </si>
  <si>
    <t>Powersaves\Mario\Mario Sports Superstars</t>
  </si>
  <si>
    <r>
      <t>Powersaves\Mario</t>
    </r>
    <r>
      <rPr>
        <sz val="11"/>
        <color theme="1"/>
        <rFont val="等线"/>
        <family val="3"/>
        <charset val="134"/>
        <scheme val="minor"/>
      </rPr>
      <t>\Mario</t>
    </r>
    <r>
      <rPr>
        <sz val="11"/>
        <color theme="1"/>
        <rFont val="等线"/>
        <family val="3"/>
        <charset val="134"/>
        <scheme val="minor"/>
      </rPr>
      <t xml:space="preserve"> Sports Superstars</t>
    </r>
    <phoneticPr fontId="2" type="noConversion"/>
  </si>
  <si>
    <t>[SM] 16 - Goomba.bin</t>
  </si>
  <si>
    <t>00150000-03670102</t>
  </si>
  <si>
    <t>Head:04F58EDA1B4E80</t>
  </si>
  <si>
    <t>CRC32:BB3E72BF</t>
  </si>
  <si>
    <t>[SM] 17 - Koopa Troopa.bin</t>
  </si>
  <si>
    <t>00230000-03680102</t>
  </si>
  <si>
    <t>Head:042ED8C2E94C80</t>
  </si>
  <si>
    <t>CRC32:7B8B2708</t>
  </si>
  <si>
    <t>Mario\Super Mario Figures</t>
    <phoneticPr fontId="1" type="noConversion"/>
  </si>
  <si>
    <t>CRC32:BB3E72BF</t>
    <phoneticPr fontId="1" type="noConversion"/>
  </si>
  <si>
    <t>CRC32:7B8B2708</t>
    <phoneticPr fontId="1" type="noConversion"/>
  </si>
  <si>
    <t>00150000-03670102</t>
    <phoneticPr fontId="1" type="noConversion"/>
  </si>
  <si>
    <t>00230000-03680102</t>
    <phoneticPr fontId="1" type="noConversion"/>
  </si>
  <si>
    <t>[SM] 16 - Goomba.bin</t>
    <phoneticPr fontId="1" type="noConversion"/>
  </si>
  <si>
    <t>[SM] 17 - Koopa Troopa.bin</t>
    <phoneticPr fontId="1" type="noConversion"/>
  </si>
  <si>
    <t>Fire Emblem</t>
    <phoneticPr fontId="1" type="noConversion"/>
  </si>
  <si>
    <t>Spoofs\Fire Emblem</t>
    <phoneticPr fontId="2" type="noConversion"/>
  </si>
  <si>
    <t>21080000-036F1202</t>
  </si>
  <si>
    <t>Head:044CEE5A3C4D80</t>
  </si>
  <si>
    <t>CRC32:CAB94AC3</t>
  </si>
  <si>
    <t>21090000-03701202</t>
  </si>
  <si>
    <t>Head:04ECDA8A3C4D80</t>
  </si>
  <si>
    <t>[FE] 03 - Chrom.bin</t>
    <phoneticPr fontId="1" type="noConversion"/>
  </si>
  <si>
    <t>[FE] 04 - Tiki.bin</t>
    <phoneticPr fontId="1" type="noConversion"/>
  </si>
  <si>
    <t>CRC32:0885316C</t>
    <phoneticPr fontId="1" type="noConversion"/>
  </si>
  <si>
    <t>CRC32:CAB94AC3</t>
    <phoneticPr fontId="1" type="noConversion"/>
  </si>
  <si>
    <t>21080000-036F1202</t>
    <phoneticPr fontId="1" type="noConversion"/>
  </si>
  <si>
    <t>21090000-03701202</t>
    <phoneticPr fontId="1" type="noConversion"/>
  </si>
  <si>
    <t>Fire Emblem</t>
    <phoneticPr fontId="1" type="noConversion"/>
  </si>
  <si>
    <t>[SM] 18 - Mario (Wedding).bin</t>
  </si>
  <si>
    <t>00000000-03710102</t>
  </si>
  <si>
    <t>Head:04B8842A1B4E80</t>
  </si>
  <si>
    <t>CRC32:A5002B65</t>
  </si>
  <si>
    <t>[SM] 19 - Peach (Wedding).bin</t>
  </si>
  <si>
    <t>00020000-03720102</t>
  </si>
  <si>
    <t>Head:047AB3C2E94C80</t>
  </si>
  <si>
    <t>CRC32:02105BE1</t>
  </si>
  <si>
    <t>[SM] 20 - Bowser (Wedding).bin</t>
  </si>
  <si>
    <t>00050000-03730102</t>
  </si>
  <si>
    <t>Head:0462B7221B4E80</t>
  </si>
  <si>
    <t>CRC32:83E3D414</t>
  </si>
  <si>
    <t>[FE] 03 - Chrom.bin</t>
  </si>
  <si>
    <t>[FE] 04 - Tiki.bin</t>
  </si>
  <si>
    <t>CRC32:0885316C</t>
  </si>
  <si>
    <t>00000000-03710102</t>
    <phoneticPr fontId="1" type="noConversion"/>
  </si>
  <si>
    <t>00020000-03720102</t>
    <phoneticPr fontId="1" type="noConversion"/>
  </si>
  <si>
    <t>00050000-03730102</t>
    <phoneticPr fontId="1" type="noConversion"/>
  </si>
  <si>
    <r>
      <t>[AC] 005 - Kapp</t>
    </r>
    <r>
      <rPr>
        <sz val="11"/>
        <color theme="1"/>
        <rFont val="等线"/>
        <family val="3"/>
        <charset val="134"/>
        <scheme val="minor"/>
      </rPr>
      <t>'</t>
    </r>
    <r>
      <rPr>
        <sz val="11"/>
        <color theme="1"/>
        <rFont val="等线"/>
        <family val="3"/>
        <charset val="134"/>
        <scheme val="minor"/>
      </rPr>
      <t>n.bin</t>
    </r>
    <phoneticPr fontId="1" type="noConversion"/>
  </si>
  <si>
    <t>[AC] 05 - Cyrus.bin</t>
    <phoneticPr fontId="1" type="noConversion"/>
  </si>
  <si>
    <t>[ZBW] 06 - Mipha (Zora Champion).bin</t>
  </si>
  <si>
    <t>01070000-035A0902</t>
  </si>
  <si>
    <t>Head:0455878A1B4E81</t>
  </si>
  <si>
    <t>CRC32:39866704</t>
  </si>
  <si>
    <t>[ZBW] 07 - Daruk (Goron Champion).bin</t>
  </si>
  <si>
    <t>01050000-03580902</t>
  </si>
  <si>
    <t>Head:04A144721B4E80</t>
  </si>
  <si>
    <t>CRC32:B9D36116</t>
  </si>
  <si>
    <t>[ZBW] 08 - Revali (Rito Champion).bin</t>
  </si>
  <si>
    <t>01080000-035B0902</t>
  </si>
  <si>
    <t>Head:04EFC3DA1D4E80</t>
  </si>
  <si>
    <t>CRC32:238C61C6</t>
  </si>
  <si>
    <t>[ZBW] 09 - Urbosa (Gerudo Champion).bin</t>
  </si>
  <si>
    <t>01060000-03590902</t>
  </si>
  <si>
    <t>Head:043767C21D4E81</t>
  </si>
  <si>
    <t>CRC32:12256389</t>
  </si>
  <si>
    <t>37400001-03741402</t>
  </si>
  <si>
    <t>Head:04B94FB2484D80</t>
  </si>
  <si>
    <t>CRC32:3DD7B13E</t>
  </si>
  <si>
    <t>[SMC] 01 - Super Mario Cereal.bin</t>
    <phoneticPr fontId="1" type="noConversion"/>
  </si>
  <si>
    <t>Mario\Super Mario Cereal</t>
    <phoneticPr fontId="1" type="noConversion"/>
  </si>
  <si>
    <t>Mario\Super Mario Cereal</t>
    <phoneticPr fontId="2" type="noConversion"/>
  </si>
  <si>
    <t>[Splatoon] 12 - Pearl.bin</t>
  </si>
  <si>
    <t>08030000-03760402</t>
  </si>
  <si>
    <t>Head:04BAEB7AFA5980</t>
  </si>
  <si>
    <t>CRC32:2E9F7E59</t>
  </si>
  <si>
    <t>[Splatoon] 13 - Marina.bin</t>
  </si>
  <si>
    <t>08040000-03770402</t>
  </si>
  <si>
    <t>Head:0467662AA05981</t>
  </si>
  <si>
    <t>CRC32:2BBE9C60</t>
  </si>
  <si>
    <t>Mario\Super Mario Cereal</t>
  </si>
  <si>
    <t>[SMC] 01 - Super Mario Cereal.bin</t>
  </si>
  <si>
    <t>Detective Pikachu</t>
  </si>
  <si>
    <t>[DEP] 01 - Detective Pikachu.bin</t>
  </si>
  <si>
    <t>1D010000-03750D02</t>
  </si>
  <si>
    <t>Head:045259C2ED4C81</t>
  </si>
  <si>
    <t>CRC32:7E561FE9</t>
  </si>
  <si>
    <t>Detective Pikachu</t>
    <phoneticPr fontId="1" type="noConversion"/>
  </si>
  <si>
    <t>Detective Pikachu</t>
    <phoneticPr fontId="2" type="noConversion"/>
  </si>
  <si>
    <t>Mega Man</t>
  </si>
  <si>
    <t>[MM] 01 - Mega Man.bin</t>
  </si>
  <si>
    <t>34800000-03791502</t>
  </si>
  <si>
    <t>Head:04FE42C22E5980</t>
  </si>
  <si>
    <t>CRC32:9E00C8CC</t>
  </si>
  <si>
    <t>[MM] 01 - Mega Man.bin</t>
    <phoneticPr fontId="1" type="noConversion"/>
  </si>
  <si>
    <t>34800000-03791502</t>
    <phoneticPr fontId="1" type="noConversion"/>
  </si>
  <si>
    <t>Mega Man</t>
    <phoneticPr fontId="1" type="noConversion"/>
  </si>
  <si>
    <t>CRC32:9E00C8CC</t>
    <phoneticPr fontId="1" type="noConversion"/>
  </si>
  <si>
    <t>Mega Man</t>
    <phoneticPr fontId="2" type="noConversion"/>
  </si>
  <si>
    <t>[DS] 01 - Solaire of Astora.bin</t>
  </si>
  <si>
    <t>33800000-03781402</t>
  </si>
  <si>
    <t>Head:040DEEBA2E5981</t>
  </si>
  <si>
    <t>CRC32:DB717DBE</t>
  </si>
  <si>
    <t>Dark Souls</t>
    <phoneticPr fontId="1" type="noConversion"/>
  </si>
  <si>
    <t>[DS] 01 - Solaire of Astora.bin</t>
    <phoneticPr fontId="1" type="noConversion"/>
  </si>
  <si>
    <t>33800000-03781402</t>
    <phoneticPr fontId="1" type="noConversion"/>
  </si>
  <si>
    <t>CRC32:DB717DBE</t>
    <phoneticPr fontId="1" type="noConversion"/>
  </si>
  <si>
    <t>08000100-03820002</t>
  </si>
  <si>
    <t>Head:04304152B75D81</t>
  </si>
  <si>
    <t>CRC32:5E49F706</t>
  </si>
  <si>
    <t>05C20000-037F0002</t>
  </si>
  <si>
    <t>Head:047B624A5D5D80</t>
  </si>
  <si>
    <t>CRC32:9297726B</t>
  </si>
  <si>
    <t>05840000-037E0002</t>
  </si>
  <si>
    <t>Head:04610122BB5D84</t>
  </si>
  <si>
    <t>CRC32:4816400C</t>
  </si>
  <si>
    <t>08050100-038E0402</t>
  </si>
  <si>
    <t>Head:045DAB92FA5980</t>
  </si>
  <si>
    <t>CRC32:828C833B</t>
  </si>
  <si>
    <t>08050200-038F0402</t>
  </si>
  <si>
    <t>Head:0467A91AA05980</t>
  </si>
  <si>
    <t>CRC32:B66C0B7A</t>
  </si>
  <si>
    <t>08050300-03900402</t>
  </si>
  <si>
    <t>Head:040D61C22E5981</t>
  </si>
  <si>
    <t>CRC32:E3F6F232</t>
  </si>
  <si>
    <t>[D] 01 - Loot Goblin.bin</t>
  </si>
  <si>
    <t>38C00000-03911602</t>
  </si>
  <si>
    <t>Head:04B15A9AB65D80</t>
  </si>
  <si>
    <t>CRC32:31897B9E</t>
  </si>
  <si>
    <t>Dark Souls</t>
  </si>
  <si>
    <t>Splatoon</t>
    <phoneticPr fontId="1" type="noConversion"/>
  </si>
  <si>
    <t>[Splatoon] 14 - Octoling Girl.bin</t>
    <phoneticPr fontId="1" type="noConversion"/>
  </si>
  <si>
    <t>08050100-038E0402</t>
    <phoneticPr fontId="1" type="noConversion"/>
  </si>
  <si>
    <t>CRC32:828C833B</t>
    <phoneticPr fontId="1" type="noConversion"/>
  </si>
  <si>
    <t>[Splatoon] 15 - Octoling Boy.bin</t>
    <phoneticPr fontId="1" type="noConversion"/>
  </si>
  <si>
    <t>08050200-038F0402</t>
    <phoneticPr fontId="1" type="noConversion"/>
  </si>
  <si>
    <t>CRC32:B66C0B7A</t>
    <phoneticPr fontId="1" type="noConversion"/>
  </si>
  <si>
    <t>[Splatoon] 16 - Octoling Octopus.bin</t>
    <phoneticPr fontId="1" type="noConversion"/>
  </si>
  <si>
    <t>08050300-03900402</t>
    <phoneticPr fontId="1" type="noConversion"/>
  </si>
  <si>
    <t>CRC32:E3F6F232</t>
    <phoneticPr fontId="1" type="noConversion"/>
  </si>
  <si>
    <t>Diablo</t>
    <phoneticPr fontId="1" type="noConversion"/>
  </si>
  <si>
    <t>[D] 01 - Loot Goblin.bin</t>
    <phoneticPr fontId="1" type="noConversion"/>
  </si>
  <si>
    <t>38C00000-03911602</t>
    <phoneticPr fontId="1" type="noConversion"/>
  </si>
  <si>
    <t>CRC32:31897B9E</t>
    <phoneticPr fontId="1" type="noConversion"/>
  </si>
  <si>
    <t>Diablo</t>
    <phoneticPr fontId="2" type="noConversion"/>
  </si>
  <si>
    <t>00C00000-037B0002</t>
  </si>
  <si>
    <t>Head:04FC09DAB65D84</t>
  </si>
  <si>
    <t>CRC32:B57296F5</t>
  </si>
  <si>
    <t>078F0000-03810002</t>
  </si>
  <si>
    <t>Head:0422C01A5F5D81</t>
  </si>
  <si>
    <t>CRC32:DA77BB5D</t>
  </si>
  <si>
    <t>Diablo</t>
  </si>
  <si>
    <t>00240000-038D0002</t>
  </si>
  <si>
    <t>Head:042375B2B65D80</t>
  </si>
  <si>
    <t>[SSB] 32 - Wario.bin</t>
  </si>
  <si>
    <t>[SSB] 33 - Charizard.bin</t>
  </si>
  <si>
    <t>[SSB] 35 - Pac-Man.bin</t>
  </si>
  <si>
    <t>[SSB] 63 - Wolf.bin</t>
  </si>
  <si>
    <t>[SSB] 64 - Inkling.bin</t>
  </si>
  <si>
    <t>[SSB] 65 - Ridley.bin</t>
  </si>
  <si>
    <t>[SSB] 66 - Piranha Plant.bin</t>
  </si>
  <si>
    <t>CRC32:60E30C3F</t>
  </si>
  <si>
    <t>[SSB] 67 - King K Rool.bin</t>
  </si>
  <si>
    <t>[SSB] 68 - Ice Climbers.bin</t>
  </si>
  <si>
    <t>[SSB] 69 - Ken.bin</t>
  </si>
  <si>
    <t>34C10000-03890002</t>
  </si>
  <si>
    <t>Head:041902BAB65D85</t>
  </si>
  <si>
    <t>CRC32:A8467D55</t>
  </si>
  <si>
    <t>[SSB] 70 - Young Link.bin</t>
  </si>
  <si>
    <t>01000000-037C0002</t>
  </si>
  <si>
    <t>Head:0474CF92435F81</t>
  </si>
  <si>
    <t>CRC32:A431EB2A</t>
  </si>
  <si>
    <t>[SSB] 71 - Daisy.bin</t>
  </si>
  <si>
    <t>00130000-037A0002</t>
  </si>
  <si>
    <t>Head:04F171DAB65D80</t>
  </si>
  <si>
    <t>CRC32:5FFD3284</t>
  </si>
  <si>
    <t>[SSB] 72 - Pichu.bin</t>
  </si>
  <si>
    <t>19AC0000-03850002</t>
  </si>
  <si>
    <t>Head:049376FA575D80</t>
  </si>
  <si>
    <t>CRC32:CDE8C618</t>
  </si>
  <si>
    <t>[SSB] 73 - Isabelle.bin</t>
  </si>
  <si>
    <t>01810000-037D0002</t>
  </si>
  <si>
    <t>Head:04C51FE26A5F80</t>
  </si>
  <si>
    <t>CRC32:34CBAA15</t>
  </si>
  <si>
    <t>[SSB] 74 - Pokémon Trainer.bin</t>
  </si>
  <si>
    <t>1D400000-03870002</t>
  </si>
  <si>
    <t>Head:041FA6EA6A5F81</t>
  </si>
  <si>
    <t>CRC32:7493F7B3</t>
  </si>
  <si>
    <t>01810000-037D0002</t>
    <phoneticPr fontId="1" type="noConversion"/>
  </si>
  <si>
    <t>1D400000-03870002</t>
    <phoneticPr fontId="1" type="noConversion"/>
  </si>
  <si>
    <t>The Legend of Zelda\The Legend of Zelda Link's Awakening</t>
  </si>
  <si>
    <t>[ZLA] 01 - Link.bin</t>
  </si>
  <si>
    <t>01000000-03990902</t>
  </si>
  <si>
    <t>Head:04054D52295E81</t>
  </si>
  <si>
    <t>CRC32:5F5B8163</t>
  </si>
  <si>
    <t>[SSB] 75 - Snake.bin</t>
  </si>
  <si>
    <t>37800000-038A0002</t>
  </si>
  <si>
    <t>Head:0441493ABB5D80</t>
  </si>
  <si>
    <t>CRC32:675F0209</t>
  </si>
  <si>
    <t>[SSB] 76 - Ivysaur.bin</t>
  </si>
  <si>
    <t>19020000-03830002</t>
  </si>
  <si>
    <t>Head:04555F6A295E81</t>
  </si>
  <si>
    <t>CRC32:FD74CB45</t>
  </si>
  <si>
    <t>[SSB] 77 - Squirtle.bin</t>
  </si>
  <si>
    <t>19070000-03840002</t>
  </si>
  <si>
    <t>Head:0414A25A295E80</t>
  </si>
  <si>
    <t>CRC32:05E4EE38</t>
  </si>
  <si>
    <t>The Legend of Zelda\The Legend of Zelda Link's Awakening</t>
    <phoneticPr fontId="1" type="noConversion"/>
  </si>
  <si>
    <t>01000000-03990902</t>
    <phoneticPr fontId="1" type="noConversion"/>
  </si>
  <si>
    <t>CRC32:5F5B8163</t>
    <phoneticPr fontId="1" type="noConversion"/>
  </si>
  <si>
    <t>[SSB] 78 - Simon.bin</t>
  </si>
  <si>
    <t>37C00000-038B0002</t>
  </si>
  <si>
    <t>Head:047AAD92DA6480</t>
  </si>
  <si>
    <t>CRC32:300240A4</t>
  </si>
  <si>
    <t>[SSB] 79 - Incineroar.bin</t>
  </si>
  <si>
    <t>1BD70000-03860002</t>
  </si>
  <si>
    <t>Head:041AD02A146581</t>
  </si>
  <si>
    <t>CRC32:5930A852</t>
  </si>
  <si>
    <t>[SSB] 80 - Chrom.bin</t>
  </si>
  <si>
    <t>21080000-03880002</t>
  </si>
  <si>
    <t>Head:04A5EC2AAC6580</t>
  </si>
  <si>
    <t>CRC32:CFA947F2</t>
  </si>
  <si>
    <t>[SN] 02 - Plague Knight.bin</t>
  </si>
  <si>
    <t>35C10000-036C0A02</t>
  </si>
  <si>
    <t>Head:041BB1C2E84C80</t>
  </si>
  <si>
    <t>CRC32:D631CD52</t>
  </si>
  <si>
    <t>[SN] 03 - Specter Knight.bin</t>
  </si>
  <si>
    <t>35C20000-036D0A02</t>
  </si>
  <si>
    <t>Head:045DA122EA4C81</t>
  </si>
  <si>
    <t>CRC32:E78BACA3</t>
  </si>
  <si>
    <t>[SN] 04 - King Knight.bin</t>
  </si>
  <si>
    <t>35C30000-036E0A02</t>
  </si>
  <si>
    <t>Head:04434DC2E94C81</t>
  </si>
  <si>
    <t>CRC32:2DA3DC18</t>
  </si>
  <si>
    <t>[SN] 05 - Shovel Knight (Gold Edition).bin</t>
  </si>
  <si>
    <t>35C00000-03920A02</t>
  </si>
  <si>
    <t>Head:04E1003AB75D84</t>
  </si>
  <si>
    <t>CRC32:C623062A</t>
  </si>
  <si>
    <t>Jikkyou Powerful Pro Baseball</t>
  </si>
  <si>
    <t>[JPPB] 01 - Pawapuro.bin</t>
  </si>
  <si>
    <t>38000001-03931702</t>
  </si>
  <si>
    <t>Head:042367B2BA5D80</t>
  </si>
  <si>
    <t>CRC32:364E5729</t>
  </si>
  <si>
    <t>[JPPB] 02 - Ikari.bin</t>
  </si>
  <si>
    <t>38010001-03941702</t>
  </si>
  <si>
    <t>Head:040886B2BA5D80</t>
  </si>
  <si>
    <t>CRC32:C191D44D</t>
  </si>
  <si>
    <t>[JPPB] 03 - Yabe.bin</t>
  </si>
  <si>
    <t>38040001-03971702</t>
  </si>
  <si>
    <t>Head:044E69B2BA5D80</t>
  </si>
  <si>
    <t>CRC32:5430E840</t>
  </si>
  <si>
    <t>[JPPB] 04 - Hayakawa.bin</t>
  </si>
  <si>
    <t>38030001-03961702</t>
  </si>
  <si>
    <t>Head:045F70B2BA5D80</t>
  </si>
  <si>
    <t>CRC32:0B832EB3</t>
  </si>
  <si>
    <t>[JPPB] 05 - Ganda.bin</t>
  </si>
  <si>
    <t>38050001-03981702</t>
  </si>
  <si>
    <t>Head:045E70B2BA5D81</t>
  </si>
  <si>
    <t>CRC32:66D0BEF6</t>
  </si>
  <si>
    <t>[JPPB] 06 - Daijobu.bin</t>
  </si>
  <si>
    <t>38020001-03951702</t>
  </si>
  <si>
    <t>Head:04F86FB2BA5D80</t>
  </si>
  <si>
    <t>CRC32:1D5BFDDE</t>
  </si>
  <si>
    <t>Jikkyou Powerful Pro Baseball</t>
    <phoneticPr fontId="1" type="noConversion"/>
  </si>
  <si>
    <t>[SSB] 81 - Dark Samus.bin</t>
  </si>
  <si>
    <t>05C30000-03800002</t>
  </si>
  <si>
    <t>Head:04A63F4A206680</t>
  </si>
  <si>
    <t>CRC32:BD79FF89</t>
  </si>
  <si>
    <t>[SSB] 82 - Richter.bin</t>
  </si>
  <si>
    <t>37C10000-038C0002</t>
  </si>
  <si>
    <t>Head:04829932D96480</t>
  </si>
  <si>
    <t>CRC32:A08140D5</t>
  </si>
  <si>
    <t>[SSB] 83 - Joker.bin</t>
  </si>
  <si>
    <t>3A000000-03A10002</t>
  </si>
  <si>
    <t>Head:0425408A666781</t>
  </si>
  <si>
    <t>CRC32:3A14C3D0</t>
  </si>
  <si>
    <t>[SSB] 84 - Hero.bin</t>
  </si>
  <si>
    <t>36400000-03A20002</t>
  </si>
  <si>
    <t>Head:0493B26AAC6580</t>
  </si>
  <si>
    <t>CRC32:CD47632E</t>
  </si>
  <si>
    <t>[SM] 21 - Cat Mario.bin</t>
  </si>
  <si>
    <t>00000300-03A60102</t>
  </si>
  <si>
    <t>Head:04418112FB6B80</t>
  </si>
  <si>
    <t>CRC32:603EFD8E</t>
  </si>
  <si>
    <t>[SM] 22 - Cat Peach.bin</t>
  </si>
  <si>
    <t>00020100-03A70102</t>
  </si>
  <si>
    <t>Head:0410F6EAFA6B81</t>
  </si>
  <si>
    <t>CRC32:4617BBF3</t>
  </si>
  <si>
    <t>[SSB] 85 - Banjo &amp; Kazooie.bin</t>
  </si>
  <si>
    <t>3B400000-03A30002</t>
  </si>
  <si>
    <t>Head:04B60C32FB6B84</t>
  </si>
  <si>
    <t>CRC32:3DD9E8E8</t>
  </si>
  <si>
    <t>[SSB] 86 - Terry.bin</t>
  </si>
  <si>
    <t>3C800000-03A40002</t>
  </si>
  <si>
    <t>Head:040A003AFB6B85</t>
  </si>
  <si>
    <t>CRC32:41DF596B</t>
  </si>
  <si>
    <t>[SSB] 87 - Byleth.bin</t>
  </si>
  <si>
    <t>210B0000-03A50002</t>
  </si>
  <si>
    <t>Head:04EEB022256980</t>
  </si>
  <si>
    <t>CRC32:373799AD</t>
  </si>
  <si>
    <t>[MHR] 01 - Palamute.bin</t>
  </si>
  <si>
    <t>350A0000-04111802</t>
  </si>
  <si>
    <t>Head:0422FAAA046C81</t>
  </si>
  <si>
    <t>CRC32:16425CCF</t>
  </si>
  <si>
    <t>[MHR] 02 - Magnamalo.bin</t>
  </si>
  <si>
    <t>35080000-040F1802</t>
  </si>
  <si>
    <t>Head:043E3782FB6B81</t>
  </si>
  <si>
    <t>CRC32:AEB3F47B</t>
  </si>
  <si>
    <t>[MHR] 03 - Palico.bin</t>
  </si>
  <si>
    <t>35090000-04101802</t>
  </si>
  <si>
    <t>Head:041A1A72FB6B81</t>
  </si>
  <si>
    <t>CRC32:CA4A2C33</t>
  </si>
  <si>
    <t>Monster Hunter Rise</t>
  </si>
  <si>
    <t>[MHR] 03 - Palico.bin</t>
    <phoneticPr fontId="1" type="noConversion"/>
  </si>
  <si>
    <t>[SNW] 01 - Mario Power-Up Band.bin</t>
  </si>
  <si>
    <t>00000003-039BFF02</t>
  </si>
  <si>
    <t>Head:04751C569E4926</t>
  </si>
  <si>
    <t>CRC32:2DB8A0DE</t>
  </si>
  <si>
    <t>[SNW] 02 - Luigi Power-Up Band.bin</t>
  </si>
  <si>
    <t>00010003-039CFF02</t>
  </si>
  <si>
    <t>Head:04C2BC5534D772</t>
  </si>
  <si>
    <t>CRC32:FE4EEEB0</t>
  </si>
  <si>
    <t>[SNW] 03 - Peach Power-Up Band.bin</t>
  </si>
  <si>
    <t>00020003-039DFF02</t>
  </si>
  <si>
    <t>Head:0491BCDEE03EE6</t>
  </si>
  <si>
    <t>CRC32:4FA5711D</t>
  </si>
  <si>
    <t>[SNW] 04 - Daisy Power-Up Band.bin</t>
  </si>
  <si>
    <t>00130003-039EFF02</t>
  </si>
  <si>
    <t>Head:040A86B61D40F5</t>
  </si>
  <si>
    <t>CRC32:6208E982</t>
  </si>
  <si>
    <t>[SNW] 05 - Toad Power-Up Band.bin</t>
  </si>
  <si>
    <t>000A0003-03A0FF02</t>
  </si>
  <si>
    <t>Head:0436CF2528E861</t>
  </si>
  <si>
    <t>CRC32:1E27EE8C</t>
  </si>
  <si>
    <t>[SNW] 06 - Yoshi Power-Up Band.bin</t>
  </si>
  <si>
    <t>00030003-039FFF02</t>
  </si>
  <si>
    <t>Head:04C162FB380924</t>
  </si>
  <si>
    <t>CRC32:8B2E9D85</t>
  </si>
  <si>
    <t>Mario\Super Nintendo World Power-Up Bands</t>
  </si>
  <si>
    <t>Mario\Super Nintendo World Power-Up Bands</t>
    <phoneticPr fontId="1" type="noConversion"/>
  </si>
  <si>
    <t>[MHS] 07 - Ena.bin</t>
  </si>
  <si>
    <t>35060000-040D0F02</t>
  </si>
  <si>
    <t>Head:04893EAA046C80</t>
  </si>
  <si>
    <t>CRC32:17500878</t>
  </si>
  <si>
    <t>[MHS] 08 - Razewing Ratha.bin</t>
  </si>
  <si>
    <t>35050000-040C0F02</t>
  </si>
  <si>
    <t>Head:0416A8AA046C80</t>
  </si>
  <si>
    <t>CRC32:311A58BA</t>
  </si>
  <si>
    <t>[MHS] 09 - Tsukino.bin</t>
  </si>
  <si>
    <t>35070000-040E0F02</t>
  </si>
  <si>
    <t>Head:0484A46AFB6B81</t>
  </si>
  <si>
    <t>CRC32:5E6D6C69</t>
  </si>
  <si>
    <t>The Legend of Zelda\The Legend of Zelda Skyward Sword</t>
  </si>
  <si>
    <t>[ZSS] 01 - Zelda &amp; Loftwing.bin</t>
  </si>
  <si>
    <t>01010300-04140902</t>
  </si>
  <si>
    <t>Head:048AA4E2516C80</t>
  </si>
  <si>
    <t>CRC32:8E6A1D33</t>
  </si>
  <si>
    <t>[MET] 03 - Samus (Metroid Dread).bin</t>
  </si>
  <si>
    <t>05C00000-04121302</t>
  </si>
  <si>
    <t>Head:0411FECA526C81</t>
  </si>
  <si>
    <t>CRC32:689781E1</t>
  </si>
  <si>
    <t>[MET] 04 - E.M.M.I..bin</t>
  </si>
  <si>
    <t>05C40000-04131302</t>
  </si>
  <si>
    <t>Head:04FC82CA526C80</t>
  </si>
  <si>
    <t>CRC32:131EE656</t>
  </si>
  <si>
    <t>Yu-Gi-Oh!</t>
  </si>
  <si>
    <t>[YU-GI-OH] Asana Mutsuba.bin</t>
  </si>
  <si>
    <t>38460001-042A1902</t>
  </si>
  <si>
    <t>Head:04D5AC321E6F80</t>
  </si>
  <si>
    <t>CRC32:D63B9277</t>
  </si>
  <si>
    <t>[YU-GI-OH] Gakuto Sōgetsu.bin</t>
  </si>
  <si>
    <t>38420001-04261902</t>
  </si>
  <si>
    <t>Head:04DB95321E6F80</t>
  </si>
  <si>
    <t>CRC32:DBA50FB8</t>
  </si>
  <si>
    <t>[YU-GI-OH] Nail Saionji.bin</t>
  </si>
  <si>
    <t>38450001-04291902</t>
  </si>
  <si>
    <t>Head:0428CB321E6F80</t>
  </si>
  <si>
    <t>CRC32:4FD0FA58</t>
  </si>
  <si>
    <t>[YU-GI-OH] Roa Kirishima.bin</t>
  </si>
  <si>
    <t>38440001-04281902</t>
  </si>
  <si>
    <t>Head:04EE83321E6F80</t>
  </si>
  <si>
    <t>CRC32:5755CEE2</t>
  </si>
  <si>
    <t>[YU-GI-OH] Romin Kirishima.bin</t>
  </si>
  <si>
    <t>38430001-04271902</t>
  </si>
  <si>
    <t>Head:0494DC92B67280</t>
  </si>
  <si>
    <t>CRC32:7781CD5F</t>
  </si>
  <si>
    <t>[YU-GI-OH] Tatsuhisa “Luke” Kamijō.bin</t>
  </si>
  <si>
    <t>38410001-04251902</t>
  </si>
  <si>
    <t>Head:04507E321E6F81</t>
  </si>
  <si>
    <t>CRC32:49E68A86</t>
  </si>
  <si>
    <t>[YU-GI-OH] Yuga Oudou.bin</t>
  </si>
  <si>
    <t>38400001-04241902</t>
  </si>
  <si>
    <t>Head:046D47026F6F81</t>
  </si>
  <si>
    <t>CRC32:7BDE7C73</t>
  </si>
  <si>
    <t>Animal Crossing\Cards\Series 5</t>
  </si>
  <si>
    <t>[AC] 401 - Tom Nook.bin</t>
  </si>
  <si>
    <t>01830201-03A80502</t>
  </si>
  <si>
    <t>Head:043765F26A7381</t>
  </si>
  <si>
    <t>CRC32:3C4EDCE8</t>
  </si>
  <si>
    <t>[AC] 402 - Timmy and Tommy.bin</t>
  </si>
  <si>
    <t>01840501-03A90502</t>
  </si>
  <si>
    <t>Head:04F61342FC7380</t>
  </si>
  <si>
    <t>CRC32:5E9A3F5E</t>
  </si>
  <si>
    <t>[AC] 403 - Isabelle.bin</t>
  </si>
  <si>
    <t>01810401-03AA0502</t>
  </si>
  <si>
    <t>Head:046CBCA26F7381</t>
  </si>
  <si>
    <t>CRC32:CE364870</t>
  </si>
  <si>
    <t>[AC] 404 - Orville.bin</t>
  </si>
  <si>
    <t>0A000001-03AB0502</t>
  </si>
  <si>
    <t>Head:04B9BD5ABA7280</t>
  </si>
  <si>
    <t>CRC32:4C84A3E6</t>
  </si>
  <si>
    <t>[AC] 405 - Wilbur.bin</t>
  </si>
  <si>
    <t>0A010001-03AC0502</t>
  </si>
  <si>
    <t>Head:045A2F6A037380</t>
  </si>
  <si>
    <t>CRC32:09639310</t>
  </si>
  <si>
    <t>[AC] 406 - Blathers.bin</t>
  </si>
  <si>
    <t>01920001-03AD0502</t>
  </si>
  <si>
    <t>Head:047F6112217381</t>
  </si>
  <si>
    <t>CRC32:1FA0C02A</t>
  </si>
  <si>
    <t>[AC] 407 - Celeste.bin</t>
  </si>
  <si>
    <t>01930001-03AE0502</t>
  </si>
  <si>
    <t>Head:0412B6B26F7381</t>
  </si>
  <si>
    <t>CRC32:A5C22981</t>
  </si>
  <si>
    <t>[AC] 408 - Mabel.bin</t>
  </si>
  <si>
    <t>01880001-03AF0502</t>
  </si>
  <si>
    <t>Head:0436CEDA6A7380</t>
  </si>
  <si>
    <t>CRC32:BA6DE755</t>
  </si>
  <si>
    <t>[AC] 409 - Sable.bin</t>
  </si>
  <si>
    <t>01870001-03B00502</t>
  </si>
  <si>
    <t>Head:048D9BA26F7380</t>
  </si>
  <si>
    <t>CRC32:8798D66A</t>
  </si>
  <si>
    <t>[AC] 410 - Label.bin</t>
  </si>
  <si>
    <t>01890101-03B10502</t>
  </si>
  <si>
    <t>Head:04A75032EE7280</t>
  </si>
  <si>
    <t>CRC32:5BA10889</t>
  </si>
  <si>
    <t>[AC] 411 - K.K. Slider.bin</t>
  </si>
  <si>
    <t>01820001-03B20502</t>
  </si>
  <si>
    <t>Head:04D87412217380</t>
  </si>
  <si>
    <t>CRC32:CB1D8924</t>
  </si>
  <si>
    <t>[AC] 412 - C.J..bin</t>
  </si>
  <si>
    <t>0A020001-03B30502</t>
  </si>
  <si>
    <t>Head:045AF06A037380</t>
  </si>
  <si>
    <t>CRC32:78EA423B</t>
  </si>
  <si>
    <t>[AC] 413 - Flick.bin</t>
  </si>
  <si>
    <t>0A030001-03B40502</t>
  </si>
  <si>
    <t>Head:044F2A826F7380</t>
  </si>
  <si>
    <t>CRC32:8FDFF40B</t>
  </si>
  <si>
    <t>[AC] 414 - Daisy Mae.bin</t>
  </si>
  <si>
    <t>0A040001-03B50502</t>
  </si>
  <si>
    <t>Head:0406696A037381</t>
  </si>
  <si>
    <t>CRC32:63E1C58D</t>
  </si>
  <si>
    <t>[AC] 415 - Kicks.bin</t>
  </si>
  <si>
    <t>01940001-03B60502</t>
  </si>
  <si>
    <t>Head:04D122B26F7380</t>
  </si>
  <si>
    <t>CRC32:A92CA771</t>
  </si>
  <si>
    <t>[AC] 416 - Saharah.bin</t>
  </si>
  <si>
    <t>01A60001-03B70502</t>
  </si>
  <si>
    <t>Head:048B7D6A037380</t>
  </si>
  <si>
    <t>CRC32:AD0B8AF9</t>
  </si>
  <si>
    <t>[AC] 417 - Harvey.bin</t>
  </si>
  <si>
    <t>0A050001-03B80502</t>
  </si>
  <si>
    <t>Head:04D222B26F7380</t>
  </si>
  <si>
    <t>CRC32:E22B0A70</t>
  </si>
  <si>
    <t>[AC] 418 - Gulliver.bin</t>
  </si>
  <si>
    <t>01A20001-03B90502</t>
  </si>
  <si>
    <t>Head:04BCAD8A6F7380</t>
  </si>
  <si>
    <t>CRC32:B50C6373</t>
  </si>
  <si>
    <t>[AC] 419 - Wisp.bin</t>
  </si>
  <si>
    <t>0A060001-03BA0502</t>
  </si>
  <si>
    <t>Head:041DC7926F7380</t>
  </si>
  <si>
    <t>CRC32:E03DC888</t>
  </si>
  <si>
    <t>[AC] 420 - Lottie.bin</t>
  </si>
  <si>
    <t>01C10201-03BB0502</t>
  </si>
  <si>
    <t>Head:04EA8F826F7380</t>
  </si>
  <si>
    <t>CRC32:8D415FB5</t>
  </si>
  <si>
    <t>[AC] 421 - Niko.bin</t>
  </si>
  <si>
    <t>0A070001-03BC0502</t>
  </si>
  <si>
    <t>Head:048665DA6A7381</t>
  </si>
  <si>
    <t>CRC32:300545AB</t>
  </si>
  <si>
    <t>[AC] 422 - Wardell.bin</t>
  </si>
  <si>
    <t>0A080001-03BD0502</t>
  </si>
  <si>
    <t>Head:04FD163AFC7380</t>
  </si>
  <si>
    <t>CRC32:4EC58275</t>
  </si>
  <si>
    <t>[AC] 423 - Tom Nook (Coat).bin</t>
  </si>
  <si>
    <t>01830301-03BE0502</t>
  </si>
  <si>
    <t>Head:0411B6B26F7381</t>
  </si>
  <si>
    <t>CRC32:ED4599F1</t>
  </si>
  <si>
    <t>[AC] 424 - Isabelle (Sweater).bin</t>
  </si>
  <si>
    <t>01810501-03BF0502</t>
  </si>
  <si>
    <t>Head:04474F0A217381</t>
  </si>
  <si>
    <t>CRC32:33BE5A51</t>
  </si>
  <si>
    <t>[AC] 425 - Sherb.bin</t>
  </si>
  <si>
    <t>0A090001-03C00502</t>
  </si>
  <si>
    <t>Head:0482BEC26F7380</t>
  </si>
  <si>
    <t>CRC32:746861E6</t>
  </si>
  <si>
    <t>[AC] 426 - Megan.bin</t>
  </si>
  <si>
    <t>0A0A0001-03C10502</t>
  </si>
  <si>
    <t>Head:047593E26F7381</t>
  </si>
  <si>
    <t>CRC32:C1F88261</t>
  </si>
  <si>
    <t>[AC] 427 - Dom.bin</t>
  </si>
  <si>
    <t>0A0B0001-03C20502</t>
  </si>
  <si>
    <t>Head:0497D162E97380</t>
  </si>
  <si>
    <t>CRC32:BE7F33CD</t>
  </si>
  <si>
    <t>[AC] 428 - Audie .bin</t>
  </si>
  <si>
    <t>0A0C0001-03C30502</t>
  </si>
  <si>
    <t>Head:0465E96AE97380</t>
  </si>
  <si>
    <t>CRC32:26A6AC67</t>
  </si>
  <si>
    <t>[AC] 429 - Cyd.bin</t>
  </si>
  <si>
    <t>0A0D0001-03C40502</t>
  </si>
  <si>
    <t>Head:048C82FA6F7380</t>
  </si>
  <si>
    <t>CRC32:9E6E0BCC</t>
  </si>
  <si>
    <t>[AC] 430 - Judy .bin</t>
  </si>
  <si>
    <t>0A0E0001-03C50502</t>
  </si>
  <si>
    <t>Head:04CCA1A2E97380</t>
  </si>
  <si>
    <t>CRC32:B97D2995</t>
  </si>
  <si>
    <t>[AC] 431 - Raymond.bin</t>
  </si>
  <si>
    <t>0A0F0001-03C60502</t>
  </si>
  <si>
    <t>Head:04BB8DE26F7380</t>
  </si>
  <si>
    <t>CRC32:E6C9363A</t>
  </si>
  <si>
    <t>[AC] 432 - Reneigh.bin</t>
  </si>
  <si>
    <t>0A100001-03C70502</t>
  </si>
  <si>
    <t>Head:046B2B7AE97380</t>
  </si>
  <si>
    <t>CRC32:C90AF62B</t>
  </si>
  <si>
    <t>[AC] 433 - Sasha.bin</t>
  </si>
  <si>
    <t>0A110001-03C80502</t>
  </si>
  <si>
    <t>Head:047B6EA2E97380</t>
  </si>
  <si>
    <t>CRC32:9C7ACFFB</t>
  </si>
  <si>
    <t>[AC] 434 - Ione.bin</t>
  </si>
  <si>
    <t>0A120001-03C90502</t>
  </si>
  <si>
    <t>Head:0469B7A2E97381</t>
  </si>
  <si>
    <t>CRC32:24FAA84C</t>
  </si>
  <si>
    <t>[AC] 435 - Tiansheng.bin</t>
  </si>
  <si>
    <t>0A130001-03CA0502</t>
  </si>
  <si>
    <t>Head:045A2B7AE97380</t>
  </si>
  <si>
    <t>CRC32:DF9B5E9E</t>
  </si>
  <si>
    <t>[AC] 436 - Shino.bin</t>
  </si>
  <si>
    <t>0A140001-03CB0502</t>
  </si>
  <si>
    <t>Head:04A08FDA6F7380</t>
  </si>
  <si>
    <t>CRC32:B1F840DD</t>
  </si>
  <si>
    <t>[AC] 437 - Marlo.bin</t>
  </si>
  <si>
    <t>0A150001-03CC0502</t>
  </si>
  <si>
    <t>Head:04B3D662E97380</t>
  </si>
  <si>
    <t>CRC32:B3DADD22</t>
  </si>
  <si>
    <t>[AC] 438 - Petri.bin</t>
  </si>
  <si>
    <t>0A160001-03CD0502</t>
  </si>
  <si>
    <t>Head:045D9662E97380</t>
  </si>
  <si>
    <t>CRC32:38B17628</t>
  </si>
  <si>
    <t>[AC] 439 - Cephalobot.bin</t>
  </si>
  <si>
    <t>0A170001-03CE0502</t>
  </si>
  <si>
    <t>Head:045B4182E97380</t>
  </si>
  <si>
    <t>CRC32:689DD1F6</t>
  </si>
  <si>
    <t>[AC] 440 - Quinn.bin</t>
  </si>
  <si>
    <t>0A180001-03CF0502</t>
  </si>
  <si>
    <t>Head:0466AFA2E97381</t>
  </si>
  <si>
    <t>CRC32:84C8946F</t>
  </si>
  <si>
    <t>[AC] 441 - Chabwick.bin</t>
  </si>
  <si>
    <t>0A190001-03D00502</t>
  </si>
  <si>
    <t>Head:0447F112707380</t>
  </si>
  <si>
    <t>CRC32:A3ED6FCF</t>
  </si>
  <si>
    <t>[AC] 442 - Zoe.bin</t>
  </si>
  <si>
    <t>0A1A0001-03D10502</t>
  </si>
  <si>
    <t>Head:048CFEF26F7380</t>
  </si>
  <si>
    <t>CRC32:49B8A1BA</t>
  </si>
  <si>
    <t>[AC] 443 - Ace.bin</t>
  </si>
  <si>
    <t>0A1B0001-03D20502</t>
  </si>
  <si>
    <t>Head:04F7CACA6F7380</t>
  </si>
  <si>
    <t>CRC32:DCDB62B8</t>
  </si>
  <si>
    <t>[AC] 444 - Rio.bin</t>
  </si>
  <si>
    <t>0A1C0001-03D30502</t>
  </si>
  <si>
    <t>Head:0421EAA2E97381</t>
  </si>
  <si>
    <t>CRC32:C570679D</t>
  </si>
  <si>
    <t>[AC] 445 - Frett.bin</t>
  </si>
  <si>
    <t>0A1D0001-03D40502</t>
  </si>
  <si>
    <t>Head:0492B41A707380</t>
  </si>
  <si>
    <t>CRC32:B4EA5CE3</t>
  </si>
  <si>
    <t>[AC] 446 - Azalea.bin</t>
  </si>
  <si>
    <t>0A1E0001-03D50502</t>
  </si>
  <si>
    <t>Head:046FFEE26F7380</t>
  </si>
  <si>
    <t>CRC32:195B3C93</t>
  </si>
  <si>
    <t>[AC] 447 - Roswell.bin</t>
  </si>
  <si>
    <t>0A1F0001-03D60502</t>
  </si>
  <si>
    <t>Head:0453AFA2E97381</t>
  </si>
  <si>
    <t>CRC32:2CE90F69</t>
  </si>
  <si>
    <t>[AC] 448 - Faith.bin</t>
  </si>
  <si>
    <t>0A200001-03D70502</t>
  </si>
  <si>
    <t>Head:0431EAA2E97381</t>
  </si>
  <si>
    <t>CRC32:07DC339B</t>
  </si>
  <si>
    <t>[AC] AF1 - Stitches (amiibo Festival).bin</t>
  </si>
  <si>
    <t>[AC] AF2 - Rosie (amiibo Festival).bin</t>
  </si>
  <si>
    <t>[AC] AF3 - Goldie (amiibo Festival).bin</t>
  </si>
  <si>
    <t>[AC] CP1 - Isabelle (Character Parfait).bin</t>
  </si>
  <si>
    <t>[AC] CP2 - K.K. Slider (Pikopuri).bin</t>
  </si>
  <si>
    <t>[AC] 005 - Kapp'n.bin</t>
  </si>
  <si>
    <t>[AC] 026 - Renée.bin</t>
  </si>
  <si>
    <t>[AC] 101 - K.K..bin</t>
  </si>
  <si>
    <t>[AC] 112 - Don.bin</t>
  </si>
  <si>
    <t>[AC] 113 - Isabelle (Winter).bin</t>
  </si>
  <si>
    <t>[AC] 214 - Don.bin</t>
  </si>
  <si>
    <t>[AC] 215 - Isabelle (Kimono).bin</t>
  </si>
  <si>
    <t>[AC] 301 - Isabelle (Dress).bin</t>
  </si>
  <si>
    <t>[AC] 313 - Pavé.bin</t>
  </si>
  <si>
    <t>[AC] 339 - Frita.bin</t>
  </si>
  <si>
    <t>[AC] 402 - Timmy &amp; Tommy.bin</t>
  </si>
  <si>
    <t>[AC] 411 - K.K..bin</t>
  </si>
  <si>
    <t>[AC] 428 - Audie.bin</t>
  </si>
  <si>
    <t>[AC] 430 - Judy.bin</t>
  </si>
  <si>
    <t>[AC] 01 - Isabelle (Winter Outfit).bin</t>
  </si>
  <si>
    <t>[AC] 02 - K.K..bin</t>
  </si>
  <si>
    <t>[AC] 05 - Cyrus.bin</t>
  </si>
  <si>
    <t>BOXBOY!</t>
  </si>
  <si>
    <t>Chibi-Robo!</t>
  </si>
  <si>
    <t>[KIR] 01 - Kirby.bin</t>
  </si>
  <si>
    <t>[KIR] 02 - Meta Knight.bin</t>
  </si>
  <si>
    <t>[KIR] 03 - King Dedede.bin</t>
  </si>
  <si>
    <t>[KIR] 04 - Waddle Dee.bin</t>
  </si>
  <si>
    <t>[SNW] 07 - Gold Mario Power-Up Band.bin</t>
  </si>
  <si>
    <t>00000003-0430FF02</t>
  </si>
  <si>
    <t>Head:047C8172129000</t>
  </si>
  <si>
    <t>CRC32:0D3F9954</t>
  </si>
  <si>
    <t>[MHR] 04 - Malzeno.bin</t>
  </si>
  <si>
    <t>350B0000-042D1802</t>
  </si>
  <si>
    <t>Head:046F3B5DC6DE15</t>
  </si>
  <si>
    <t>CRC32:3E81C7BA</t>
  </si>
  <si>
    <t>[MHR] 05 - Palamute (Canyne Malzeno X).bin</t>
  </si>
  <si>
    <t>350A0100-042C1802</t>
  </si>
  <si>
    <t>Head:041CDBAB85CD55</t>
  </si>
  <si>
    <t>CRC32:23A169DE</t>
  </si>
  <si>
    <t>[MHR] 06 - Palico (Felyne Malzeno X).bin</t>
  </si>
  <si>
    <t>35090100-042B1802</t>
  </si>
  <si>
    <t>Head:040C84D9DDFAE5</t>
  </si>
  <si>
    <t>CRC32:A4819223</t>
  </si>
  <si>
    <t>[MHS] 03 - Navirou.bin</t>
  </si>
  <si>
    <t>[SPL] 01 - Inkling Boy.bin</t>
  </si>
  <si>
    <t>[SPL] 02 - Inkling Girl.bin</t>
  </si>
  <si>
    <t>[SPL] 03 - Inkling Squid.bin</t>
  </si>
  <si>
    <t>[SPL] 04 - Callie.bin</t>
  </si>
  <si>
    <t>[SPL] 05 - Marie.bin</t>
  </si>
  <si>
    <t>[SPL] 06 - Inkling Boy (Purple).bin</t>
  </si>
  <si>
    <t>[SPL] 07 - Inkling Girl (Lime Green).bin</t>
  </si>
  <si>
    <t>[SPL] 08 - Inkling Squid (Orange).bin</t>
  </si>
  <si>
    <t>[SPL] 09 - Inkling Boy (Neon Green).bin</t>
  </si>
  <si>
    <t>[SPL] 10 - Inkling Girl (Neon Pink).bin</t>
  </si>
  <si>
    <t>[SPL] 11 - Squid (Neon Purple).bin</t>
  </si>
  <si>
    <t>[SPL] 12 - Pearl.bin</t>
  </si>
  <si>
    <t>[SPL] 13 - Marina.bin</t>
  </si>
  <si>
    <t>[SPL] 14 - Octoling Girl.bin</t>
  </si>
  <si>
    <t>[SPL] 15 - Octoling Boy.bin</t>
  </si>
  <si>
    <t>[SPL] 16 - Octoling Octopus.bin</t>
  </si>
  <si>
    <t>[SPL] 17 - Octoling (Blue).bin</t>
  </si>
  <si>
    <t>08050200-041B0402</t>
  </si>
  <si>
    <t>Head:04CEDBBA791190</t>
  </si>
  <si>
    <t>CRC32:C4051E5E</t>
  </si>
  <si>
    <t>[SPL] 18 - Inkling (Yellow).bin</t>
  </si>
  <si>
    <t>08000100-04150402</t>
  </si>
  <si>
    <t>Head:0462B8F2791190</t>
  </si>
  <si>
    <t>CRC32:3DF28DB0</t>
  </si>
  <si>
    <t>[SPL] 19 - Smallfry.bin</t>
  </si>
  <si>
    <t>08060100-041C0402</t>
  </si>
  <si>
    <t>Head:04D28EE2791190</t>
  </si>
  <si>
    <t>CRC32:B310C0D0</t>
  </si>
  <si>
    <t>[SSB] 88 - Min Min.bin</t>
  </si>
  <si>
    <t>0A400000-041D0002</t>
  </si>
  <si>
    <t>Head:04DE7C62B67280</t>
  </si>
  <si>
    <t>CRC32:1686278D</t>
  </si>
  <si>
    <t>[SSB] 89 - Alex.bin</t>
  </si>
  <si>
    <t>3DC10000-04230002</t>
  </si>
  <si>
    <t>Head:045BFF12B67280</t>
  </si>
  <si>
    <t>CRC32:D369C6F1</t>
  </si>
  <si>
    <t>[SSB] 89 - Steve.bin</t>
  </si>
  <si>
    <t>3DC00000-04220002</t>
  </si>
  <si>
    <t>Head:04211B62B87281</t>
  </si>
  <si>
    <t>CRC32:3CBC07A9</t>
  </si>
  <si>
    <t>[SSB] 90 - Sephiroth.bin</t>
  </si>
  <si>
    <t>36010000-04210002</t>
  </si>
  <si>
    <t>Head:045B360A7A1190</t>
  </si>
  <si>
    <t>CRC32:D9FE23F0</t>
  </si>
  <si>
    <t>[SSB] 91 - Kazuya.bin</t>
  </si>
  <si>
    <t>33C00000-04200002</t>
  </si>
  <si>
    <t>Head:0453A72A7A1191</t>
  </si>
  <si>
    <t>CRC32:33549FCE</t>
  </si>
  <si>
    <t>[SSB] 92 - Mythra.bin</t>
  </si>
  <si>
    <t>22420000-041F0002</t>
  </si>
  <si>
    <t>Head:041B51C25C1291</t>
  </si>
  <si>
    <t>CRC32:939547D4</t>
  </si>
  <si>
    <t>[SSB] 92 - Pyra.bin</t>
  </si>
  <si>
    <t>22410000-041E0002</t>
  </si>
  <si>
    <t>Head:04B9D5D25C1290</t>
  </si>
  <si>
    <t>CRC32:8CD0DA69</t>
  </si>
  <si>
    <t>The Legend of Zelda\The Legend of Zelda Tears of the Kingdom</t>
  </si>
  <si>
    <t>[ZTK] 01 - Link.bin</t>
  </si>
  <si>
    <t>01000000-04180902</t>
  </si>
  <si>
    <t>Head:0468CB727C1190</t>
  </si>
  <si>
    <t>CRC32:D0C27CEF</t>
  </si>
  <si>
    <t>Yu-Gi-Oh! Rush Duel Saikyo Battle Royale</t>
  </si>
  <si>
    <t>[YGO] 01 - Yuga Oudou.bin</t>
  </si>
  <si>
    <t>[YGO] 02 - Tatsuhisa “Luke” Kamijō.bin</t>
  </si>
  <si>
    <t>[YGO] 03 - Gakuto Sōgetsu.bin</t>
  </si>
  <si>
    <t>[YGO] 04 - Romin Kirishima.bin</t>
  </si>
  <si>
    <t>[YGO] 05 - Roa Kirishima.bin</t>
  </si>
  <si>
    <t>[YGO] 06 - Nail Saionji.bin</t>
  </si>
  <si>
    <t>[YGO] 07 - Asana Mutsuba.bin</t>
  </si>
  <si>
    <t>[SNW] 08 - Donkey Kong Power-Up Band.bin</t>
  </si>
  <si>
    <t>00080003-0431FF02</t>
  </si>
  <si>
    <t>Head:04451140189000</t>
  </si>
  <si>
    <t>CRC32:5DFAA8A4</t>
  </si>
  <si>
    <t>[SNW] 09 - Diddy Kong Power-Up Band.bin</t>
  </si>
  <si>
    <t>00090003-0432FF02</t>
  </si>
  <si>
    <t>Head:04A9579F139000</t>
  </si>
  <si>
    <t>CRC32:93BC9B37</t>
  </si>
  <si>
    <t>[SPL] 20 - Shiver.bin</t>
  </si>
  <si>
    <t>08070000-04330402</t>
  </si>
  <si>
    <t>Head:040A03BA691295</t>
  </si>
  <si>
    <t>CRC32:1B69DD4D</t>
  </si>
  <si>
    <t>[SPL] 21 - Frye.bin</t>
  </si>
  <si>
    <t>08080000-04340402</t>
  </si>
  <si>
    <t>Head:04C9D2B2691290</t>
  </si>
  <si>
    <t>CRC32:F778724D</t>
  </si>
  <si>
    <t>[SPL] 22 - Big Man.bin</t>
  </si>
  <si>
    <t>08090000-04350402</t>
  </si>
  <si>
    <t>Head:041359D2691291</t>
  </si>
  <si>
    <t>CRC32:3FEDFDCF</t>
  </si>
  <si>
    <t>[SPL] 23 - Pearl (Side Order).bin</t>
  </si>
  <si>
    <t>08030000-04380402</t>
  </si>
  <si>
    <t>Head:0461E02A681590</t>
  </si>
  <si>
    <t>CRC32:094B8EEC</t>
  </si>
  <si>
    <t>[SPL] 24 - Marina (Side Order).bin</t>
  </si>
  <si>
    <t>08040000-04390402</t>
  </si>
  <si>
    <t>Head:04035D2A681591</t>
  </si>
  <si>
    <t>CRC32:091015E5</t>
  </si>
  <si>
    <t>[SPL] 25 - Marie (Alterna).bin</t>
  </si>
  <si>
    <t>08020000-04370402</t>
  </si>
  <si>
    <t>Head:0401DCCA691591</t>
  </si>
  <si>
    <t>CRC32:596C79CD</t>
  </si>
  <si>
    <t>[SPL] 26 - Callie (Alterna).bin</t>
  </si>
  <si>
    <t>08010000-04360402</t>
  </si>
  <si>
    <t>Head:0466C61A6A1591</t>
  </si>
  <si>
    <t>CRC32:9FEE2604</t>
  </si>
  <si>
    <t>3F000000-042E0002</t>
  </si>
  <si>
    <t>Head:042F98AA691290</t>
  </si>
  <si>
    <t>CRC32:34286987</t>
  </si>
  <si>
    <t>[ZTK] 02 - Zelda.bin</t>
  </si>
  <si>
    <t>01010000-04190902</t>
  </si>
  <si>
    <t>Head:041E930A551291</t>
  </si>
  <si>
    <t>CRC32:D19B70BB</t>
  </si>
  <si>
    <t>[ZTK] 03 - Ganondorf.bin</t>
  </si>
  <si>
    <t>01020100-041A0902</t>
  </si>
  <si>
    <t>Head:0453C29A5E1290</t>
  </si>
  <si>
    <t>CRC32:E3B25024</t>
  </si>
  <si>
    <t>Xenoblade Chronicles 3</t>
  </si>
  <si>
    <t>[XBC] 01 - Noah.bin</t>
  </si>
  <si>
    <t>22430000-043D1B02</t>
  </si>
  <si>
    <t>Head:04329B4A551291</t>
  </si>
  <si>
    <t>CRC32:C501DC11</t>
  </si>
  <si>
    <t>[XBC] 02 - Mio.bin</t>
  </si>
  <si>
    <t>22440000-043E1B02</t>
  </si>
  <si>
    <t>Head:0444285A551291</t>
  </si>
  <si>
    <t>CRC32:75DB7EEA</t>
  </si>
  <si>
    <t>[SSB] 93 - Sora.bin</t>
  </si>
  <si>
    <t>[KAR] 01 - Kirby &amp; Warp Star.bin</t>
  </si>
  <si>
    <t>1F000000-04C41E03</t>
  </si>
  <si>
    <t>Head:04B443DB1F9000</t>
  </si>
  <si>
    <t>CRC32:40762971</t>
  </si>
  <si>
    <t>[KAR] 02 - Bandana Waddle Dee &amp; Winged Star.bin</t>
  </si>
  <si>
    <t>1F030100-04C91E03</t>
  </si>
  <si>
    <t>Head:042A35AB1F9000</t>
  </si>
  <si>
    <t>CRC32:EC89F407</t>
  </si>
  <si>
    <t>Mario\Donkey Kong Bananza</t>
  </si>
  <si>
    <t>[DK] 01 - Donkey Kong and Pauline.bin</t>
  </si>
  <si>
    <t>00080100-042F1A02</t>
  </si>
  <si>
    <t>Head:04F99312071990</t>
  </si>
  <si>
    <t>CRC32:966579F7</t>
  </si>
  <si>
    <t>Mario\My Mario Wooden Blocks</t>
  </si>
  <si>
    <t>[MMB] 01 - Mario.bin</t>
  </si>
  <si>
    <t>00000004-043F1C02</t>
  </si>
  <si>
    <t>Head:04B16AD26F1490</t>
  </si>
  <si>
    <t>CRC32:7FCB87B7</t>
  </si>
  <si>
    <t>[MMB] 02 - Luigi.bin</t>
  </si>
  <si>
    <t>00010004-04401C02</t>
  </si>
  <si>
    <t>Head:04C3E1CA1D1C90</t>
  </si>
  <si>
    <t>CRC32:3B653285</t>
  </si>
  <si>
    <t>[MMB] 03 - Peach.bin</t>
  </si>
  <si>
    <t>00020004-04411C02</t>
  </si>
  <si>
    <t>Head:04EB4BD21D1C90</t>
  </si>
  <si>
    <t>CRC32:DCF6F696</t>
  </si>
  <si>
    <t>[MMB] 04 - Yoshi.bin</t>
  </si>
  <si>
    <t>00030004-04421C02</t>
  </si>
  <si>
    <t>Head:046F49D26F1490</t>
  </si>
  <si>
    <t>CRC32:A57433F8</t>
  </si>
  <si>
    <t>Head:049568136F6180</t>
  </si>
  <si>
    <t>CRC32:955B8DA2</t>
  </si>
  <si>
    <t>Head:04E660245F6180</t>
  </si>
  <si>
    <t>CRC32:F5B1EF81</t>
  </si>
  <si>
    <t>Head:044EFD126F6180</t>
  </si>
  <si>
    <t>CRC32:EF3616D6</t>
  </si>
  <si>
    <t>Metroid\Metroid Prime 4 - Beyond</t>
  </si>
  <si>
    <t>[MP4] 01 - Samus.bin</t>
  </si>
  <si>
    <t>05C00000-043B1302</t>
  </si>
  <si>
    <t>Head:040A563A871991</t>
  </si>
  <si>
    <t>CRC32:8C9D9D29</t>
  </si>
  <si>
    <t>[MP4] 02 - Samus &amp; Vi-O-La.bin</t>
  </si>
  <si>
    <t>05C00000-043A1302</t>
  </si>
  <si>
    <t>Head:045B4D3A871990</t>
  </si>
  <si>
    <t>CRC32:014E2D64</t>
  </si>
  <si>
    <t>[MP4] 03 - Sylux.bin</t>
  </si>
  <si>
    <t>05C50000-043C1302</t>
  </si>
  <si>
    <t>Head:04E30C0A071994</t>
  </si>
  <si>
    <t>CRC32:5B647D5C</t>
  </si>
  <si>
    <t>Street Fighter\Cards</t>
  </si>
  <si>
    <t>[SF6] 01 - Luke.bin</t>
  </si>
  <si>
    <t>34C20001-04AB1D02</t>
  </si>
  <si>
    <t>Head:04E84C32991C90</t>
  </si>
  <si>
    <t>CRC32:5E87D065</t>
  </si>
  <si>
    <t>[SF6] 02 - Jamie.bin</t>
  </si>
  <si>
    <t>34C30001-04AD1D02</t>
  </si>
  <si>
    <t>Head:04EB084A991C94</t>
  </si>
  <si>
    <t>CRC32:A89AF052</t>
  </si>
  <si>
    <t>[SF6] 03 - Manon.bin</t>
  </si>
  <si>
    <t>34CC0001-04B71D02</t>
  </si>
  <si>
    <t>Head:04A69462991C90</t>
  </si>
  <si>
    <t>CRC32:8E232018</t>
  </si>
  <si>
    <t>[SF6] 04 - Kimberly.bin</t>
  </si>
  <si>
    <t>34C40001-04AF1D02</t>
  </si>
  <si>
    <t>Head:047EC062991C90</t>
  </si>
  <si>
    <t>CRC32:AEC59BA1</t>
  </si>
  <si>
    <t>[SF6] 05 - Marisa.bin</t>
  </si>
  <si>
    <t>34CD0001-04B81D02</t>
  </si>
  <si>
    <t>Head:04315B62991C90</t>
  </si>
  <si>
    <t>CRC32:59B2D027</t>
  </si>
  <si>
    <t>[SF6] 06 - Lily.bin</t>
  </si>
  <si>
    <t>34D00001-04BB1D02</t>
  </si>
  <si>
    <t>Head:0431C47A991C91</t>
  </si>
  <si>
    <t>CRC32:2834952F</t>
  </si>
  <si>
    <t>[SF6] 07 - JP.bin</t>
  </si>
  <si>
    <t>34CE0001-04B91D02</t>
  </si>
  <si>
    <t>Head:0484B27A991C91</t>
  </si>
  <si>
    <t>CRC32:48ACBB61</t>
  </si>
  <si>
    <t>[SF6] 08 - Juri.bin</t>
  </si>
  <si>
    <t>34C70001-04B21D02</t>
  </si>
  <si>
    <t>Head:04344B82991C90</t>
  </si>
  <si>
    <t>CRC32:100545F9</t>
  </si>
  <si>
    <t>[SF6] 09 - Dee Jay.bin</t>
  </si>
  <si>
    <t>34CB0001-04B61D02</t>
  </si>
  <si>
    <t>Head:044A9982991C90</t>
  </si>
  <si>
    <t>CRC32:30D17065</t>
  </si>
  <si>
    <t>[SF6] 10 - Cammy.bin</t>
  </si>
  <si>
    <t>34D10001-04BC1D02</t>
  </si>
  <si>
    <t>Head:04B14162991C90</t>
  </si>
  <si>
    <t>CRC32:A085FD39</t>
  </si>
  <si>
    <t>[SF6] 11 - Ryu.bin</t>
  </si>
  <si>
    <t>34C00001-04A81D02</t>
  </si>
  <si>
    <t>Head:046CC162991C90</t>
  </si>
  <si>
    <t>CRC32:74D6F723</t>
  </si>
  <si>
    <t>[SF6] 12 - E.Honda.bin</t>
  </si>
  <si>
    <t>34CA0001-04B51D02</t>
  </si>
  <si>
    <t>Head:04C2F67A991C90</t>
  </si>
  <si>
    <t>CRC32:3E0B87C5</t>
  </si>
  <si>
    <t>[SF6] 13 - Blanka.bin</t>
  </si>
  <si>
    <t>34C80001-04B31D02</t>
  </si>
  <si>
    <t>Head:04228D7A991C91</t>
  </si>
  <si>
    <t>CRC32:FD32ED35</t>
  </si>
  <si>
    <t>[SF6] 14 - Guile.bin</t>
  </si>
  <si>
    <t>34C60001-04B11D02</t>
  </si>
  <si>
    <t>Head:049EF17A991C90</t>
  </si>
  <si>
    <t>CRC32:AA85BD73</t>
  </si>
  <si>
    <t>[SF6] 15 - Ken.bin</t>
  </si>
  <si>
    <t>34C10001-04A91D02</t>
  </si>
  <si>
    <t>Head:0412DE7A991C91</t>
  </si>
  <si>
    <t>CRC32:9812308E</t>
  </si>
  <si>
    <t>[SF6] 16 - Chun-Li.bin</t>
  </si>
  <si>
    <t>34C50001-04B01D02</t>
  </si>
  <si>
    <t>Head:0407F67A991C91</t>
  </si>
  <si>
    <t>CRC32:1E79E43C</t>
  </si>
  <si>
    <t>[SF6] 17 - Zangief.bin</t>
  </si>
  <si>
    <t>34CF0001-04BA1D02</t>
  </si>
  <si>
    <t>Head:0455B732991C91</t>
  </si>
  <si>
    <t>CRC32:1269499A</t>
  </si>
  <si>
    <t>[SF6] 18 - Dhalsim.bin</t>
  </si>
  <si>
    <t>34C90001-04B41D02</t>
  </si>
  <si>
    <t>Head:0456867A991C90</t>
  </si>
  <si>
    <t>CRC32:E3C17F25</t>
  </si>
  <si>
    <t>[SF6] 19 - Rashid.bin</t>
  </si>
  <si>
    <t>34D20001-04BD1D02</t>
  </si>
  <si>
    <t>Head:04324F62991C91</t>
  </si>
  <si>
    <t>CRC32:1E7C2864</t>
  </si>
  <si>
    <t>[SF6] 20 - A.K.I.bin</t>
  </si>
  <si>
    <t>34D30001-04BE1D02</t>
  </si>
  <si>
    <t>Head:04E31162991C90</t>
  </si>
  <si>
    <t>CRC32:EF0F747A</t>
  </si>
  <si>
    <t>[SF6] 21 - ED.bin</t>
  </si>
  <si>
    <t>34D40001-04BF1D02</t>
  </si>
  <si>
    <t>Head:045AA67A991C91</t>
  </si>
  <si>
    <t>CRC32:6AF484AD</t>
  </si>
  <si>
    <t>[SF6] 22 - Akuma.bin</t>
  </si>
  <si>
    <t>34D50001-04C01D02</t>
  </si>
  <si>
    <t>Head:044CA962991C90</t>
  </si>
  <si>
    <t>CRC32:505B320C</t>
  </si>
  <si>
    <t>[SF6] 23 - M.Bison.bin</t>
  </si>
  <si>
    <t>34D60001-04E11D02</t>
  </si>
  <si>
    <t>Head:045BD5EAB42091</t>
  </si>
  <si>
    <t>CRC32:F31B29A6</t>
  </si>
  <si>
    <t>[SF6] 24 - Terry.bin</t>
  </si>
  <si>
    <t>3C800001-04E81D02</t>
  </si>
  <si>
    <t>Head:045AD5EAB42091</t>
  </si>
  <si>
    <t>CRC32:7F690659</t>
  </si>
  <si>
    <t>[SF6] 25 - Mai.bin</t>
  </si>
  <si>
    <t>3C810001-04F21D02</t>
  </si>
  <si>
    <t>Head:044AD5EAB42091</t>
  </si>
  <si>
    <t>CRC32:D82C6E57</t>
  </si>
  <si>
    <t>[SF6] 26 - Elena.bin</t>
  </si>
  <si>
    <t>34D80001-04E31D02</t>
  </si>
  <si>
    <t>Head:0451DDEAB42090</t>
  </si>
  <si>
    <t>CRC32:5EEC98AA</t>
  </si>
  <si>
    <t>[SF6] 27 - Sagat.bin</t>
  </si>
  <si>
    <t>34D90001-04E41D02</t>
  </si>
  <si>
    <t>Head:0467CDE2B42091</t>
  </si>
  <si>
    <t>CRC32:65C1496C</t>
  </si>
  <si>
    <t>[SF6] 28 - C.Viper.bin</t>
  </si>
  <si>
    <t>34DA0001-04E51D02</t>
  </si>
  <si>
    <t>Head:0436CDE2B42091</t>
  </si>
  <si>
    <t>CRC32:7F3959AC</t>
  </si>
  <si>
    <t>[SF6] 29 - Alex.bin</t>
  </si>
  <si>
    <t>34DB0001-04E61D02</t>
  </si>
  <si>
    <t>Head:0457CDE2B42091</t>
  </si>
  <si>
    <t>CRC32:812B39F7</t>
  </si>
  <si>
    <t>[SF6] 30 - Ingrid.bin</t>
  </si>
  <si>
    <t>34DC0001-04E71D02</t>
  </si>
  <si>
    <t>Head:0446CDE2B42091</t>
  </si>
  <si>
    <t>CRC32:0E146AC6</t>
  </si>
  <si>
    <t>[SF6] 31 - Luke.bin</t>
  </si>
  <si>
    <t>34C20001-04CD1D02</t>
  </si>
  <si>
    <t>Head:048D05DAFD2094</t>
  </si>
  <si>
    <t>CRC32:4BDCBAFD</t>
  </si>
  <si>
    <t>[SF6] 32 - Jamie.bin</t>
  </si>
  <si>
    <t>34C30001-04CE1D02</t>
  </si>
  <si>
    <t>Head:0492C6EAB42090</t>
  </si>
  <si>
    <t>CRC32:CE5692F6</t>
  </si>
  <si>
    <t>[SF6] 33 - Manon.bin</t>
  </si>
  <si>
    <t>34CC0001-04D71D02</t>
  </si>
  <si>
    <t>Head:04D1B5E2B42090</t>
  </si>
  <si>
    <t>CRC32:21885647</t>
  </si>
  <si>
    <t>[SF6] 34 - Kimberly.bin</t>
  </si>
  <si>
    <t>34C40001-04CF1D02</t>
  </si>
  <si>
    <t>Head:048C05DAFD2094</t>
  </si>
  <si>
    <t>CRC32:485476A4</t>
  </si>
  <si>
    <t>[SF6] 35 - Marisa.bin</t>
  </si>
  <si>
    <t>34CD0001-04D81D02</t>
  </si>
  <si>
    <t>Head:04E2B5E2B42090</t>
  </si>
  <si>
    <t>CRC32:4C622A86</t>
  </si>
  <si>
    <t>[SF6] 36 - Lily.bin</t>
  </si>
  <si>
    <t>34D00001-04DB1D02</t>
  </si>
  <si>
    <t>Head:04E1B5E2B42090</t>
  </si>
  <si>
    <t>CRC32:20880365</t>
  </si>
  <si>
    <t>[SF6] 37 - JP.bin</t>
  </si>
  <si>
    <t>34CE0001-04D91D02</t>
  </si>
  <si>
    <t>Head:047D05DAFD2094</t>
  </si>
  <si>
    <t>CRC32:41E501E5</t>
  </si>
  <si>
    <t>[SF6] 38 - Juri.bin</t>
  </si>
  <si>
    <t>34C70001-04D21D02</t>
  </si>
  <si>
    <t>Head:0442B6EAB42091</t>
  </si>
  <si>
    <t>CRC32:177C9040</t>
  </si>
  <si>
    <t>[SF6] 39 - Dee Jay.bin</t>
  </si>
  <si>
    <t>34CB0001-04D61D02</t>
  </si>
  <si>
    <t>Head:04D2B5E2B42090</t>
  </si>
  <si>
    <t>CRC32:2165558D</t>
  </si>
  <si>
    <t>[SF6] 40 - Cammy.bin</t>
  </si>
  <si>
    <t>34D10001-04DC1D02</t>
  </si>
  <si>
    <t>Head:043CCEE2B42090</t>
  </si>
  <si>
    <t>CRC32:6398F700</t>
  </si>
  <si>
    <t>[SF6] 41 - Ryu.bin</t>
  </si>
  <si>
    <t>34C00001-04CB1D02</t>
  </si>
  <si>
    <t>Head:04A2C6EAB42090</t>
  </si>
  <si>
    <t>CRC32:0D45E1C8</t>
  </si>
  <si>
    <t>[SF6] 42 - E.Honda.bin</t>
  </si>
  <si>
    <t>34CA0001-04D51D02</t>
  </si>
  <si>
    <t>Head:043BCEE2B42090</t>
  </si>
  <si>
    <t>CRC32:9AB3569A</t>
  </si>
  <si>
    <t>[SF6] 43 - Blanka.bin</t>
  </si>
  <si>
    <t>34C80001-04D31D02</t>
  </si>
  <si>
    <t>Head:045A91E2B42091</t>
  </si>
  <si>
    <t>CRC32:381A053C</t>
  </si>
  <si>
    <t>[SF6] 44 - Guile.bin</t>
  </si>
  <si>
    <t>34C60001-04D11D02</t>
  </si>
  <si>
    <t>Head:044B91E2B42091</t>
  </si>
  <si>
    <t>CRC32:8454ECDC</t>
  </si>
  <si>
    <t>[SF6] 45 - Ken.bin</t>
  </si>
  <si>
    <t>34C10001-04CC1D02</t>
  </si>
  <si>
    <t>Head:044CCEE2B42090</t>
  </si>
  <si>
    <t>CRC32:A6E4E3C4</t>
  </si>
  <si>
    <t>[SF6] 46 - Chun-Li.bin</t>
  </si>
  <si>
    <t>34C50001-04D01D02</t>
  </si>
  <si>
    <t>Head:04B1C6EAB42090</t>
  </si>
  <si>
    <t>CRC32:6E6C5D09</t>
  </si>
  <si>
    <t>[SF6] 47 - Zangief.bin</t>
  </si>
  <si>
    <t>34CF0001-04DA1D02</t>
  </si>
  <si>
    <t>Head:044A91E2B42091</t>
  </si>
  <si>
    <t>CRC32:2D558DF9</t>
  </si>
  <si>
    <t>[SF6] 48 - Dhalsim.bin</t>
  </si>
  <si>
    <t>34C90001-04D41D02</t>
  </si>
  <si>
    <t>Head:044BCEE2B42090</t>
  </si>
  <si>
    <t>CRC32:00EE84F9</t>
  </si>
  <si>
    <t>[SF6] 49 - Rashid.bin</t>
  </si>
  <si>
    <t>34D20001-04DD1D02</t>
  </si>
  <si>
    <t>Head:047B91E2B42091</t>
  </si>
  <si>
    <t>CRC32:44DCA8BE</t>
  </si>
  <si>
    <t>[SF6] 50 - A.K.I.bin</t>
  </si>
  <si>
    <t>34D30001-04DE1D02</t>
  </si>
  <si>
    <t>Head:04881F927F2090</t>
  </si>
  <si>
    <t>CRC32:B788C5F8</t>
  </si>
  <si>
    <t>[SF6] 51 - ED.bin</t>
  </si>
  <si>
    <t>34D40001-04DF1D02</t>
  </si>
  <si>
    <t>Head:04512A927F2090</t>
  </si>
  <si>
    <t>CRC32:006907DD</t>
  </si>
  <si>
    <t>[SF6] 52 - Akuma.bin</t>
  </si>
  <si>
    <t>34D50001-04E01D02</t>
  </si>
  <si>
    <t>Head:049E05DAFD2094</t>
  </si>
  <si>
    <t>CRC32:4B6E57EA</t>
  </si>
  <si>
    <t>[SF6] 53 - M.Bison (Alt).bin</t>
  </si>
  <si>
    <t>34D60001-04EB1D02</t>
  </si>
  <si>
    <t>Head:04AD33CAB42090</t>
  </si>
  <si>
    <t>CRC32:295C686D</t>
  </si>
  <si>
    <t>[SF6] 54 - Terry (Alt).bin</t>
  </si>
  <si>
    <t>3C800001-04F11D02</t>
  </si>
  <si>
    <t>Head:04355EDAB42090</t>
  </si>
  <si>
    <t>CRC32:1B47AA0C</t>
  </si>
  <si>
    <t>[SF6] 55 - Mai (Alt).bin</t>
  </si>
  <si>
    <t>3C810001-04F31D02</t>
  </si>
  <si>
    <t>Head:04385EDAB42090</t>
  </si>
  <si>
    <t>CRC32:362BB4F2</t>
  </si>
  <si>
    <t>[SF6] 56 - Elena (Alt).bin</t>
  </si>
  <si>
    <t>34D80001-04EC1D02</t>
  </si>
  <si>
    <t>Head:04475EDAB42090</t>
  </si>
  <si>
    <t>CRC32:D49DCE6F</t>
  </si>
  <si>
    <t>[SF6] 57 - Sagat (Alt).bin</t>
  </si>
  <si>
    <t>34D90001-04ED1D02</t>
  </si>
  <si>
    <t>Head:04FDF6DAB42090</t>
  </si>
  <si>
    <t>CRC32:49F9BE35</t>
  </si>
  <si>
    <t>[SF6] 58 - C.Viper (Alt).bin</t>
  </si>
  <si>
    <t>34DA0001-04EE1D02</t>
  </si>
  <si>
    <t>Head:04DFEEEAB42090</t>
  </si>
  <si>
    <t>CRC32:C60B1514</t>
  </si>
  <si>
    <t>[SF6] 59 - Alex (Alt).bin</t>
  </si>
  <si>
    <t>34DB0001-04EF1D02</t>
  </si>
  <si>
    <t>Head:04EEEEEAB42090</t>
  </si>
  <si>
    <t>CRC32:5D4E6930</t>
  </si>
  <si>
    <t>[SF6] 60 - Ingrid (Alt).bin</t>
  </si>
  <si>
    <t>34DC0001-04F01D02</t>
  </si>
  <si>
    <t>Head:04EFEEEAB42090</t>
  </si>
  <si>
    <t>CRC32:95B41B4C</t>
  </si>
  <si>
    <t>Street Fighter\Figures</t>
  </si>
  <si>
    <t>34C20000-04AA1D02</t>
  </si>
  <si>
    <t>Head:045826BA081990</t>
  </si>
  <si>
    <t>CRC32:0884DAF5</t>
  </si>
  <si>
    <t>34C30000-04AC1D02</t>
  </si>
  <si>
    <t>Head:04857CBA081991</t>
  </si>
  <si>
    <t>CRC32:485FAB24</t>
  </si>
  <si>
    <t>[SF6] 03 - Kimberly.bin</t>
  </si>
  <si>
    <t>34C40000-04AE1D02</t>
  </si>
  <si>
    <t>Head:045362FA061991</t>
  </si>
  <si>
    <t>CRC32:F096FB64</t>
  </si>
  <si>
    <t>[ZTK] 04 - Sidon.bin</t>
  </si>
  <si>
    <t>010A0000-04A40902</t>
  </si>
  <si>
    <t>Head:04F23292AB1790</t>
  </si>
  <si>
    <t>CRC32:CFC8476C</t>
  </si>
  <si>
    <t>[ZTK] 05 - Tulin.bin</t>
  </si>
  <si>
    <t>010B0000-04A50902</t>
  </si>
  <si>
    <t>Head:04B7DDAA911B90</t>
  </si>
  <si>
    <t>CRC32:641289F1</t>
  </si>
  <si>
    <t>[ZTK] 06 - Yunobo.bin</t>
  </si>
  <si>
    <t>010C0000-04A60902</t>
  </si>
  <si>
    <t>Head:04DC61DA911B90</t>
  </si>
  <si>
    <t>CRC32:DBABE862</t>
  </si>
  <si>
    <t>[ZTK] 07 - Riju.bin</t>
  </si>
  <si>
    <t>01090000-04A30902</t>
  </si>
  <si>
    <t>Head:04C2ED82081990</t>
  </si>
  <si>
    <t>CRC32:74F2F5BD</t>
  </si>
  <si>
    <t>~Key Files</t>
  </si>
  <si>
    <t>-</t>
  </si>
  <si>
    <t>Head: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</si>
</sst>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22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</font>
    <font>
      <sz val="9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sz val="18"/>
      <color theme="3"/>
      <name val="等线 Light"/>
      <family val="3"/>
      <charset val="134"/>
      <scheme val="major"/>
    </font>
    <font>
      <b/>
      <sz val="15"/>
      <color theme="3"/>
      <name val="等线"/>
      <family val="3"/>
      <charset val="134"/>
      <scheme val="minor"/>
    </font>
    <font>
      <b/>
      <sz val="13"/>
      <color theme="3"/>
      <name val="等线"/>
      <family val="3"/>
      <charset val="134"/>
      <scheme val="minor"/>
    </font>
    <font>
      <b/>
      <sz val="11"/>
      <color theme="3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A7D0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i/>
      <sz val="11"/>
      <color rgb="FF7F7F7F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FA7D00"/>
      <name val="等线"/>
      <family val="3"/>
      <charset val="134"/>
      <scheme val="minor"/>
    </font>
    <font>
      <sz val="11"/>
      <color rgb="FF9C5700"/>
      <name val="等线"/>
      <family val="3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11"/>
      <color rgb="FF3F3F76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2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22" borderId="6" applyNumberFormat="0" applyAlignment="0" applyProtection="0">
      <alignment vertical="center"/>
    </xf>
    <xf numFmtId="0" fontId="12" fillId="23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7" fillId="22" borderId="9" applyNumberFormat="0" applyAlignment="0" applyProtection="0">
      <alignment vertical="center"/>
    </xf>
    <xf numFmtId="0" fontId="18" fillId="25" borderId="6" applyNumberFormat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3" fillId="32" borderId="10" applyNumberFormat="0" applyFont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33" borderId="1" xfId="0" applyFill="1" applyBorder="1">
      <alignment vertical="center"/>
    </xf>
    <xf numFmtId="0" fontId="0" fillId="34" borderId="1" xfId="0" applyFill="1" applyBorder="1">
      <alignment vertical="center"/>
    </xf>
    <xf numFmtId="0" fontId="21" fillId="34" borderId="1" xfId="0" applyFont="1" applyFill="1" applyBorder="1" applyAlignment="1">
      <alignment horizontal="center" vertical="center"/>
    </xf>
    <xf numFmtId="0" fontId="21" fillId="33" borderId="1" xfId="0" applyFont="1" applyFill="1" applyBorder="1" applyAlignment="1">
      <alignment horizontal="center" vertical="center"/>
    </xf>
    <xf numFmtId="0" fontId="0" fillId="36" borderId="1" xfId="0" applyFill="1" applyBorder="1">
      <alignment vertical="center"/>
    </xf>
    <xf numFmtId="41" fontId="0" fillId="36" borderId="1" xfId="0" applyNumberFormat="1" applyFill="1" applyBorder="1">
      <alignment vertical="center"/>
    </xf>
    <xf numFmtId="41" fontId="21" fillId="35" borderId="1" xfId="0" applyNumberFormat="1" applyFont="1" applyFill="1" applyBorder="1" applyAlignment="1">
      <alignment horizontal="center" vertical="center"/>
    </xf>
    <xf numFmtId="41" fontId="0" fillId="35" borderId="1" xfId="0" applyNumberFormat="1" applyFill="1" applyBorder="1">
      <alignment vertical="center"/>
    </xf>
    <xf numFmtId="41" fontId="0" fillId="0" borderId="0" xfId="0" applyNumberFormat="1">
      <alignment vertical="center"/>
    </xf>
    <xf numFmtId="0" fontId="2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>
      <alignment vertical="center"/>
    </xf>
    <xf numFmtId="0" fontId="21" fillId="36" borderId="1" xfId="0" applyFont="1" applyFill="1" applyBorder="1" applyAlignment="1">
      <alignment horizontal="center" vertical="center"/>
    </xf>
    <xf numFmtId="0" fontId="0" fillId="36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41" fontId="3" fillId="0" borderId="1" xfId="0" applyNumberFormat="1" applyFont="1" applyBorder="1">
      <alignment vertical="center"/>
    </xf>
    <xf numFmtId="0" fontId="3" fillId="36" borderId="1" xfId="0" applyFont="1" applyFill="1" applyBorder="1">
      <alignment vertical="center"/>
    </xf>
    <xf numFmtId="0" fontId="0" fillId="0" borderId="1" xfId="0" applyBorder="1" applyAlignment="1">
      <alignment horizontal="left" vertical="center"/>
    </xf>
    <xf numFmtId="41" fontId="21" fillId="35" borderId="1" xfId="0" applyNumberFormat="1" applyFont="1" applyFill="1" applyBorder="1">
      <alignment vertical="center"/>
    </xf>
    <xf numFmtId="0" fontId="3" fillId="0" borderId="1" xfId="0" applyFont="1" applyBorder="1" applyAlignment="1">
      <alignment horizontal="left" vertical="center"/>
    </xf>
    <xf numFmtId="0" fontId="0" fillId="36" borderId="1" xfId="0" applyFill="1" applyBorder="1" applyAlignment="1">
      <alignment horizontal="left" vertical="center"/>
    </xf>
    <xf numFmtId="0" fontId="3" fillId="36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left" vertical="center"/>
    </xf>
    <xf numFmtId="0" fontId="0" fillId="38" borderId="1" xfId="0" applyFill="1" applyBorder="1" applyAlignment="1">
      <alignment horizontal="left" vertical="center"/>
    </xf>
    <xf numFmtId="0" fontId="3" fillId="0" borderId="0" xfId="0" applyFont="1">
      <alignment vertical="center"/>
    </xf>
    <xf numFmtId="0" fontId="21" fillId="34" borderId="1" xfId="0" applyFont="1" applyFill="1" applyBorder="1" applyAlignment="1">
      <alignment horizontal="center" vertical="center"/>
    </xf>
    <xf numFmtId="41" fontId="21" fillId="35" borderId="1" xfId="0" applyNumberFormat="1" applyFont="1" applyFill="1" applyBorder="1" applyAlignment="1">
      <alignment horizontal="center" vertical="center"/>
    </xf>
    <xf numFmtId="0" fontId="21" fillId="33" borderId="1" xfId="0" applyFont="1" applyFill="1" applyBorder="1" applyAlignment="1">
      <alignment horizontal="center" vertical="center"/>
    </xf>
  </cellXfs>
  <cellStyles count="42"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着色 1" xfId="7" builtinId="31" customBuiltin="1"/>
    <cellStyle name="40% - 着色 2" xfId="8" builtinId="35" customBuiltin="1"/>
    <cellStyle name="40% - 着色 3" xfId="9" builtinId="39" customBuiltin="1"/>
    <cellStyle name="40% - 着色 4" xfId="10" builtinId="43" customBuiltin="1"/>
    <cellStyle name="40% - 着色 5" xfId="11" builtinId="47" customBuiltin="1"/>
    <cellStyle name="40% - 着色 6" xfId="12" builtinId="51" customBuiltin="1"/>
    <cellStyle name="60% - 着色 1" xfId="13" builtinId="32" customBuiltin="1"/>
    <cellStyle name="60% - 着色 2" xfId="14" builtinId="36" customBuiltin="1"/>
    <cellStyle name="60% - 着色 3" xfId="15" builtinId="40" customBuiltin="1"/>
    <cellStyle name="60% - 着色 4" xfId="16" builtinId="44" customBuiltin="1"/>
    <cellStyle name="60% - 着色 5" xfId="17" builtinId="48" customBuiltin="1"/>
    <cellStyle name="60% - 着色 6" xfId="18" builtinId="52" customBuiltin="1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常规" xfId="0" builtinId="0"/>
    <cellStyle name="好" xfId="25" builtinId="26" customBuiltin="1"/>
    <cellStyle name="汇总" xfId="26" builtinId="25" customBuiltin="1"/>
    <cellStyle name="计算" xfId="27" builtinId="22" customBuiltin="1"/>
    <cellStyle name="检查单元格" xfId="28" builtinId="23" customBuiltin="1"/>
    <cellStyle name="解释性文本" xfId="29" builtinId="53" customBuiltin="1"/>
    <cellStyle name="警告文本" xfId="30" builtinId="11" customBuiltin="1"/>
    <cellStyle name="链接单元格" xfId="31" builtinId="24" customBuiltin="1"/>
    <cellStyle name="适中" xfId="32" builtinId="28" customBuiltin="1"/>
    <cellStyle name="输出" xfId="33" builtinId="21" customBuiltin="1"/>
    <cellStyle name="输入" xfId="34" builtinId="20" customBuiltin="1"/>
    <cellStyle name="着色 1" xfId="35" builtinId="29" customBuiltin="1"/>
    <cellStyle name="着色 2" xfId="36" builtinId="33" customBuiltin="1"/>
    <cellStyle name="着色 3" xfId="37" builtinId="37" customBuiltin="1"/>
    <cellStyle name="着色 4" xfId="38" builtinId="41" customBuiltin="1"/>
    <cellStyle name="着色 5" xfId="39" builtinId="45" customBuiltin="1"/>
    <cellStyle name="着色 6" xfId="40" builtinId="49" customBuiltin="1"/>
    <cellStyle name="注释" xfId="41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964"/>
  <sheetViews>
    <sheetView workbookViewId="0">
      <pane ySplit="1" topLeftCell="A484" activePane="bottomLeft" state="frozen"/>
      <selection pane="bottomLeft" activeCell="A959" sqref="A959"/>
    </sheetView>
  </sheetViews>
  <sheetFormatPr defaultRowHeight="14" x14ac:dyDescent="0.3"/>
  <cols>
    <col min="1" max="1" width="65.4140625" bestFit="1" customWidth="1"/>
    <col min="2" max="2" width="42.25" customWidth="1"/>
    <col min="3" max="3" width="20.4140625" bestFit="1" customWidth="1"/>
    <col min="4" max="4" width="27.58203125" bestFit="1" customWidth="1"/>
    <col min="5" max="5" width="17.25" bestFit="1" customWidth="1"/>
    <col min="6" max="6" width="12.1640625" style="10" bestFit="1" customWidth="1"/>
  </cols>
  <sheetData>
    <row r="1" spans="1:6" x14ac:dyDescent="0.3">
      <c r="A1" s="14" t="s">
        <v>3816</v>
      </c>
      <c r="B1" s="14" t="s">
        <v>3817</v>
      </c>
      <c r="C1" s="14" t="s">
        <v>3818</v>
      </c>
      <c r="D1" s="14" t="s">
        <v>3819</v>
      </c>
      <c r="E1" s="14" t="s">
        <v>3826</v>
      </c>
      <c r="F1" s="19" t="s">
        <v>3820</v>
      </c>
    </row>
    <row r="2" spans="1:6" hidden="1" x14ac:dyDescent="0.3">
      <c r="A2" s="14"/>
      <c r="B2" s="1" t="s">
        <v>438</v>
      </c>
      <c r="C2" s="1" t="s">
        <v>439</v>
      </c>
      <c r="D2" s="1" t="s">
        <v>440</v>
      </c>
      <c r="E2" s="1" t="s">
        <v>441</v>
      </c>
      <c r="F2" s="7">
        <f>IFERROR(INDEX(测试!H:H,MATCH(E2,测试!A:A,0)),1)</f>
        <v>1</v>
      </c>
    </row>
    <row r="3" spans="1:6" hidden="1" x14ac:dyDescent="0.3">
      <c r="A3" s="1" t="s">
        <v>2970</v>
      </c>
      <c r="B3" s="1" t="s">
        <v>2920</v>
      </c>
      <c r="C3" s="1" t="s">
        <v>2921</v>
      </c>
      <c r="D3" s="1" t="s">
        <v>2922</v>
      </c>
      <c r="E3" s="1" t="s">
        <v>2923</v>
      </c>
      <c r="F3" s="7" t="str">
        <f>IFERROR(INDEX(测试!H:H,MATCH(E3,测试!A:A,0)),1)</f>
        <v>-</v>
      </c>
    </row>
    <row r="4" spans="1:6" hidden="1" x14ac:dyDescent="0.3">
      <c r="A4" s="1" t="s">
        <v>2970</v>
      </c>
      <c r="B4" s="1" t="s">
        <v>2924</v>
      </c>
      <c r="C4" s="1" t="s">
        <v>2925</v>
      </c>
      <c r="D4" s="1" t="s">
        <v>2926</v>
      </c>
      <c r="E4" s="1" t="s">
        <v>2927</v>
      </c>
      <c r="F4" s="7" t="str">
        <f>IFERROR(INDEX(测试!H:H,MATCH(E4,测试!A:A,0)),1)</f>
        <v>-</v>
      </c>
    </row>
    <row r="5" spans="1:6" hidden="1" x14ac:dyDescent="0.3">
      <c r="A5" s="1" t="s">
        <v>2970</v>
      </c>
      <c r="B5" s="1" t="s">
        <v>2928</v>
      </c>
      <c r="C5" s="1" t="s">
        <v>2929</v>
      </c>
      <c r="D5" s="1" t="s">
        <v>2930</v>
      </c>
      <c r="E5" s="1" t="s">
        <v>2931</v>
      </c>
      <c r="F5" s="7" t="str">
        <f>IFERROR(INDEX(测试!H:H,MATCH(E5,测试!A:A,0)),1)</f>
        <v>-</v>
      </c>
    </row>
    <row r="6" spans="1:6" hidden="1" x14ac:dyDescent="0.3">
      <c r="A6" s="1" t="s">
        <v>2970</v>
      </c>
      <c r="B6" s="1" t="s">
        <v>2932</v>
      </c>
      <c r="C6" s="1" t="s">
        <v>2933</v>
      </c>
      <c r="D6" s="1" t="s">
        <v>2934</v>
      </c>
      <c r="E6" s="1" t="s">
        <v>2935</v>
      </c>
      <c r="F6" s="7" t="str">
        <f>IFERROR(INDEX(测试!H:H,MATCH(E6,测试!A:A,0)),1)</f>
        <v>-</v>
      </c>
    </row>
    <row r="7" spans="1:6" hidden="1" x14ac:dyDescent="0.3">
      <c r="A7" s="1" t="s">
        <v>2970</v>
      </c>
      <c r="B7" s="1" t="s">
        <v>2936</v>
      </c>
      <c r="C7" s="1" t="s">
        <v>2937</v>
      </c>
      <c r="D7" s="1" t="s">
        <v>2938</v>
      </c>
      <c r="E7" s="1" t="s">
        <v>2939</v>
      </c>
      <c r="F7" s="7" t="str">
        <f>IFERROR(INDEX(测试!H:H,MATCH(E7,测试!A:A,0)),1)</f>
        <v>-</v>
      </c>
    </row>
    <row r="8" spans="1:6" hidden="1" x14ac:dyDescent="0.3">
      <c r="A8" s="1" t="s">
        <v>2970</v>
      </c>
      <c r="B8" s="1" t="s">
        <v>2940</v>
      </c>
      <c r="C8" s="1" t="s">
        <v>2941</v>
      </c>
      <c r="D8" s="1" t="s">
        <v>2942</v>
      </c>
      <c r="E8" s="1" t="s">
        <v>2943</v>
      </c>
      <c r="F8" s="7" t="str">
        <f>IFERROR(INDEX(测试!H:H,MATCH(E8,测试!A:A,0)),1)</f>
        <v>-</v>
      </c>
    </row>
    <row r="9" spans="1:6" hidden="1" x14ac:dyDescent="0.3">
      <c r="A9" s="1" t="s">
        <v>2969</v>
      </c>
      <c r="B9" s="1" t="s">
        <v>2908</v>
      </c>
      <c r="C9" s="1" t="s">
        <v>2909</v>
      </c>
      <c r="D9" s="1" t="s">
        <v>2910</v>
      </c>
      <c r="E9" s="1" t="s">
        <v>2911</v>
      </c>
      <c r="F9" s="7" t="str">
        <f>IFERROR(INDEX(测试!H:H,MATCH(E9,测试!A:A,0)),1)</f>
        <v>文件名错误</v>
      </c>
    </row>
    <row r="10" spans="1:6" hidden="1" x14ac:dyDescent="0.3">
      <c r="A10" s="1" t="s">
        <v>2969</v>
      </c>
      <c r="B10" s="1" t="s">
        <v>2912</v>
      </c>
      <c r="C10" s="1" t="s">
        <v>2913</v>
      </c>
      <c r="D10" s="1" t="s">
        <v>2914</v>
      </c>
      <c r="E10" s="1" t="s">
        <v>2915</v>
      </c>
      <c r="F10" s="7" t="str">
        <f>IFERROR(INDEX(测试!H:H,MATCH(E10,测试!A:A,0)),1)</f>
        <v>文件名错误</v>
      </c>
    </row>
    <row r="11" spans="1:6" hidden="1" x14ac:dyDescent="0.3">
      <c r="A11" s="1" t="s">
        <v>2969</v>
      </c>
      <c r="B11" s="1" t="s">
        <v>2916</v>
      </c>
      <c r="C11" s="1" t="s">
        <v>2917</v>
      </c>
      <c r="D11" s="1" t="s">
        <v>2918</v>
      </c>
      <c r="E11" s="1" t="s">
        <v>2919</v>
      </c>
      <c r="F11" s="7" t="str">
        <f>IFERROR(INDEX(测试!H:H,MATCH(E11,测试!A:A,0)),1)</f>
        <v>文件名错误</v>
      </c>
    </row>
    <row r="12" spans="1:6" hidden="1" x14ac:dyDescent="0.3">
      <c r="A12" s="1" t="s">
        <v>2968</v>
      </c>
      <c r="B12" s="1" t="s">
        <v>2900</v>
      </c>
      <c r="C12" s="1" t="s">
        <v>2901</v>
      </c>
      <c r="D12" s="1" t="s">
        <v>2902</v>
      </c>
      <c r="E12" s="1" t="s">
        <v>2903</v>
      </c>
      <c r="F12" s="7" t="str">
        <f>IFERROR(INDEX(测试!H:H,MATCH(E12,测试!A:A,0)),1)</f>
        <v>文件名错误</v>
      </c>
    </row>
    <row r="13" spans="1:6" hidden="1" x14ac:dyDescent="0.3">
      <c r="A13" s="6" t="s">
        <v>2968</v>
      </c>
      <c r="B13" s="6" t="s">
        <v>2904</v>
      </c>
      <c r="C13" s="6" t="s">
        <v>2905</v>
      </c>
      <c r="D13" s="6" t="s">
        <v>2906</v>
      </c>
      <c r="E13" s="6" t="s">
        <v>2907</v>
      </c>
      <c r="F13" s="7" t="str">
        <f>IFERROR(INDEX(测试!H:H,MATCH(E13,测试!A:A,0)),1)</f>
        <v>文件名错误</v>
      </c>
    </row>
    <row r="14" spans="1:6" hidden="1" x14ac:dyDescent="0.3">
      <c r="A14" s="1" t="s">
        <v>2967</v>
      </c>
      <c r="B14" s="1" t="s">
        <v>2512</v>
      </c>
      <c r="C14" s="1" t="s">
        <v>424</v>
      </c>
      <c r="D14" s="1" t="s">
        <v>425</v>
      </c>
      <c r="E14" s="1" t="s">
        <v>2513</v>
      </c>
      <c r="F14" s="7" t="str">
        <f>IFERROR(INDEX(测试!H:H,MATCH(E14,测试!A:A,0)),1)</f>
        <v>-</v>
      </c>
    </row>
    <row r="15" spans="1:6" hidden="1" x14ac:dyDescent="0.3">
      <c r="A15" s="1" t="s">
        <v>2967</v>
      </c>
      <c r="B15" s="1" t="s">
        <v>2514</v>
      </c>
      <c r="C15" s="1" t="s">
        <v>2515</v>
      </c>
      <c r="D15" s="1" t="s">
        <v>2516</v>
      </c>
      <c r="E15" s="1" t="s">
        <v>2517</v>
      </c>
      <c r="F15" s="7" t="str">
        <f>IFERROR(INDEX(测试!H:H,MATCH(E15,测试!A:A,0)),1)</f>
        <v>-</v>
      </c>
    </row>
    <row r="16" spans="1:6" hidden="1" x14ac:dyDescent="0.3">
      <c r="A16" s="1" t="s">
        <v>2967</v>
      </c>
      <c r="B16" s="1" t="s">
        <v>2518</v>
      </c>
      <c r="C16" s="1" t="s">
        <v>2519</v>
      </c>
      <c r="D16" s="1" t="s">
        <v>2520</v>
      </c>
      <c r="E16" s="14" t="s">
        <v>3005</v>
      </c>
      <c r="F16" s="7" t="str">
        <f>IFERROR(INDEX(测试!H:H,MATCH(E16,测试!A:A,0)),1)</f>
        <v>-</v>
      </c>
    </row>
    <row r="17" spans="1:6" hidden="1" x14ac:dyDescent="0.3">
      <c r="A17" s="1" t="s">
        <v>2967</v>
      </c>
      <c r="B17" s="1" t="s">
        <v>2521</v>
      </c>
      <c r="C17" s="1" t="s">
        <v>2522</v>
      </c>
      <c r="D17" s="1" t="s">
        <v>2523</v>
      </c>
      <c r="E17" s="1" t="s">
        <v>2524</v>
      </c>
      <c r="F17" s="7" t="str">
        <f>IFERROR(INDEX(测试!H:H,MATCH(E17,测试!A:A,0)),1)</f>
        <v>-</v>
      </c>
    </row>
    <row r="18" spans="1:6" hidden="1" x14ac:dyDescent="0.3">
      <c r="A18" s="6" t="s">
        <v>2967</v>
      </c>
      <c r="B18" s="20" t="s">
        <v>3877</v>
      </c>
      <c r="C18" s="6" t="s">
        <v>2525</v>
      </c>
      <c r="D18" s="6" t="s">
        <v>2526</v>
      </c>
      <c r="E18" s="6" t="s">
        <v>2527</v>
      </c>
      <c r="F18" s="7" t="str">
        <f>IFERROR(INDEX(测试!H:H,MATCH(E18,测试!A:A,0)),1)</f>
        <v>-</v>
      </c>
    </row>
    <row r="19" spans="1:6" hidden="1" x14ac:dyDescent="0.3">
      <c r="A19" s="1" t="s">
        <v>2967</v>
      </c>
      <c r="B19" s="1" t="s">
        <v>2528</v>
      </c>
      <c r="C19" s="1" t="s">
        <v>2529</v>
      </c>
      <c r="D19" s="1" t="s">
        <v>2530</v>
      </c>
      <c r="E19" s="1" t="s">
        <v>2531</v>
      </c>
      <c r="F19" s="7" t="str">
        <f>IFERROR(INDEX(测试!H:H,MATCH(E19,测试!A:A,0)),1)</f>
        <v>-</v>
      </c>
    </row>
    <row r="20" spans="1:6" hidden="1" x14ac:dyDescent="0.3">
      <c r="A20" s="1" t="s">
        <v>2967</v>
      </c>
      <c r="B20" s="1" t="s">
        <v>2532</v>
      </c>
      <c r="C20" s="1" t="s">
        <v>2533</v>
      </c>
      <c r="D20" s="1" t="s">
        <v>2534</v>
      </c>
      <c r="E20" s="1" t="s">
        <v>2535</v>
      </c>
      <c r="F20" s="7" t="str">
        <f>IFERROR(INDEX(测试!H:H,MATCH(E20,测试!A:A,0)),1)</f>
        <v>-</v>
      </c>
    </row>
    <row r="21" spans="1:6" hidden="1" x14ac:dyDescent="0.3">
      <c r="A21" s="1" t="s">
        <v>2967</v>
      </c>
      <c r="B21" s="1" t="s">
        <v>2536</v>
      </c>
      <c r="C21" s="1" t="s">
        <v>2537</v>
      </c>
      <c r="D21" s="1" t="s">
        <v>2538</v>
      </c>
      <c r="E21" s="1" t="s">
        <v>2539</v>
      </c>
      <c r="F21" s="7" t="str">
        <f>IFERROR(INDEX(测试!H:H,MATCH(E21,测试!A:A,0)),1)</f>
        <v>-</v>
      </c>
    </row>
    <row r="22" spans="1:6" hidden="1" x14ac:dyDescent="0.3">
      <c r="A22" s="1" t="s">
        <v>2967</v>
      </c>
      <c r="B22" s="1" t="s">
        <v>2540</v>
      </c>
      <c r="C22" s="1" t="s">
        <v>2541</v>
      </c>
      <c r="D22" s="1" t="s">
        <v>2542</v>
      </c>
      <c r="E22" s="1" t="s">
        <v>2543</v>
      </c>
      <c r="F22" s="7" t="str">
        <f>IFERROR(INDEX(测试!H:H,MATCH(E22,测试!A:A,0)),1)</f>
        <v>-</v>
      </c>
    </row>
    <row r="23" spans="1:6" hidden="1" x14ac:dyDescent="0.3">
      <c r="A23" s="1" t="s">
        <v>2967</v>
      </c>
      <c r="B23" s="1" t="s">
        <v>2544</v>
      </c>
      <c r="C23" s="1" t="s">
        <v>2545</v>
      </c>
      <c r="D23" s="1" t="s">
        <v>2546</v>
      </c>
      <c r="E23" s="1" t="s">
        <v>2547</v>
      </c>
      <c r="F23" s="7" t="str">
        <f>IFERROR(INDEX(测试!H:H,MATCH(E23,测试!A:A,0)),1)</f>
        <v>-</v>
      </c>
    </row>
    <row r="24" spans="1:6" hidden="1" x14ac:dyDescent="0.3">
      <c r="A24" s="1" t="s">
        <v>2967</v>
      </c>
      <c r="B24" s="1" t="s">
        <v>2548</v>
      </c>
      <c r="C24" s="1" t="s">
        <v>2549</v>
      </c>
      <c r="D24" s="1" t="s">
        <v>2550</v>
      </c>
      <c r="E24" s="1" t="s">
        <v>2551</v>
      </c>
      <c r="F24" s="7" t="str">
        <f>IFERROR(INDEX(测试!H:H,MATCH(E24,测试!A:A,0)),1)</f>
        <v>-</v>
      </c>
    </row>
    <row r="25" spans="1:6" hidden="1" x14ac:dyDescent="0.3">
      <c r="A25" s="1" t="s">
        <v>2967</v>
      </c>
      <c r="B25" s="1" t="s">
        <v>2552</v>
      </c>
      <c r="C25" s="1" t="s">
        <v>2553</v>
      </c>
      <c r="D25" s="1" t="s">
        <v>2554</v>
      </c>
      <c r="E25" s="1" t="s">
        <v>2555</v>
      </c>
      <c r="F25" s="7" t="str">
        <f>IFERROR(INDEX(测试!H:H,MATCH(E25,测试!A:A,0)),1)</f>
        <v>-</v>
      </c>
    </row>
    <row r="26" spans="1:6" hidden="1" x14ac:dyDescent="0.3">
      <c r="A26" s="1" t="s">
        <v>2967</v>
      </c>
      <c r="B26" s="1" t="s">
        <v>2556</v>
      </c>
      <c r="C26" s="1" t="s">
        <v>2557</v>
      </c>
      <c r="D26" s="1" t="s">
        <v>2558</v>
      </c>
      <c r="E26" s="14" t="s">
        <v>3006</v>
      </c>
      <c r="F26" s="7" t="str">
        <f>IFERROR(INDEX(测试!H:H,MATCH(E26,测试!A:A,0)),1)</f>
        <v>-</v>
      </c>
    </row>
    <row r="27" spans="1:6" hidden="1" x14ac:dyDescent="0.3">
      <c r="A27" s="1" t="s">
        <v>2967</v>
      </c>
      <c r="B27" s="1" t="s">
        <v>2559</v>
      </c>
      <c r="C27" s="1" t="s">
        <v>2560</v>
      </c>
      <c r="D27" s="1" t="s">
        <v>2561</v>
      </c>
      <c r="E27" s="1" t="s">
        <v>2562</v>
      </c>
      <c r="F27" s="7" t="str">
        <f>IFERROR(INDEX(测试!H:H,MATCH(E27,测试!A:A,0)),1)</f>
        <v>-</v>
      </c>
    </row>
    <row r="28" spans="1:6" hidden="1" x14ac:dyDescent="0.3">
      <c r="A28" s="1" t="s">
        <v>2967</v>
      </c>
      <c r="B28" s="1" t="s">
        <v>2563</v>
      </c>
      <c r="C28" s="1" t="s">
        <v>2564</v>
      </c>
      <c r="D28" s="1" t="s">
        <v>2565</v>
      </c>
      <c r="E28" s="14" t="s">
        <v>3007</v>
      </c>
      <c r="F28" s="7" t="str">
        <f>IFERROR(INDEX(测试!H:H,MATCH(E28,测试!A:A,0)),1)</f>
        <v>-</v>
      </c>
    </row>
    <row r="29" spans="1:6" hidden="1" x14ac:dyDescent="0.3">
      <c r="A29" s="1" t="s">
        <v>2967</v>
      </c>
      <c r="B29" s="1" t="s">
        <v>2566</v>
      </c>
      <c r="C29" s="1" t="s">
        <v>2567</v>
      </c>
      <c r="D29" s="1" t="s">
        <v>2568</v>
      </c>
      <c r="E29" s="1" t="s">
        <v>2569</v>
      </c>
      <c r="F29" s="7" t="str">
        <f>IFERROR(INDEX(测试!H:H,MATCH(E29,测试!A:A,0)),1)</f>
        <v>-</v>
      </c>
    </row>
    <row r="30" spans="1:6" hidden="1" x14ac:dyDescent="0.3">
      <c r="A30" s="1" t="s">
        <v>2967</v>
      </c>
      <c r="B30" s="1" t="s">
        <v>2570</v>
      </c>
      <c r="C30" s="1" t="s">
        <v>2571</v>
      </c>
      <c r="D30" s="1" t="s">
        <v>2572</v>
      </c>
      <c r="E30" s="1" t="s">
        <v>2573</v>
      </c>
      <c r="F30" s="7" t="str">
        <f>IFERROR(INDEX(测试!H:H,MATCH(E30,测试!A:A,0)),1)</f>
        <v>-</v>
      </c>
    </row>
    <row r="31" spans="1:6" hidden="1" x14ac:dyDescent="0.3">
      <c r="A31" s="1" t="s">
        <v>2967</v>
      </c>
      <c r="B31" s="1" t="s">
        <v>2574</v>
      </c>
      <c r="C31" s="1" t="s">
        <v>2575</v>
      </c>
      <c r="D31" s="1" t="s">
        <v>2576</v>
      </c>
      <c r="E31" s="1" t="s">
        <v>2577</v>
      </c>
      <c r="F31" s="7" t="str">
        <f>IFERROR(INDEX(测试!H:H,MATCH(E31,测试!A:A,0)),1)</f>
        <v>-</v>
      </c>
    </row>
    <row r="32" spans="1:6" hidden="1" x14ac:dyDescent="0.3">
      <c r="A32" s="1" t="s">
        <v>2967</v>
      </c>
      <c r="B32" s="1" t="s">
        <v>2578</v>
      </c>
      <c r="C32" s="1" t="s">
        <v>2579</v>
      </c>
      <c r="D32" s="1" t="s">
        <v>2580</v>
      </c>
      <c r="E32" s="1" t="s">
        <v>2581</v>
      </c>
      <c r="F32" s="7" t="str">
        <f>IFERROR(INDEX(测试!H:H,MATCH(E32,测试!A:A,0)),1)</f>
        <v>-</v>
      </c>
    </row>
    <row r="33" spans="1:6" hidden="1" x14ac:dyDescent="0.3">
      <c r="A33" s="1" t="s">
        <v>2967</v>
      </c>
      <c r="B33" s="1" t="s">
        <v>2582</v>
      </c>
      <c r="C33" s="1" t="s">
        <v>2583</v>
      </c>
      <c r="D33" s="1" t="s">
        <v>2584</v>
      </c>
      <c r="E33" s="1" t="s">
        <v>2585</v>
      </c>
      <c r="F33" s="7" t="str">
        <f>IFERROR(INDEX(测试!H:H,MATCH(E33,测试!A:A,0)),1)</f>
        <v>-</v>
      </c>
    </row>
    <row r="34" spans="1:6" hidden="1" x14ac:dyDescent="0.3">
      <c r="A34" s="1" t="s">
        <v>2967</v>
      </c>
      <c r="B34" s="1" t="s">
        <v>2586</v>
      </c>
      <c r="C34" s="1" t="s">
        <v>2587</v>
      </c>
      <c r="D34" s="1" t="s">
        <v>2588</v>
      </c>
      <c r="E34" s="1" t="s">
        <v>2589</v>
      </c>
      <c r="F34" s="7" t="str">
        <f>IFERROR(INDEX(测试!H:H,MATCH(E34,测试!A:A,0)),1)</f>
        <v>-</v>
      </c>
    </row>
    <row r="35" spans="1:6" hidden="1" x14ac:dyDescent="0.3">
      <c r="A35" s="1" t="s">
        <v>2967</v>
      </c>
      <c r="B35" s="1" t="s">
        <v>2590</v>
      </c>
      <c r="C35" s="1" t="s">
        <v>2591</v>
      </c>
      <c r="D35" s="1" t="s">
        <v>2592</v>
      </c>
      <c r="E35" s="1" t="s">
        <v>2593</v>
      </c>
      <c r="F35" s="7" t="str">
        <f>IFERROR(INDEX(测试!H:H,MATCH(E35,测试!A:A,0)),1)</f>
        <v>-</v>
      </c>
    </row>
    <row r="36" spans="1:6" hidden="1" x14ac:dyDescent="0.3">
      <c r="A36" s="1" t="s">
        <v>2967</v>
      </c>
      <c r="B36" s="1" t="s">
        <v>2594</v>
      </c>
      <c r="C36" s="1" t="s">
        <v>2595</v>
      </c>
      <c r="D36" s="1" t="s">
        <v>2596</v>
      </c>
      <c r="E36" s="1" t="s">
        <v>2597</v>
      </c>
      <c r="F36" s="7" t="str">
        <f>IFERROR(INDEX(测试!H:H,MATCH(E36,测试!A:A,0)),1)</f>
        <v>-</v>
      </c>
    </row>
    <row r="37" spans="1:6" hidden="1" x14ac:dyDescent="0.3">
      <c r="A37" s="1" t="s">
        <v>2967</v>
      </c>
      <c r="B37" s="1" t="s">
        <v>2598</v>
      </c>
      <c r="C37" s="1" t="s">
        <v>2599</v>
      </c>
      <c r="D37" s="1" t="s">
        <v>2600</v>
      </c>
      <c r="E37" s="1" t="s">
        <v>2601</v>
      </c>
      <c r="F37" s="7" t="str">
        <f>IFERROR(INDEX(测试!H:H,MATCH(E37,测试!A:A,0)),1)</f>
        <v>-</v>
      </c>
    </row>
    <row r="38" spans="1:6" hidden="1" x14ac:dyDescent="0.3">
      <c r="A38" s="1" t="s">
        <v>2967</v>
      </c>
      <c r="B38" s="1" t="s">
        <v>2602</v>
      </c>
      <c r="C38" s="1" t="s">
        <v>2603</v>
      </c>
      <c r="D38" s="1" t="s">
        <v>2604</v>
      </c>
      <c r="E38" s="1" t="s">
        <v>2605</v>
      </c>
      <c r="F38" s="7" t="str">
        <f>IFERROR(INDEX(测试!H:H,MATCH(E38,测试!A:A,0)),1)</f>
        <v>-</v>
      </c>
    </row>
    <row r="39" spans="1:6" hidden="1" x14ac:dyDescent="0.3">
      <c r="A39" s="1" t="s">
        <v>2967</v>
      </c>
      <c r="B39" s="1" t="s">
        <v>2606</v>
      </c>
      <c r="C39" s="1" t="s">
        <v>2607</v>
      </c>
      <c r="D39" s="1" t="s">
        <v>2608</v>
      </c>
      <c r="E39" s="1" t="s">
        <v>2609</v>
      </c>
      <c r="F39" s="7" t="str">
        <f>IFERROR(INDEX(测试!H:H,MATCH(E39,测试!A:A,0)),1)</f>
        <v>文件名错误</v>
      </c>
    </row>
    <row r="40" spans="1:6" hidden="1" x14ac:dyDescent="0.3">
      <c r="A40" s="1" t="s">
        <v>2967</v>
      </c>
      <c r="B40" s="1" t="s">
        <v>2610</v>
      </c>
      <c r="C40" s="1" t="s">
        <v>2611</v>
      </c>
      <c r="D40" s="1" t="s">
        <v>2612</v>
      </c>
      <c r="E40" s="1" t="s">
        <v>2613</v>
      </c>
      <c r="F40" s="7" t="str">
        <f>IFERROR(INDEX(测试!H:H,MATCH(E40,测试!A:A,0)),1)</f>
        <v>-</v>
      </c>
    </row>
    <row r="41" spans="1:6" hidden="1" x14ac:dyDescent="0.3">
      <c r="A41" s="1" t="s">
        <v>2967</v>
      </c>
      <c r="B41" s="1" t="s">
        <v>2614</v>
      </c>
      <c r="C41" s="1" t="s">
        <v>2615</v>
      </c>
      <c r="D41" s="1" t="s">
        <v>2616</v>
      </c>
      <c r="E41" s="1" t="s">
        <v>2617</v>
      </c>
      <c r="F41" s="7" t="str">
        <f>IFERROR(INDEX(测试!H:H,MATCH(E41,测试!A:A,0)),1)</f>
        <v>-</v>
      </c>
    </row>
    <row r="42" spans="1:6" hidden="1" x14ac:dyDescent="0.3">
      <c r="A42" s="1" t="s">
        <v>2967</v>
      </c>
      <c r="B42" s="1" t="s">
        <v>2618</v>
      </c>
      <c r="C42" s="1" t="s">
        <v>2619</v>
      </c>
      <c r="D42" s="1" t="s">
        <v>2620</v>
      </c>
      <c r="E42" s="1" t="s">
        <v>2621</v>
      </c>
      <c r="F42" s="7" t="str">
        <f>IFERROR(INDEX(测试!H:H,MATCH(E42,测试!A:A,0)),1)</f>
        <v>-</v>
      </c>
    </row>
    <row r="43" spans="1:6" hidden="1" x14ac:dyDescent="0.3">
      <c r="A43" s="1" t="s">
        <v>2967</v>
      </c>
      <c r="B43" s="1" t="s">
        <v>2622</v>
      </c>
      <c r="C43" s="1" t="s">
        <v>2623</v>
      </c>
      <c r="D43" s="1" t="s">
        <v>2624</v>
      </c>
      <c r="E43" s="1" t="s">
        <v>2625</v>
      </c>
      <c r="F43" s="7" t="str">
        <f>IFERROR(INDEX(测试!H:H,MATCH(E43,测试!A:A,0)),1)</f>
        <v>-</v>
      </c>
    </row>
    <row r="44" spans="1:6" hidden="1" x14ac:dyDescent="0.3">
      <c r="A44" s="1" t="s">
        <v>2967</v>
      </c>
      <c r="B44" s="1" t="s">
        <v>2626</v>
      </c>
      <c r="C44" s="1" t="s">
        <v>2627</v>
      </c>
      <c r="D44" s="1" t="s">
        <v>2628</v>
      </c>
      <c r="E44" s="1" t="s">
        <v>2629</v>
      </c>
      <c r="F44" s="7" t="str">
        <f>IFERROR(INDEX(测试!H:H,MATCH(E44,测试!A:A,0)),1)</f>
        <v>-</v>
      </c>
    </row>
    <row r="45" spans="1:6" hidden="1" x14ac:dyDescent="0.3">
      <c r="A45" s="1" t="s">
        <v>2967</v>
      </c>
      <c r="B45" s="1" t="s">
        <v>2630</v>
      </c>
      <c r="C45" s="1" t="s">
        <v>2631</v>
      </c>
      <c r="D45" s="1" t="s">
        <v>2632</v>
      </c>
      <c r="E45" s="1" t="s">
        <v>2633</v>
      </c>
      <c r="F45" s="7" t="str">
        <f>IFERROR(INDEX(测试!H:H,MATCH(E45,测试!A:A,0)),1)</f>
        <v>-</v>
      </c>
    </row>
    <row r="46" spans="1:6" hidden="1" x14ac:dyDescent="0.3">
      <c r="A46" s="1" t="s">
        <v>2967</v>
      </c>
      <c r="B46" s="1" t="s">
        <v>2634</v>
      </c>
      <c r="C46" s="1" t="s">
        <v>2635</v>
      </c>
      <c r="D46" s="1" t="s">
        <v>2636</v>
      </c>
      <c r="E46" s="1" t="s">
        <v>2637</v>
      </c>
      <c r="F46" s="7" t="str">
        <f>IFERROR(INDEX(测试!H:H,MATCH(E46,测试!A:A,0)),1)</f>
        <v>-</v>
      </c>
    </row>
    <row r="47" spans="1:6" hidden="1" x14ac:dyDescent="0.3">
      <c r="A47" s="1" t="s">
        <v>2967</v>
      </c>
      <c r="B47" s="1" t="s">
        <v>2638</v>
      </c>
      <c r="C47" s="1" t="s">
        <v>2639</v>
      </c>
      <c r="D47" s="1" t="s">
        <v>2640</v>
      </c>
      <c r="E47" s="1" t="s">
        <v>2641</v>
      </c>
      <c r="F47" s="7" t="str">
        <f>IFERROR(INDEX(测试!H:H,MATCH(E47,测试!A:A,0)),1)</f>
        <v>-</v>
      </c>
    </row>
    <row r="48" spans="1:6" hidden="1" x14ac:dyDescent="0.3">
      <c r="A48" s="1" t="s">
        <v>2967</v>
      </c>
      <c r="B48" s="1" t="s">
        <v>2642</v>
      </c>
      <c r="C48" s="1" t="s">
        <v>2643</v>
      </c>
      <c r="D48" s="1" t="s">
        <v>2644</v>
      </c>
      <c r="E48" s="1" t="s">
        <v>2645</v>
      </c>
      <c r="F48" s="7" t="str">
        <f>IFERROR(INDEX(测试!H:H,MATCH(E48,测试!A:A,0)),1)</f>
        <v>-</v>
      </c>
    </row>
    <row r="49" spans="1:6" hidden="1" x14ac:dyDescent="0.3">
      <c r="A49" s="1" t="s">
        <v>2967</v>
      </c>
      <c r="B49" s="1" t="s">
        <v>2646</v>
      </c>
      <c r="C49" s="1" t="s">
        <v>2647</v>
      </c>
      <c r="D49" s="1" t="s">
        <v>2648</v>
      </c>
      <c r="E49" s="1" t="s">
        <v>2649</v>
      </c>
      <c r="F49" s="7" t="str">
        <f>IFERROR(INDEX(测试!H:H,MATCH(E49,测试!A:A,0)),1)</f>
        <v>-</v>
      </c>
    </row>
    <row r="50" spans="1:6" hidden="1" x14ac:dyDescent="0.3">
      <c r="A50" s="1" t="s">
        <v>2967</v>
      </c>
      <c r="B50" s="1" t="s">
        <v>2650</v>
      </c>
      <c r="C50" s="1" t="s">
        <v>2651</v>
      </c>
      <c r="D50" s="1" t="s">
        <v>2652</v>
      </c>
      <c r="E50" s="1" t="s">
        <v>2653</v>
      </c>
      <c r="F50" s="7" t="str">
        <f>IFERROR(INDEX(测试!H:H,MATCH(E50,测试!A:A,0)),1)</f>
        <v>-</v>
      </c>
    </row>
    <row r="51" spans="1:6" hidden="1" x14ac:dyDescent="0.3">
      <c r="A51" s="1" t="s">
        <v>2967</v>
      </c>
      <c r="B51" s="1" t="s">
        <v>2654</v>
      </c>
      <c r="C51" s="1" t="s">
        <v>2655</v>
      </c>
      <c r="D51" s="1" t="s">
        <v>2656</v>
      </c>
      <c r="E51" s="1" t="s">
        <v>2657</v>
      </c>
      <c r="F51" s="7" t="str">
        <f>IFERROR(INDEX(测试!H:H,MATCH(E51,测试!A:A,0)),1)</f>
        <v>-</v>
      </c>
    </row>
    <row r="52" spans="1:6" hidden="1" x14ac:dyDescent="0.3">
      <c r="A52" s="1" t="s">
        <v>2967</v>
      </c>
      <c r="B52" s="1" t="s">
        <v>2658</v>
      </c>
      <c r="C52" s="1" t="s">
        <v>2659</v>
      </c>
      <c r="D52" s="1" t="s">
        <v>2660</v>
      </c>
      <c r="E52" s="1" t="s">
        <v>2661</v>
      </c>
      <c r="F52" s="7" t="str">
        <f>IFERROR(INDEX(测试!H:H,MATCH(E52,测试!A:A,0)),1)</f>
        <v>-</v>
      </c>
    </row>
    <row r="53" spans="1:6" hidden="1" x14ac:dyDescent="0.3">
      <c r="A53" s="1" t="s">
        <v>2967</v>
      </c>
      <c r="B53" s="1" t="s">
        <v>2662</v>
      </c>
      <c r="C53" s="1" t="s">
        <v>2663</v>
      </c>
      <c r="D53" s="1" t="s">
        <v>2664</v>
      </c>
      <c r="E53" s="1" t="s">
        <v>2665</v>
      </c>
      <c r="F53" s="7" t="str">
        <f>IFERROR(INDEX(测试!H:H,MATCH(E53,测试!A:A,0)),1)</f>
        <v>-</v>
      </c>
    </row>
    <row r="54" spans="1:6" hidden="1" x14ac:dyDescent="0.3">
      <c r="A54" s="1" t="s">
        <v>2967</v>
      </c>
      <c r="B54" s="1" t="s">
        <v>2666</v>
      </c>
      <c r="C54" s="1" t="s">
        <v>2667</v>
      </c>
      <c r="D54" s="1" t="s">
        <v>2668</v>
      </c>
      <c r="E54" s="1" t="s">
        <v>2669</v>
      </c>
      <c r="F54" s="7" t="str">
        <f>IFERROR(INDEX(测试!H:H,MATCH(E54,测试!A:A,0)),1)</f>
        <v>-</v>
      </c>
    </row>
    <row r="55" spans="1:6" hidden="1" x14ac:dyDescent="0.3">
      <c r="A55" s="1" t="s">
        <v>2967</v>
      </c>
      <c r="B55" s="1" t="s">
        <v>2670</v>
      </c>
      <c r="C55" s="1" t="s">
        <v>2671</v>
      </c>
      <c r="D55" s="1" t="s">
        <v>2672</v>
      </c>
      <c r="E55" s="1" t="s">
        <v>2673</v>
      </c>
      <c r="F55" s="7" t="str">
        <f>IFERROR(INDEX(测试!H:H,MATCH(E55,测试!A:A,0)),1)</f>
        <v>-</v>
      </c>
    </row>
    <row r="56" spans="1:6" hidden="1" x14ac:dyDescent="0.3">
      <c r="A56" s="1" t="s">
        <v>2967</v>
      </c>
      <c r="B56" s="1" t="s">
        <v>2674</v>
      </c>
      <c r="C56" s="1" t="s">
        <v>2675</v>
      </c>
      <c r="D56" s="1" t="s">
        <v>2676</v>
      </c>
      <c r="E56" s="14" t="s">
        <v>3008</v>
      </c>
      <c r="F56" s="7" t="str">
        <f>IFERROR(INDEX(测试!H:H,MATCH(E56,测试!A:A,0)),1)</f>
        <v>-</v>
      </c>
    </row>
    <row r="57" spans="1:6" hidden="1" x14ac:dyDescent="0.3">
      <c r="A57" s="1" t="s">
        <v>2967</v>
      </c>
      <c r="B57" s="1" t="s">
        <v>2677</v>
      </c>
      <c r="C57" s="1" t="s">
        <v>2678</v>
      </c>
      <c r="D57" s="1" t="s">
        <v>2679</v>
      </c>
      <c r="E57" s="1" t="s">
        <v>2680</v>
      </c>
      <c r="F57" s="7" t="str">
        <f>IFERROR(INDEX(测试!H:H,MATCH(E57,测试!A:A,0)),1)</f>
        <v>-</v>
      </c>
    </row>
    <row r="58" spans="1:6" hidden="1" x14ac:dyDescent="0.3">
      <c r="A58" s="1" t="s">
        <v>2967</v>
      </c>
      <c r="B58" s="1" t="s">
        <v>2681</v>
      </c>
      <c r="C58" s="1" t="s">
        <v>2682</v>
      </c>
      <c r="D58" s="1" t="s">
        <v>2683</v>
      </c>
      <c r="E58" s="1" t="s">
        <v>2684</v>
      </c>
      <c r="F58" s="7" t="str">
        <f>IFERROR(INDEX(测试!H:H,MATCH(E58,测试!A:A,0)),1)</f>
        <v>-</v>
      </c>
    </row>
    <row r="59" spans="1:6" hidden="1" x14ac:dyDescent="0.3">
      <c r="A59" s="1" t="s">
        <v>2967</v>
      </c>
      <c r="B59" s="1" t="s">
        <v>2685</v>
      </c>
      <c r="C59" s="1" t="s">
        <v>2686</v>
      </c>
      <c r="D59" s="1" t="s">
        <v>2687</v>
      </c>
      <c r="E59" s="1" t="s">
        <v>2688</v>
      </c>
      <c r="F59" s="7" t="str">
        <f>IFERROR(INDEX(测试!H:H,MATCH(E59,测试!A:A,0)),1)</f>
        <v>-</v>
      </c>
    </row>
    <row r="60" spans="1:6" hidden="1" x14ac:dyDescent="0.3">
      <c r="A60" s="1" t="s">
        <v>2967</v>
      </c>
      <c r="B60" s="1" t="s">
        <v>2689</v>
      </c>
      <c r="C60" s="1" t="s">
        <v>2690</v>
      </c>
      <c r="D60" s="1" t="s">
        <v>2691</v>
      </c>
      <c r="E60" s="1" t="s">
        <v>2692</v>
      </c>
      <c r="F60" s="7" t="str">
        <f>IFERROR(INDEX(测试!H:H,MATCH(E60,测试!A:A,0)),1)</f>
        <v>-</v>
      </c>
    </row>
    <row r="61" spans="1:6" hidden="1" x14ac:dyDescent="0.3">
      <c r="A61" s="1" t="s">
        <v>2967</v>
      </c>
      <c r="B61" s="1" t="s">
        <v>2693</v>
      </c>
      <c r="C61" s="1" t="s">
        <v>2694</v>
      </c>
      <c r="D61" s="1" t="s">
        <v>2695</v>
      </c>
      <c r="E61" s="1" t="s">
        <v>2696</v>
      </c>
      <c r="F61" s="7" t="str">
        <f>IFERROR(INDEX(测试!H:H,MATCH(E61,测试!A:A,0)),1)</f>
        <v>-</v>
      </c>
    </row>
    <row r="62" spans="1:6" hidden="1" x14ac:dyDescent="0.3">
      <c r="A62" s="1" t="s">
        <v>2967</v>
      </c>
      <c r="B62" s="1" t="s">
        <v>2697</v>
      </c>
      <c r="C62" s="1" t="s">
        <v>2698</v>
      </c>
      <c r="D62" s="1" t="s">
        <v>2699</v>
      </c>
      <c r="E62" s="1" t="s">
        <v>2700</v>
      </c>
      <c r="F62" s="7" t="str">
        <f>IFERROR(INDEX(测试!H:H,MATCH(E62,测试!A:A,0)),1)</f>
        <v>-</v>
      </c>
    </row>
    <row r="63" spans="1:6" hidden="1" x14ac:dyDescent="0.3">
      <c r="A63" s="1" t="s">
        <v>2967</v>
      </c>
      <c r="B63" s="1" t="s">
        <v>2701</v>
      </c>
      <c r="C63" s="1" t="s">
        <v>2702</v>
      </c>
      <c r="D63" s="1" t="s">
        <v>2703</v>
      </c>
      <c r="E63" s="1" t="s">
        <v>2704</v>
      </c>
      <c r="F63" s="7" t="str">
        <f>IFERROR(INDEX(测试!H:H,MATCH(E63,测试!A:A,0)),1)</f>
        <v>-</v>
      </c>
    </row>
    <row r="64" spans="1:6" hidden="1" x14ac:dyDescent="0.3">
      <c r="A64" s="1" t="s">
        <v>2967</v>
      </c>
      <c r="B64" s="1" t="s">
        <v>2705</v>
      </c>
      <c r="C64" s="1" t="s">
        <v>2706</v>
      </c>
      <c r="D64" s="1" t="s">
        <v>2707</v>
      </c>
      <c r="E64" s="1" t="s">
        <v>2708</v>
      </c>
      <c r="F64" s="7" t="str">
        <f>IFERROR(INDEX(测试!H:H,MATCH(E64,测试!A:A,0)),1)</f>
        <v>-</v>
      </c>
    </row>
    <row r="65" spans="1:6" hidden="1" x14ac:dyDescent="0.3">
      <c r="A65" s="1" t="s">
        <v>2967</v>
      </c>
      <c r="B65" s="1" t="s">
        <v>2709</v>
      </c>
      <c r="C65" s="1" t="s">
        <v>2710</v>
      </c>
      <c r="D65" s="1" t="s">
        <v>2711</v>
      </c>
      <c r="E65" s="14" t="s">
        <v>3009</v>
      </c>
      <c r="F65" s="7" t="str">
        <f>IFERROR(INDEX(测试!H:H,MATCH(E65,测试!A:A,0)),1)</f>
        <v>-</v>
      </c>
    </row>
    <row r="66" spans="1:6" hidden="1" x14ac:dyDescent="0.3">
      <c r="A66" s="1" t="s">
        <v>2967</v>
      </c>
      <c r="B66" s="1" t="s">
        <v>2712</v>
      </c>
      <c r="C66" s="1" t="s">
        <v>2713</v>
      </c>
      <c r="D66" s="1" t="s">
        <v>2714</v>
      </c>
      <c r="E66" s="1" t="s">
        <v>2715</v>
      </c>
      <c r="F66" s="7" t="str">
        <f>IFERROR(INDEX(测试!H:H,MATCH(E66,测试!A:A,0)),1)</f>
        <v>-</v>
      </c>
    </row>
    <row r="67" spans="1:6" hidden="1" x14ac:dyDescent="0.3">
      <c r="A67" s="1" t="s">
        <v>2967</v>
      </c>
      <c r="B67" s="1" t="s">
        <v>2716</v>
      </c>
      <c r="C67" s="1" t="s">
        <v>2717</v>
      </c>
      <c r="D67" s="1" t="s">
        <v>2718</v>
      </c>
      <c r="E67" s="14" t="s">
        <v>3010</v>
      </c>
      <c r="F67" s="7" t="str">
        <f>IFERROR(INDEX(测试!H:H,MATCH(E67,测试!A:A,0)),1)</f>
        <v>-</v>
      </c>
    </row>
    <row r="68" spans="1:6" hidden="1" x14ac:dyDescent="0.3">
      <c r="A68" s="1" t="s">
        <v>2967</v>
      </c>
      <c r="B68" s="1" t="s">
        <v>2719</v>
      </c>
      <c r="C68" s="1" t="s">
        <v>2720</v>
      </c>
      <c r="D68" s="1" t="s">
        <v>2721</v>
      </c>
      <c r="E68" s="1" t="s">
        <v>2722</v>
      </c>
      <c r="F68" s="7" t="str">
        <f>IFERROR(INDEX(测试!H:H,MATCH(E68,测试!A:A,0)),1)</f>
        <v>-</v>
      </c>
    </row>
    <row r="69" spans="1:6" hidden="1" x14ac:dyDescent="0.3">
      <c r="A69" s="1" t="s">
        <v>2967</v>
      </c>
      <c r="B69" s="1" t="s">
        <v>2723</v>
      </c>
      <c r="C69" s="1" t="s">
        <v>2724</v>
      </c>
      <c r="D69" s="1" t="s">
        <v>2725</v>
      </c>
      <c r="E69" s="1" t="s">
        <v>2726</v>
      </c>
      <c r="F69" s="7" t="str">
        <f>IFERROR(INDEX(测试!H:H,MATCH(E69,测试!A:A,0)),1)</f>
        <v>-</v>
      </c>
    </row>
    <row r="70" spans="1:6" hidden="1" x14ac:dyDescent="0.3">
      <c r="A70" s="1" t="s">
        <v>2967</v>
      </c>
      <c r="B70" s="1" t="s">
        <v>2727</v>
      </c>
      <c r="C70" s="1" t="s">
        <v>2728</v>
      </c>
      <c r="D70" s="1" t="s">
        <v>2729</v>
      </c>
      <c r="E70" s="1" t="s">
        <v>2730</v>
      </c>
      <c r="F70" s="7" t="str">
        <f>IFERROR(INDEX(测试!H:H,MATCH(E70,测试!A:A,0)),1)</f>
        <v>-</v>
      </c>
    </row>
    <row r="71" spans="1:6" hidden="1" x14ac:dyDescent="0.3">
      <c r="A71" s="1" t="s">
        <v>2967</v>
      </c>
      <c r="B71" s="1" t="s">
        <v>2731</v>
      </c>
      <c r="C71" s="1" t="s">
        <v>2732</v>
      </c>
      <c r="D71" s="1" t="s">
        <v>2733</v>
      </c>
      <c r="E71" s="1" t="s">
        <v>2734</v>
      </c>
      <c r="F71" s="7" t="str">
        <f>IFERROR(INDEX(测试!H:H,MATCH(E71,测试!A:A,0)),1)</f>
        <v>-</v>
      </c>
    </row>
    <row r="72" spans="1:6" hidden="1" x14ac:dyDescent="0.3">
      <c r="A72" s="1" t="s">
        <v>2967</v>
      </c>
      <c r="B72" s="1" t="s">
        <v>2735</v>
      </c>
      <c r="C72" s="1" t="s">
        <v>2736</v>
      </c>
      <c r="D72" s="1" t="s">
        <v>2737</v>
      </c>
      <c r="E72" s="1" t="s">
        <v>2738</v>
      </c>
      <c r="F72" s="7" t="str">
        <f>IFERROR(INDEX(测试!H:H,MATCH(E72,测试!A:A,0)),1)</f>
        <v>-</v>
      </c>
    </row>
    <row r="73" spans="1:6" hidden="1" x14ac:dyDescent="0.3">
      <c r="A73" s="1" t="s">
        <v>2967</v>
      </c>
      <c r="B73" s="1" t="s">
        <v>2739</v>
      </c>
      <c r="C73" s="1" t="s">
        <v>2740</v>
      </c>
      <c r="D73" s="1" t="s">
        <v>2741</v>
      </c>
      <c r="E73" s="1" t="s">
        <v>2742</v>
      </c>
      <c r="F73" s="7" t="str">
        <f>IFERROR(INDEX(测试!H:H,MATCH(E73,测试!A:A,0)),1)</f>
        <v>-</v>
      </c>
    </row>
    <row r="74" spans="1:6" hidden="1" x14ac:dyDescent="0.3">
      <c r="A74" s="1" t="s">
        <v>2967</v>
      </c>
      <c r="B74" s="1" t="s">
        <v>2743</v>
      </c>
      <c r="C74" s="1" t="s">
        <v>2744</v>
      </c>
      <c r="D74" s="1" t="s">
        <v>2745</v>
      </c>
      <c r="E74" s="1" t="s">
        <v>2746</v>
      </c>
      <c r="F74" s="7" t="str">
        <f>IFERROR(INDEX(测试!H:H,MATCH(E74,测试!A:A,0)),1)</f>
        <v>-</v>
      </c>
    </row>
    <row r="75" spans="1:6" hidden="1" x14ac:dyDescent="0.3">
      <c r="A75" s="1" t="s">
        <v>2967</v>
      </c>
      <c r="B75" s="1" t="s">
        <v>2747</v>
      </c>
      <c r="C75" s="1" t="s">
        <v>2748</v>
      </c>
      <c r="D75" s="1" t="s">
        <v>2749</v>
      </c>
      <c r="E75" s="1" t="s">
        <v>2750</v>
      </c>
      <c r="F75" s="7" t="str">
        <f>IFERROR(INDEX(测试!H:H,MATCH(E75,测试!A:A,0)),1)</f>
        <v>-</v>
      </c>
    </row>
    <row r="76" spans="1:6" hidden="1" x14ac:dyDescent="0.3">
      <c r="A76" s="1" t="s">
        <v>2967</v>
      </c>
      <c r="B76" s="1" t="s">
        <v>2751</v>
      </c>
      <c r="C76" s="1" t="s">
        <v>2752</v>
      </c>
      <c r="D76" s="1" t="s">
        <v>2753</v>
      </c>
      <c r="E76" s="1" t="s">
        <v>2754</v>
      </c>
      <c r="F76" s="7" t="str">
        <f>IFERROR(INDEX(测试!H:H,MATCH(E76,测试!A:A,0)),1)</f>
        <v>-</v>
      </c>
    </row>
    <row r="77" spans="1:6" hidden="1" x14ac:dyDescent="0.3">
      <c r="A77" s="1" t="s">
        <v>2967</v>
      </c>
      <c r="B77" s="1" t="s">
        <v>2755</v>
      </c>
      <c r="C77" s="1" t="s">
        <v>2756</v>
      </c>
      <c r="D77" s="1" t="s">
        <v>2757</v>
      </c>
      <c r="E77" s="1" t="s">
        <v>2758</v>
      </c>
      <c r="F77" s="7" t="str">
        <f>IFERROR(INDEX(测试!H:H,MATCH(E77,测试!A:A,0)),1)</f>
        <v>-</v>
      </c>
    </row>
    <row r="78" spans="1:6" hidden="1" x14ac:dyDescent="0.3">
      <c r="A78" s="1" t="s">
        <v>2967</v>
      </c>
      <c r="B78" s="1" t="s">
        <v>2759</v>
      </c>
      <c r="C78" s="1" t="s">
        <v>2760</v>
      </c>
      <c r="D78" s="1" t="s">
        <v>2761</v>
      </c>
      <c r="E78" s="1" t="s">
        <v>2762</v>
      </c>
      <c r="F78" s="7" t="str">
        <f>IFERROR(INDEX(测试!H:H,MATCH(E78,测试!A:A,0)),1)</f>
        <v>-</v>
      </c>
    </row>
    <row r="79" spans="1:6" hidden="1" x14ac:dyDescent="0.3">
      <c r="A79" s="1" t="s">
        <v>2967</v>
      </c>
      <c r="B79" s="1" t="s">
        <v>2763</v>
      </c>
      <c r="C79" s="1" t="s">
        <v>2764</v>
      </c>
      <c r="D79" s="1" t="s">
        <v>2765</v>
      </c>
      <c r="E79" s="1" t="s">
        <v>2766</v>
      </c>
      <c r="F79" s="7" t="str">
        <f>IFERROR(INDEX(测试!H:H,MATCH(E79,测试!A:A,0)),1)</f>
        <v>-</v>
      </c>
    </row>
    <row r="80" spans="1:6" hidden="1" x14ac:dyDescent="0.3">
      <c r="A80" s="1" t="s">
        <v>2967</v>
      </c>
      <c r="B80" s="1" t="s">
        <v>2767</v>
      </c>
      <c r="C80" s="1" t="s">
        <v>2768</v>
      </c>
      <c r="D80" s="1" t="s">
        <v>2769</v>
      </c>
      <c r="E80" s="1" t="s">
        <v>2770</v>
      </c>
      <c r="F80" s="7" t="str">
        <f>IFERROR(INDEX(测试!H:H,MATCH(E80,测试!A:A,0)),1)</f>
        <v>-</v>
      </c>
    </row>
    <row r="81" spans="1:6" hidden="1" x14ac:dyDescent="0.3">
      <c r="A81" s="1" t="s">
        <v>2967</v>
      </c>
      <c r="B81" s="1" t="s">
        <v>2771</v>
      </c>
      <c r="C81" s="1" t="s">
        <v>2772</v>
      </c>
      <c r="D81" s="1" t="s">
        <v>2773</v>
      </c>
      <c r="E81" s="1" t="s">
        <v>2774</v>
      </c>
      <c r="F81" s="7" t="str">
        <f>IFERROR(INDEX(测试!H:H,MATCH(E81,测试!A:A,0)),1)</f>
        <v>-</v>
      </c>
    </row>
    <row r="82" spans="1:6" hidden="1" x14ac:dyDescent="0.3">
      <c r="A82" s="1" t="s">
        <v>2967</v>
      </c>
      <c r="B82" s="1" t="s">
        <v>2775</v>
      </c>
      <c r="C82" s="1" t="s">
        <v>2776</v>
      </c>
      <c r="D82" s="1" t="s">
        <v>2777</v>
      </c>
      <c r="E82" s="1" t="s">
        <v>2778</v>
      </c>
      <c r="F82" s="7" t="str">
        <f>IFERROR(INDEX(测试!H:H,MATCH(E82,测试!A:A,0)),1)</f>
        <v>-</v>
      </c>
    </row>
    <row r="83" spans="1:6" hidden="1" x14ac:dyDescent="0.3">
      <c r="A83" s="1" t="s">
        <v>2967</v>
      </c>
      <c r="B83" s="1" t="s">
        <v>2779</v>
      </c>
      <c r="C83" s="1" t="s">
        <v>2780</v>
      </c>
      <c r="D83" s="1" t="s">
        <v>2781</v>
      </c>
      <c r="E83" s="1" t="s">
        <v>2782</v>
      </c>
      <c r="F83" s="7" t="str">
        <f>IFERROR(INDEX(测试!H:H,MATCH(E83,测试!A:A,0)),1)</f>
        <v>-</v>
      </c>
    </row>
    <row r="84" spans="1:6" hidden="1" x14ac:dyDescent="0.3">
      <c r="A84" s="1" t="s">
        <v>2967</v>
      </c>
      <c r="B84" s="1" t="s">
        <v>2783</v>
      </c>
      <c r="C84" s="1" t="s">
        <v>2784</v>
      </c>
      <c r="D84" s="1" t="s">
        <v>2785</v>
      </c>
      <c r="E84" s="1" t="s">
        <v>2786</v>
      </c>
      <c r="F84" s="7" t="str">
        <f>IFERROR(INDEX(测试!H:H,MATCH(E84,测试!A:A,0)),1)</f>
        <v>-</v>
      </c>
    </row>
    <row r="85" spans="1:6" hidden="1" x14ac:dyDescent="0.3">
      <c r="A85" s="1" t="s">
        <v>2967</v>
      </c>
      <c r="B85" s="1" t="s">
        <v>2787</v>
      </c>
      <c r="C85" s="1" t="s">
        <v>2788</v>
      </c>
      <c r="D85" s="1" t="s">
        <v>2789</v>
      </c>
      <c r="E85" s="14" t="s">
        <v>3011</v>
      </c>
      <c r="F85" s="7" t="str">
        <f>IFERROR(INDEX(测试!H:H,MATCH(E85,测试!A:A,0)),1)</f>
        <v>-</v>
      </c>
    </row>
    <row r="86" spans="1:6" hidden="1" x14ac:dyDescent="0.3">
      <c r="A86" s="1" t="s">
        <v>2967</v>
      </c>
      <c r="B86" s="1" t="s">
        <v>2790</v>
      </c>
      <c r="C86" s="1" t="s">
        <v>2791</v>
      </c>
      <c r="D86" s="1" t="s">
        <v>2792</v>
      </c>
      <c r="E86" s="1" t="s">
        <v>2793</v>
      </c>
      <c r="F86" s="7" t="str">
        <f>IFERROR(INDEX(测试!H:H,MATCH(E86,测试!A:A,0)),1)</f>
        <v>-</v>
      </c>
    </row>
    <row r="87" spans="1:6" hidden="1" x14ac:dyDescent="0.3">
      <c r="A87" s="1" t="s">
        <v>2967</v>
      </c>
      <c r="B87" s="1" t="s">
        <v>2794</v>
      </c>
      <c r="C87" s="1" t="s">
        <v>2795</v>
      </c>
      <c r="D87" s="1" t="s">
        <v>2796</v>
      </c>
      <c r="E87" s="14" t="s">
        <v>3012</v>
      </c>
      <c r="F87" s="7" t="str">
        <f>IFERROR(INDEX(测试!H:H,MATCH(E87,测试!A:A,0)),1)</f>
        <v>-</v>
      </c>
    </row>
    <row r="88" spans="1:6" hidden="1" x14ac:dyDescent="0.3">
      <c r="A88" s="1" t="s">
        <v>2967</v>
      </c>
      <c r="B88" s="1" t="s">
        <v>2797</v>
      </c>
      <c r="C88" s="1" t="s">
        <v>2798</v>
      </c>
      <c r="D88" s="1" t="s">
        <v>2799</v>
      </c>
      <c r="E88" s="1" t="s">
        <v>2800</v>
      </c>
      <c r="F88" s="7" t="str">
        <f>IFERROR(INDEX(测试!H:H,MATCH(E88,测试!A:A,0)),1)</f>
        <v>-</v>
      </c>
    </row>
    <row r="89" spans="1:6" hidden="1" x14ac:dyDescent="0.3">
      <c r="A89" s="1" t="s">
        <v>2967</v>
      </c>
      <c r="B89" s="1" t="s">
        <v>2801</v>
      </c>
      <c r="C89" s="1" t="s">
        <v>2802</v>
      </c>
      <c r="D89" s="1" t="s">
        <v>2803</v>
      </c>
      <c r="E89" s="1" t="s">
        <v>2804</v>
      </c>
      <c r="F89" s="7" t="str">
        <f>IFERROR(INDEX(测试!H:H,MATCH(E89,测试!A:A,0)),1)</f>
        <v>-</v>
      </c>
    </row>
    <row r="90" spans="1:6" hidden="1" x14ac:dyDescent="0.3">
      <c r="A90" s="1" t="s">
        <v>2967</v>
      </c>
      <c r="B90" s="1" t="s">
        <v>2805</v>
      </c>
      <c r="C90" s="1" t="s">
        <v>2806</v>
      </c>
      <c r="D90" s="1" t="s">
        <v>2807</v>
      </c>
      <c r="E90" s="1" t="s">
        <v>2808</v>
      </c>
      <c r="F90" s="7" t="str">
        <f>IFERROR(INDEX(测试!H:H,MATCH(E90,测试!A:A,0)),1)</f>
        <v>-</v>
      </c>
    </row>
    <row r="91" spans="1:6" hidden="1" x14ac:dyDescent="0.3">
      <c r="A91" s="1" t="s">
        <v>2967</v>
      </c>
      <c r="B91" s="1" t="s">
        <v>2809</v>
      </c>
      <c r="C91" s="1" t="s">
        <v>2810</v>
      </c>
      <c r="D91" s="1" t="s">
        <v>2811</v>
      </c>
      <c r="E91" s="14" t="s">
        <v>3013</v>
      </c>
      <c r="F91" s="7" t="str">
        <f>IFERROR(INDEX(测试!H:H,MATCH(E91,测试!A:A,0)),1)</f>
        <v>-</v>
      </c>
    </row>
    <row r="92" spans="1:6" hidden="1" x14ac:dyDescent="0.3">
      <c r="A92" s="1" t="s">
        <v>2967</v>
      </c>
      <c r="B92" s="1" t="s">
        <v>2812</v>
      </c>
      <c r="C92" s="1" t="s">
        <v>2813</v>
      </c>
      <c r="D92" s="1" t="s">
        <v>2814</v>
      </c>
      <c r="E92" s="1" t="s">
        <v>2815</v>
      </c>
      <c r="F92" s="7" t="str">
        <f>IFERROR(INDEX(测试!H:H,MATCH(E92,测试!A:A,0)),1)</f>
        <v>-</v>
      </c>
    </row>
    <row r="93" spans="1:6" hidden="1" x14ac:dyDescent="0.3">
      <c r="A93" s="1" t="s">
        <v>2967</v>
      </c>
      <c r="B93" s="1" t="s">
        <v>2816</v>
      </c>
      <c r="C93" s="1" t="s">
        <v>2817</v>
      </c>
      <c r="D93" s="1" t="s">
        <v>2818</v>
      </c>
      <c r="E93" s="1" t="s">
        <v>2819</v>
      </c>
      <c r="F93" s="7" t="str">
        <f>IFERROR(INDEX(测试!H:H,MATCH(E93,测试!A:A,0)),1)</f>
        <v>-</v>
      </c>
    </row>
    <row r="94" spans="1:6" hidden="1" x14ac:dyDescent="0.3">
      <c r="A94" s="1" t="s">
        <v>2967</v>
      </c>
      <c r="B94" s="1" t="s">
        <v>2820</v>
      </c>
      <c r="C94" s="1" t="s">
        <v>2821</v>
      </c>
      <c r="D94" s="1" t="s">
        <v>2822</v>
      </c>
      <c r="E94" s="1" t="s">
        <v>2823</v>
      </c>
      <c r="F94" s="7" t="str">
        <f>IFERROR(INDEX(测试!H:H,MATCH(E94,测试!A:A,0)),1)</f>
        <v>-</v>
      </c>
    </row>
    <row r="95" spans="1:6" hidden="1" x14ac:dyDescent="0.3">
      <c r="A95" s="1" t="s">
        <v>2967</v>
      </c>
      <c r="B95" s="1" t="s">
        <v>2824</v>
      </c>
      <c r="C95" s="1" t="s">
        <v>2825</v>
      </c>
      <c r="D95" s="1" t="s">
        <v>2826</v>
      </c>
      <c r="E95" s="1" t="s">
        <v>2827</v>
      </c>
      <c r="F95" s="7" t="str">
        <f>IFERROR(INDEX(测试!H:H,MATCH(E95,测试!A:A,0)),1)</f>
        <v>-</v>
      </c>
    </row>
    <row r="96" spans="1:6" hidden="1" x14ac:dyDescent="0.3">
      <c r="A96" s="1" t="s">
        <v>2967</v>
      </c>
      <c r="B96" s="1" t="s">
        <v>2828</v>
      </c>
      <c r="C96" s="1" t="s">
        <v>2829</v>
      </c>
      <c r="D96" s="1" t="s">
        <v>2830</v>
      </c>
      <c r="E96" s="1" t="s">
        <v>2831</v>
      </c>
      <c r="F96" s="7" t="str">
        <f>IFERROR(INDEX(测试!H:H,MATCH(E96,测试!A:A,0)),1)</f>
        <v>-</v>
      </c>
    </row>
    <row r="97" spans="1:6" hidden="1" x14ac:dyDescent="0.3">
      <c r="A97" s="1" t="s">
        <v>2967</v>
      </c>
      <c r="B97" s="1" t="s">
        <v>2832</v>
      </c>
      <c r="C97" s="1" t="s">
        <v>2833</v>
      </c>
      <c r="D97" s="1" t="s">
        <v>2834</v>
      </c>
      <c r="E97" s="1" t="s">
        <v>2835</v>
      </c>
      <c r="F97" s="7" t="str">
        <f>IFERROR(INDEX(测试!H:H,MATCH(E97,测试!A:A,0)),1)</f>
        <v>-</v>
      </c>
    </row>
    <row r="98" spans="1:6" hidden="1" x14ac:dyDescent="0.3">
      <c r="A98" s="1" t="s">
        <v>2967</v>
      </c>
      <c r="B98" s="1" t="s">
        <v>2836</v>
      </c>
      <c r="C98" s="1" t="s">
        <v>2837</v>
      </c>
      <c r="D98" s="1" t="s">
        <v>2838</v>
      </c>
      <c r="E98" s="1" t="s">
        <v>2839</v>
      </c>
      <c r="F98" s="7" t="str">
        <f>IFERROR(INDEX(测试!H:H,MATCH(E98,测试!A:A,0)),1)</f>
        <v>-</v>
      </c>
    </row>
    <row r="99" spans="1:6" hidden="1" x14ac:dyDescent="0.3">
      <c r="A99" s="1" t="s">
        <v>2967</v>
      </c>
      <c r="B99" s="1" t="s">
        <v>2840</v>
      </c>
      <c r="C99" s="1" t="s">
        <v>2841</v>
      </c>
      <c r="D99" s="1" t="s">
        <v>2842</v>
      </c>
      <c r="E99" s="1" t="s">
        <v>2843</v>
      </c>
      <c r="F99" s="7" t="str">
        <f>IFERROR(INDEX(测试!H:H,MATCH(E99,测试!A:A,0)),1)</f>
        <v>-</v>
      </c>
    </row>
    <row r="100" spans="1:6" hidden="1" x14ac:dyDescent="0.3">
      <c r="A100" s="1" t="s">
        <v>2967</v>
      </c>
      <c r="B100" s="1" t="s">
        <v>2844</v>
      </c>
      <c r="C100" s="1" t="s">
        <v>2845</v>
      </c>
      <c r="D100" s="1" t="s">
        <v>2846</v>
      </c>
      <c r="E100" s="1" t="s">
        <v>2847</v>
      </c>
      <c r="F100" s="7" t="str">
        <f>IFERROR(INDEX(测试!H:H,MATCH(E100,测试!A:A,0)),1)</f>
        <v>-</v>
      </c>
    </row>
    <row r="101" spans="1:6" hidden="1" x14ac:dyDescent="0.3">
      <c r="A101" s="1" t="s">
        <v>2967</v>
      </c>
      <c r="B101" s="1" t="s">
        <v>2848</v>
      </c>
      <c r="C101" s="1" t="s">
        <v>2849</v>
      </c>
      <c r="D101" s="1" t="s">
        <v>2850</v>
      </c>
      <c r="E101" s="1" t="s">
        <v>2851</v>
      </c>
      <c r="F101" s="7" t="str">
        <f>IFERROR(INDEX(测试!H:H,MATCH(E101,测试!A:A,0)),1)</f>
        <v>-</v>
      </c>
    </row>
    <row r="102" spans="1:6" hidden="1" x14ac:dyDescent="0.3">
      <c r="A102" s="1" t="s">
        <v>2967</v>
      </c>
      <c r="B102" s="1" t="s">
        <v>2852</v>
      </c>
      <c r="C102" s="1" t="s">
        <v>2853</v>
      </c>
      <c r="D102" s="1" t="s">
        <v>2854</v>
      </c>
      <c r="E102" s="1" t="s">
        <v>2855</v>
      </c>
      <c r="F102" s="7" t="str">
        <f>IFERROR(INDEX(测试!H:H,MATCH(E102,测试!A:A,0)),1)</f>
        <v>-</v>
      </c>
    </row>
    <row r="103" spans="1:6" hidden="1" x14ac:dyDescent="0.3">
      <c r="A103" s="1" t="s">
        <v>2967</v>
      </c>
      <c r="B103" s="1" t="s">
        <v>2856</v>
      </c>
      <c r="C103" s="1" t="s">
        <v>2857</v>
      </c>
      <c r="D103" s="1" t="s">
        <v>2858</v>
      </c>
      <c r="E103" s="1" t="s">
        <v>2859</v>
      </c>
      <c r="F103" s="7" t="str">
        <f>IFERROR(INDEX(测试!H:H,MATCH(E103,测试!A:A,0)),1)</f>
        <v>-</v>
      </c>
    </row>
    <row r="104" spans="1:6" hidden="1" x14ac:dyDescent="0.3">
      <c r="A104" s="1" t="s">
        <v>2967</v>
      </c>
      <c r="B104" s="1" t="s">
        <v>2860</v>
      </c>
      <c r="C104" s="1" t="s">
        <v>2861</v>
      </c>
      <c r="D104" s="1" t="s">
        <v>2862</v>
      </c>
      <c r="E104" s="1" t="s">
        <v>2863</v>
      </c>
      <c r="F104" s="7" t="str">
        <f>IFERROR(INDEX(测试!H:H,MATCH(E104,测试!A:A,0)),1)</f>
        <v>-</v>
      </c>
    </row>
    <row r="105" spans="1:6" hidden="1" x14ac:dyDescent="0.3">
      <c r="A105" s="1" t="s">
        <v>2967</v>
      </c>
      <c r="B105" s="1" t="s">
        <v>2864</v>
      </c>
      <c r="C105" s="1" t="s">
        <v>2865</v>
      </c>
      <c r="D105" s="1" t="s">
        <v>2866</v>
      </c>
      <c r="E105" s="1" t="s">
        <v>2867</v>
      </c>
      <c r="F105" s="7" t="str">
        <f>IFERROR(INDEX(测试!H:H,MATCH(E105,测试!A:A,0)),1)</f>
        <v>-</v>
      </c>
    </row>
    <row r="106" spans="1:6" hidden="1" x14ac:dyDescent="0.3">
      <c r="A106" s="1" t="s">
        <v>2967</v>
      </c>
      <c r="B106" s="1" t="s">
        <v>2868</v>
      </c>
      <c r="C106" s="1" t="s">
        <v>2869</v>
      </c>
      <c r="D106" s="1" t="s">
        <v>2870</v>
      </c>
      <c r="E106" s="1" t="s">
        <v>2871</v>
      </c>
      <c r="F106" s="7" t="str">
        <f>IFERROR(INDEX(测试!H:H,MATCH(E106,测试!A:A,0)),1)</f>
        <v>-</v>
      </c>
    </row>
    <row r="107" spans="1:6" hidden="1" x14ac:dyDescent="0.3">
      <c r="A107" s="1" t="s">
        <v>2967</v>
      </c>
      <c r="B107" s="1" t="s">
        <v>2872</v>
      </c>
      <c r="C107" s="1" t="s">
        <v>2873</v>
      </c>
      <c r="D107" s="1" t="s">
        <v>2874</v>
      </c>
      <c r="E107" s="1" t="s">
        <v>2875</v>
      </c>
      <c r="F107" s="7" t="str">
        <f>IFERROR(INDEX(测试!H:H,MATCH(E107,测试!A:A,0)),1)</f>
        <v>-</v>
      </c>
    </row>
    <row r="108" spans="1:6" hidden="1" x14ac:dyDescent="0.3">
      <c r="A108" s="1" t="s">
        <v>2967</v>
      </c>
      <c r="B108" s="1" t="s">
        <v>2876</v>
      </c>
      <c r="C108" s="1" t="s">
        <v>2877</v>
      </c>
      <c r="D108" s="1" t="s">
        <v>2878</v>
      </c>
      <c r="E108" s="1" t="s">
        <v>2879</v>
      </c>
      <c r="F108" s="7" t="str">
        <f>IFERROR(INDEX(测试!H:H,MATCH(E108,测试!A:A,0)),1)</f>
        <v>-</v>
      </c>
    </row>
    <row r="109" spans="1:6" hidden="1" x14ac:dyDescent="0.3">
      <c r="A109" s="1" t="s">
        <v>2967</v>
      </c>
      <c r="B109" s="1" t="s">
        <v>2880</v>
      </c>
      <c r="C109" s="1" t="s">
        <v>2881</v>
      </c>
      <c r="D109" s="1" t="s">
        <v>2882</v>
      </c>
      <c r="E109" s="1" t="s">
        <v>2883</v>
      </c>
      <c r="F109" s="7" t="str">
        <f>IFERROR(INDEX(测试!H:H,MATCH(E109,测试!A:A,0)),1)</f>
        <v>-</v>
      </c>
    </row>
    <row r="110" spans="1:6" hidden="1" x14ac:dyDescent="0.3">
      <c r="A110" s="1" t="s">
        <v>2967</v>
      </c>
      <c r="B110" s="1" t="s">
        <v>2884</v>
      </c>
      <c r="C110" s="1" t="s">
        <v>2885</v>
      </c>
      <c r="D110" s="1" t="s">
        <v>2886</v>
      </c>
      <c r="E110" s="1" t="s">
        <v>2887</v>
      </c>
      <c r="F110" s="7" t="str">
        <f>IFERROR(INDEX(测试!H:H,MATCH(E110,测试!A:A,0)),1)</f>
        <v>-</v>
      </c>
    </row>
    <row r="111" spans="1:6" hidden="1" x14ac:dyDescent="0.3">
      <c r="A111" s="1" t="s">
        <v>2967</v>
      </c>
      <c r="B111" s="1" t="s">
        <v>2888</v>
      </c>
      <c r="C111" s="1" t="s">
        <v>2889</v>
      </c>
      <c r="D111" s="1" t="s">
        <v>2890</v>
      </c>
      <c r="E111" s="1" t="s">
        <v>2891</v>
      </c>
      <c r="F111" s="7" t="str">
        <f>IFERROR(INDEX(测试!H:H,MATCH(E111,测试!A:A,0)),1)</f>
        <v>-</v>
      </c>
    </row>
    <row r="112" spans="1:6" hidden="1" x14ac:dyDescent="0.3">
      <c r="A112" s="1" t="s">
        <v>2967</v>
      </c>
      <c r="B112" s="1" t="s">
        <v>2892</v>
      </c>
      <c r="C112" s="1" t="s">
        <v>2893</v>
      </c>
      <c r="D112" s="1" t="s">
        <v>2894</v>
      </c>
      <c r="E112" s="1" t="s">
        <v>2895</v>
      </c>
      <c r="F112" s="7" t="str">
        <f>IFERROR(INDEX(测试!H:H,MATCH(E112,测试!A:A,0)),1)</f>
        <v>-</v>
      </c>
    </row>
    <row r="113" spans="1:6" hidden="1" x14ac:dyDescent="0.3">
      <c r="A113" s="1" t="s">
        <v>2967</v>
      </c>
      <c r="B113" s="1" t="s">
        <v>2896</v>
      </c>
      <c r="C113" s="1" t="s">
        <v>2897</v>
      </c>
      <c r="D113" s="1" t="s">
        <v>2898</v>
      </c>
      <c r="E113" s="1" t="s">
        <v>2899</v>
      </c>
      <c r="F113" s="7" t="str">
        <f>IFERROR(INDEX(测试!H:H,MATCH(E113,测试!A:A,0)),1)</f>
        <v>-</v>
      </c>
    </row>
    <row r="114" spans="1:6" hidden="1" x14ac:dyDescent="0.3">
      <c r="A114" s="1" t="s">
        <v>2966</v>
      </c>
      <c r="B114" s="1" t="s">
        <v>2118</v>
      </c>
      <c r="C114" s="1" t="s">
        <v>2119</v>
      </c>
      <c r="D114" s="1" t="s">
        <v>2120</v>
      </c>
      <c r="E114" s="1" t="s">
        <v>2121</v>
      </c>
      <c r="F114" s="7" t="str">
        <f>IFERROR(INDEX(测试!H:H,MATCH(E114,测试!A:A,0)),1)</f>
        <v>文件名错误</v>
      </c>
    </row>
    <row r="115" spans="1:6" hidden="1" x14ac:dyDescent="0.3">
      <c r="A115" s="1" t="s">
        <v>2966</v>
      </c>
      <c r="B115" s="1" t="s">
        <v>2122</v>
      </c>
      <c r="C115" s="1" t="s">
        <v>2123</v>
      </c>
      <c r="D115" s="1" t="s">
        <v>2124</v>
      </c>
      <c r="E115" s="1" t="s">
        <v>2125</v>
      </c>
      <c r="F115" s="7" t="str">
        <f>IFERROR(INDEX(测试!H:H,MATCH(E115,测试!A:A,0)),1)</f>
        <v>-</v>
      </c>
    </row>
    <row r="116" spans="1:6" hidden="1" x14ac:dyDescent="0.3">
      <c r="A116" s="1" t="s">
        <v>2966</v>
      </c>
      <c r="B116" s="1" t="s">
        <v>2126</v>
      </c>
      <c r="C116" s="1" t="s">
        <v>2127</v>
      </c>
      <c r="D116" s="1" t="s">
        <v>2128</v>
      </c>
      <c r="E116" s="1" t="s">
        <v>2129</v>
      </c>
      <c r="F116" s="7" t="str">
        <f>IFERROR(INDEX(测试!H:H,MATCH(E116,测试!A:A,0)),1)</f>
        <v>-</v>
      </c>
    </row>
    <row r="117" spans="1:6" hidden="1" x14ac:dyDescent="0.3">
      <c r="A117" s="1" t="s">
        <v>2966</v>
      </c>
      <c r="B117" s="1" t="s">
        <v>2130</v>
      </c>
      <c r="C117" s="1" t="s">
        <v>2131</v>
      </c>
      <c r="D117" s="1" t="s">
        <v>2132</v>
      </c>
      <c r="E117" s="1" t="s">
        <v>2133</v>
      </c>
      <c r="F117" s="7" t="str">
        <f>IFERROR(INDEX(测试!H:H,MATCH(E117,测试!A:A,0)),1)</f>
        <v>-</v>
      </c>
    </row>
    <row r="118" spans="1:6" hidden="1" x14ac:dyDescent="0.3">
      <c r="A118" s="1" t="s">
        <v>2966</v>
      </c>
      <c r="B118" s="1" t="s">
        <v>2134</v>
      </c>
      <c r="C118" s="1" t="s">
        <v>2135</v>
      </c>
      <c r="D118" s="1" t="s">
        <v>2136</v>
      </c>
      <c r="E118" s="1" t="s">
        <v>2137</v>
      </c>
      <c r="F118" s="7" t="str">
        <f>IFERROR(INDEX(测试!H:H,MATCH(E118,测试!A:A,0)),1)</f>
        <v>-</v>
      </c>
    </row>
    <row r="119" spans="1:6" hidden="1" x14ac:dyDescent="0.3">
      <c r="A119" s="1" t="s">
        <v>2966</v>
      </c>
      <c r="B119" s="1" t="s">
        <v>2138</v>
      </c>
      <c r="C119" s="1" t="s">
        <v>2139</v>
      </c>
      <c r="D119" s="1" t="s">
        <v>2140</v>
      </c>
      <c r="E119" s="1" t="s">
        <v>2141</v>
      </c>
      <c r="F119" s="7" t="str">
        <f>IFERROR(INDEX(测试!H:H,MATCH(E119,测试!A:A,0)),1)</f>
        <v>-</v>
      </c>
    </row>
    <row r="120" spans="1:6" hidden="1" x14ac:dyDescent="0.3">
      <c r="A120" s="1" t="s">
        <v>2966</v>
      </c>
      <c r="B120" s="1" t="s">
        <v>2142</v>
      </c>
      <c r="C120" s="1" t="s">
        <v>2143</v>
      </c>
      <c r="D120" s="1" t="s">
        <v>2144</v>
      </c>
      <c r="E120" s="1" t="s">
        <v>2145</v>
      </c>
      <c r="F120" s="7" t="str">
        <f>IFERROR(INDEX(测试!H:H,MATCH(E120,测试!A:A,0)),1)</f>
        <v>-</v>
      </c>
    </row>
    <row r="121" spans="1:6" hidden="1" x14ac:dyDescent="0.3">
      <c r="A121" s="1" t="s">
        <v>2966</v>
      </c>
      <c r="B121" s="1" t="s">
        <v>2146</v>
      </c>
      <c r="C121" s="1" t="s">
        <v>2147</v>
      </c>
      <c r="D121" s="1" t="s">
        <v>2148</v>
      </c>
      <c r="E121" s="1" t="s">
        <v>2149</v>
      </c>
      <c r="F121" s="7" t="str">
        <f>IFERROR(INDEX(测试!H:H,MATCH(E121,测试!A:A,0)),1)</f>
        <v>-</v>
      </c>
    </row>
    <row r="122" spans="1:6" hidden="1" x14ac:dyDescent="0.3">
      <c r="A122" s="1" t="s">
        <v>2966</v>
      </c>
      <c r="B122" s="1" t="s">
        <v>2150</v>
      </c>
      <c r="C122" s="1" t="s">
        <v>2151</v>
      </c>
      <c r="D122" s="1" t="s">
        <v>2152</v>
      </c>
      <c r="E122" s="1" t="s">
        <v>2153</v>
      </c>
      <c r="F122" s="7" t="str">
        <f>IFERROR(INDEX(测试!H:H,MATCH(E122,测试!A:A,0)),1)</f>
        <v>-</v>
      </c>
    </row>
    <row r="123" spans="1:6" hidden="1" x14ac:dyDescent="0.3">
      <c r="A123" s="1" t="s">
        <v>2966</v>
      </c>
      <c r="B123" s="1" t="s">
        <v>2154</v>
      </c>
      <c r="C123" s="1" t="s">
        <v>2155</v>
      </c>
      <c r="D123" s="1" t="s">
        <v>2156</v>
      </c>
      <c r="E123" s="1" t="s">
        <v>2157</v>
      </c>
      <c r="F123" s="7" t="str">
        <f>IFERROR(INDEX(测试!H:H,MATCH(E123,测试!A:A,0)),1)</f>
        <v>-</v>
      </c>
    </row>
    <row r="124" spans="1:6" hidden="1" x14ac:dyDescent="0.3">
      <c r="A124" s="1" t="s">
        <v>2966</v>
      </c>
      <c r="B124" s="1" t="s">
        <v>2158</v>
      </c>
      <c r="C124" s="1" t="s">
        <v>2159</v>
      </c>
      <c r="D124" s="1" t="s">
        <v>2160</v>
      </c>
      <c r="E124" s="1" t="s">
        <v>2161</v>
      </c>
      <c r="F124" s="7" t="str">
        <f>IFERROR(INDEX(测试!H:H,MATCH(E124,测试!A:A,0)),1)</f>
        <v>-</v>
      </c>
    </row>
    <row r="125" spans="1:6" hidden="1" x14ac:dyDescent="0.3">
      <c r="A125" s="1" t="s">
        <v>2966</v>
      </c>
      <c r="B125" s="1" t="s">
        <v>2162</v>
      </c>
      <c r="C125" s="1" t="s">
        <v>2163</v>
      </c>
      <c r="D125" s="1" t="s">
        <v>2164</v>
      </c>
      <c r="E125" s="1" t="s">
        <v>2165</v>
      </c>
      <c r="F125" s="7" t="str">
        <f>IFERROR(INDEX(测试!H:H,MATCH(E125,测试!A:A,0)),1)</f>
        <v>文件名错误</v>
      </c>
    </row>
    <row r="126" spans="1:6" hidden="1" x14ac:dyDescent="0.3">
      <c r="A126" s="1" t="s">
        <v>2966</v>
      </c>
      <c r="B126" s="1" t="s">
        <v>2166</v>
      </c>
      <c r="C126" s="1" t="s">
        <v>2167</v>
      </c>
      <c r="D126" s="1" t="s">
        <v>2168</v>
      </c>
      <c r="E126" s="1" t="s">
        <v>2169</v>
      </c>
      <c r="F126" s="7" t="str">
        <f>IFERROR(INDEX(测试!H:H,MATCH(E126,测试!A:A,0)),1)</f>
        <v>文件名错误</v>
      </c>
    </row>
    <row r="127" spans="1:6" hidden="1" x14ac:dyDescent="0.3">
      <c r="A127" s="1" t="s">
        <v>2966</v>
      </c>
      <c r="B127" s="1" t="s">
        <v>2170</v>
      </c>
      <c r="C127" s="1" t="s">
        <v>2171</v>
      </c>
      <c r="D127" s="1" t="s">
        <v>2172</v>
      </c>
      <c r="E127" s="1" t="s">
        <v>2173</v>
      </c>
      <c r="F127" s="7" t="str">
        <f>IFERROR(INDEX(测试!H:H,MATCH(E127,测试!A:A,0)),1)</f>
        <v>-</v>
      </c>
    </row>
    <row r="128" spans="1:6" hidden="1" x14ac:dyDescent="0.3">
      <c r="A128" s="1" t="s">
        <v>2966</v>
      </c>
      <c r="B128" s="1" t="s">
        <v>2174</v>
      </c>
      <c r="C128" s="1" t="s">
        <v>2175</v>
      </c>
      <c r="D128" s="1" t="s">
        <v>2176</v>
      </c>
      <c r="E128" s="1" t="s">
        <v>2177</v>
      </c>
      <c r="F128" s="7" t="str">
        <f>IFERROR(INDEX(测试!H:H,MATCH(E128,测试!A:A,0)),1)</f>
        <v>-</v>
      </c>
    </row>
    <row r="129" spans="1:6" hidden="1" x14ac:dyDescent="0.3">
      <c r="A129" s="1" t="s">
        <v>2966</v>
      </c>
      <c r="B129" s="1" t="s">
        <v>2178</v>
      </c>
      <c r="C129" s="1" t="s">
        <v>2179</v>
      </c>
      <c r="D129" s="1" t="s">
        <v>2180</v>
      </c>
      <c r="E129" s="1" t="s">
        <v>2181</v>
      </c>
      <c r="F129" s="7" t="str">
        <f>IFERROR(INDEX(测试!H:H,MATCH(E129,测试!A:A,0)),1)</f>
        <v>-</v>
      </c>
    </row>
    <row r="130" spans="1:6" hidden="1" x14ac:dyDescent="0.3">
      <c r="A130" s="1" t="s">
        <v>2966</v>
      </c>
      <c r="B130" s="1" t="s">
        <v>2182</v>
      </c>
      <c r="C130" s="1" t="s">
        <v>2183</v>
      </c>
      <c r="D130" s="1" t="s">
        <v>2184</v>
      </c>
      <c r="E130" s="1" t="s">
        <v>2185</v>
      </c>
      <c r="F130" s="7" t="str">
        <f>IFERROR(INDEX(测试!H:H,MATCH(E130,测试!A:A,0)),1)</f>
        <v>-</v>
      </c>
    </row>
    <row r="131" spans="1:6" hidden="1" x14ac:dyDescent="0.3">
      <c r="A131" s="1" t="s">
        <v>2966</v>
      </c>
      <c r="B131" s="1" t="s">
        <v>2186</v>
      </c>
      <c r="C131" s="1" t="s">
        <v>2187</v>
      </c>
      <c r="D131" s="1" t="s">
        <v>2188</v>
      </c>
      <c r="E131" s="1" t="s">
        <v>2189</v>
      </c>
      <c r="F131" s="7" t="str">
        <f>IFERROR(INDEX(测试!H:H,MATCH(E131,测试!A:A,0)),1)</f>
        <v>-</v>
      </c>
    </row>
    <row r="132" spans="1:6" hidden="1" x14ac:dyDescent="0.3">
      <c r="A132" s="1" t="s">
        <v>2966</v>
      </c>
      <c r="B132" s="1" t="s">
        <v>2190</v>
      </c>
      <c r="C132" s="1" t="s">
        <v>2191</v>
      </c>
      <c r="D132" s="1" t="s">
        <v>2192</v>
      </c>
      <c r="E132" s="1" t="s">
        <v>2193</v>
      </c>
      <c r="F132" s="7" t="str">
        <f>IFERROR(INDEX(测试!H:H,MATCH(E132,测试!A:A,0)),1)</f>
        <v>-</v>
      </c>
    </row>
    <row r="133" spans="1:6" hidden="1" x14ac:dyDescent="0.3">
      <c r="A133" s="1" t="s">
        <v>2966</v>
      </c>
      <c r="B133" s="1" t="s">
        <v>2194</v>
      </c>
      <c r="C133" s="1" t="s">
        <v>2195</v>
      </c>
      <c r="D133" s="1" t="s">
        <v>2196</v>
      </c>
      <c r="E133" s="1" t="s">
        <v>2197</v>
      </c>
      <c r="F133" s="7" t="str">
        <f>IFERROR(INDEX(测试!H:H,MATCH(E133,测试!A:A,0)),1)</f>
        <v>-</v>
      </c>
    </row>
    <row r="134" spans="1:6" hidden="1" x14ac:dyDescent="0.3">
      <c r="A134" s="1" t="s">
        <v>2966</v>
      </c>
      <c r="B134" s="1" t="s">
        <v>2198</v>
      </c>
      <c r="C134" s="1" t="s">
        <v>2199</v>
      </c>
      <c r="D134" s="1" t="s">
        <v>2200</v>
      </c>
      <c r="E134" s="1" t="s">
        <v>2201</v>
      </c>
      <c r="F134" s="7" t="str">
        <f>IFERROR(INDEX(测试!H:H,MATCH(E134,测试!A:A,0)),1)</f>
        <v>-</v>
      </c>
    </row>
    <row r="135" spans="1:6" hidden="1" x14ac:dyDescent="0.3">
      <c r="A135" s="1" t="s">
        <v>2966</v>
      </c>
      <c r="B135" s="1" t="s">
        <v>2202</v>
      </c>
      <c r="C135" s="1" t="s">
        <v>2203</v>
      </c>
      <c r="D135" s="1" t="s">
        <v>2204</v>
      </c>
      <c r="E135" s="1" t="s">
        <v>2205</v>
      </c>
      <c r="F135" s="7" t="str">
        <f>IFERROR(INDEX(测试!H:H,MATCH(E135,测试!A:A,0)),1)</f>
        <v>-</v>
      </c>
    </row>
    <row r="136" spans="1:6" hidden="1" x14ac:dyDescent="0.3">
      <c r="A136" s="1" t="s">
        <v>2966</v>
      </c>
      <c r="B136" s="1" t="s">
        <v>2206</v>
      </c>
      <c r="C136" s="1" t="s">
        <v>2207</v>
      </c>
      <c r="D136" s="1" t="s">
        <v>2208</v>
      </c>
      <c r="E136" s="1" t="s">
        <v>2209</v>
      </c>
      <c r="F136" s="7" t="str">
        <f>IFERROR(INDEX(测试!H:H,MATCH(E136,测试!A:A,0)),1)</f>
        <v>-</v>
      </c>
    </row>
    <row r="137" spans="1:6" hidden="1" x14ac:dyDescent="0.3">
      <c r="A137" s="1" t="s">
        <v>2966</v>
      </c>
      <c r="B137" s="1" t="s">
        <v>2210</v>
      </c>
      <c r="C137" s="1" t="s">
        <v>2211</v>
      </c>
      <c r="D137" s="1" t="s">
        <v>2212</v>
      </c>
      <c r="E137" s="1" t="s">
        <v>2213</v>
      </c>
      <c r="F137" s="7" t="str">
        <f>IFERROR(INDEX(测试!H:H,MATCH(E137,测试!A:A,0)),1)</f>
        <v>-</v>
      </c>
    </row>
    <row r="138" spans="1:6" hidden="1" x14ac:dyDescent="0.3">
      <c r="A138" s="1" t="s">
        <v>2966</v>
      </c>
      <c r="B138" s="1" t="s">
        <v>2214</v>
      </c>
      <c r="C138" s="1" t="s">
        <v>2215</v>
      </c>
      <c r="D138" s="1" t="s">
        <v>2216</v>
      </c>
      <c r="E138" s="1" t="s">
        <v>2217</v>
      </c>
      <c r="F138" s="7" t="str">
        <f>IFERROR(INDEX(测试!H:H,MATCH(E138,测试!A:A,0)),1)</f>
        <v>-</v>
      </c>
    </row>
    <row r="139" spans="1:6" hidden="1" x14ac:dyDescent="0.3">
      <c r="A139" s="1" t="s">
        <v>2966</v>
      </c>
      <c r="B139" s="1" t="s">
        <v>2218</v>
      </c>
      <c r="C139" s="1" t="s">
        <v>2219</v>
      </c>
      <c r="D139" s="1" t="s">
        <v>2220</v>
      </c>
      <c r="E139" s="14" t="s">
        <v>3014</v>
      </c>
      <c r="F139" s="7" t="str">
        <f>IFERROR(INDEX(测试!H:H,MATCH(E139,测试!A:A,0)),1)</f>
        <v>-</v>
      </c>
    </row>
    <row r="140" spans="1:6" hidden="1" x14ac:dyDescent="0.3">
      <c r="A140" s="1" t="s">
        <v>2966</v>
      </c>
      <c r="B140" s="1" t="s">
        <v>2221</v>
      </c>
      <c r="C140" s="1" t="s">
        <v>2222</v>
      </c>
      <c r="D140" s="1" t="s">
        <v>2223</v>
      </c>
      <c r="E140" s="1" t="s">
        <v>2224</v>
      </c>
      <c r="F140" s="7" t="str">
        <f>IFERROR(INDEX(测试!H:H,MATCH(E140,测试!A:A,0)),1)</f>
        <v>-</v>
      </c>
    </row>
    <row r="141" spans="1:6" hidden="1" x14ac:dyDescent="0.3">
      <c r="A141" s="1" t="s">
        <v>2966</v>
      </c>
      <c r="B141" s="1" t="s">
        <v>2225</v>
      </c>
      <c r="C141" s="1" t="s">
        <v>2226</v>
      </c>
      <c r="D141" s="1" t="s">
        <v>2227</v>
      </c>
      <c r="E141" s="1" t="s">
        <v>2228</v>
      </c>
      <c r="F141" s="7" t="str">
        <f>IFERROR(INDEX(测试!H:H,MATCH(E141,测试!A:A,0)),1)</f>
        <v>-</v>
      </c>
    </row>
    <row r="142" spans="1:6" hidden="1" x14ac:dyDescent="0.3">
      <c r="A142" s="1" t="s">
        <v>2966</v>
      </c>
      <c r="B142" s="1" t="s">
        <v>2229</v>
      </c>
      <c r="C142" s="1" t="s">
        <v>2230</v>
      </c>
      <c r="D142" s="1" t="s">
        <v>2231</v>
      </c>
      <c r="E142" s="1" t="s">
        <v>2232</v>
      </c>
      <c r="F142" s="7" t="str">
        <f>IFERROR(INDEX(测试!H:H,MATCH(E142,测试!A:A,0)),1)</f>
        <v>-</v>
      </c>
    </row>
    <row r="143" spans="1:6" hidden="1" x14ac:dyDescent="0.3">
      <c r="A143" s="1" t="s">
        <v>2966</v>
      </c>
      <c r="B143" s="1" t="s">
        <v>2233</v>
      </c>
      <c r="C143" s="1" t="s">
        <v>2234</v>
      </c>
      <c r="D143" s="1" t="s">
        <v>2235</v>
      </c>
      <c r="E143" s="1" t="s">
        <v>2236</v>
      </c>
      <c r="F143" s="7" t="str">
        <f>IFERROR(INDEX(测试!H:H,MATCH(E143,测试!A:A,0)),1)</f>
        <v>-</v>
      </c>
    </row>
    <row r="144" spans="1:6" hidden="1" x14ac:dyDescent="0.3">
      <c r="A144" s="1" t="s">
        <v>2966</v>
      </c>
      <c r="B144" s="1" t="s">
        <v>2237</v>
      </c>
      <c r="C144" s="1" t="s">
        <v>2238</v>
      </c>
      <c r="D144" s="1" t="s">
        <v>2239</v>
      </c>
      <c r="E144" s="1" t="s">
        <v>2240</v>
      </c>
      <c r="F144" s="7" t="str">
        <f>IFERROR(INDEX(测试!H:H,MATCH(E144,测试!A:A,0)),1)</f>
        <v>-</v>
      </c>
    </row>
    <row r="145" spans="1:6" hidden="1" x14ac:dyDescent="0.3">
      <c r="A145" s="1" t="s">
        <v>2966</v>
      </c>
      <c r="B145" s="1" t="s">
        <v>2241</v>
      </c>
      <c r="C145" s="1" t="s">
        <v>2242</v>
      </c>
      <c r="D145" s="1" t="s">
        <v>2243</v>
      </c>
      <c r="E145" s="1" t="s">
        <v>2244</v>
      </c>
      <c r="F145" s="7" t="str">
        <f>IFERROR(INDEX(测试!H:H,MATCH(E145,测试!A:A,0)),1)</f>
        <v>-</v>
      </c>
    </row>
    <row r="146" spans="1:6" hidden="1" x14ac:dyDescent="0.3">
      <c r="A146" s="1" t="s">
        <v>2966</v>
      </c>
      <c r="B146" s="1" t="s">
        <v>2245</v>
      </c>
      <c r="C146" s="1" t="s">
        <v>2246</v>
      </c>
      <c r="D146" s="1" t="s">
        <v>2247</v>
      </c>
      <c r="E146" s="1" t="s">
        <v>2248</v>
      </c>
      <c r="F146" s="7" t="str">
        <f>IFERROR(INDEX(测试!H:H,MATCH(E146,测试!A:A,0)),1)</f>
        <v>-</v>
      </c>
    </row>
    <row r="147" spans="1:6" hidden="1" x14ac:dyDescent="0.3">
      <c r="A147" s="1" t="s">
        <v>2966</v>
      </c>
      <c r="B147" s="1" t="s">
        <v>2249</v>
      </c>
      <c r="C147" s="1" t="s">
        <v>2250</v>
      </c>
      <c r="D147" s="1" t="s">
        <v>2251</v>
      </c>
      <c r="E147" s="1" t="s">
        <v>2252</v>
      </c>
      <c r="F147" s="7" t="str">
        <f>IFERROR(INDEX(测试!H:H,MATCH(E147,测试!A:A,0)),1)</f>
        <v>-</v>
      </c>
    </row>
    <row r="148" spans="1:6" hidden="1" x14ac:dyDescent="0.3">
      <c r="A148" s="1" t="s">
        <v>2966</v>
      </c>
      <c r="B148" s="1" t="s">
        <v>2253</v>
      </c>
      <c r="C148" s="1" t="s">
        <v>2254</v>
      </c>
      <c r="D148" s="1" t="s">
        <v>2255</v>
      </c>
      <c r="E148" s="1" t="s">
        <v>2256</v>
      </c>
      <c r="F148" s="7" t="str">
        <f>IFERROR(INDEX(测试!H:H,MATCH(E148,测试!A:A,0)),1)</f>
        <v>-</v>
      </c>
    </row>
    <row r="149" spans="1:6" hidden="1" x14ac:dyDescent="0.3">
      <c r="A149" s="1" t="s">
        <v>2966</v>
      </c>
      <c r="B149" s="1" t="s">
        <v>2257</v>
      </c>
      <c r="C149" s="1" t="s">
        <v>2258</v>
      </c>
      <c r="D149" s="1" t="s">
        <v>2259</v>
      </c>
      <c r="E149" s="1" t="s">
        <v>2260</v>
      </c>
      <c r="F149" s="7" t="str">
        <f>IFERROR(INDEX(测试!H:H,MATCH(E149,测试!A:A,0)),1)</f>
        <v>-</v>
      </c>
    </row>
    <row r="150" spans="1:6" hidden="1" x14ac:dyDescent="0.3">
      <c r="A150" s="1" t="s">
        <v>2966</v>
      </c>
      <c r="B150" s="1" t="s">
        <v>2261</v>
      </c>
      <c r="C150" s="1" t="s">
        <v>2262</v>
      </c>
      <c r="D150" s="1" t="s">
        <v>2263</v>
      </c>
      <c r="E150" s="1" t="s">
        <v>2264</v>
      </c>
      <c r="F150" s="7" t="str">
        <f>IFERROR(INDEX(测试!H:H,MATCH(E150,测试!A:A,0)),1)</f>
        <v>-</v>
      </c>
    </row>
    <row r="151" spans="1:6" hidden="1" x14ac:dyDescent="0.3">
      <c r="A151" s="1" t="s">
        <v>2966</v>
      </c>
      <c r="B151" s="1" t="s">
        <v>2265</v>
      </c>
      <c r="C151" s="1" t="s">
        <v>2266</v>
      </c>
      <c r="D151" s="1" t="s">
        <v>2267</v>
      </c>
      <c r="E151" s="1" t="s">
        <v>2268</v>
      </c>
      <c r="F151" s="7" t="str">
        <f>IFERROR(INDEX(测试!H:H,MATCH(E151,测试!A:A,0)),1)</f>
        <v>-</v>
      </c>
    </row>
    <row r="152" spans="1:6" hidden="1" x14ac:dyDescent="0.3">
      <c r="A152" s="1" t="s">
        <v>2966</v>
      </c>
      <c r="B152" s="1" t="s">
        <v>2269</v>
      </c>
      <c r="C152" s="1" t="s">
        <v>2270</v>
      </c>
      <c r="D152" s="1" t="s">
        <v>2271</v>
      </c>
      <c r="E152" s="1" t="s">
        <v>2272</v>
      </c>
      <c r="F152" s="7" t="str">
        <f>IFERROR(INDEX(测试!H:H,MATCH(E152,测试!A:A,0)),1)</f>
        <v>-</v>
      </c>
    </row>
    <row r="153" spans="1:6" hidden="1" x14ac:dyDescent="0.3">
      <c r="A153" s="1" t="s">
        <v>2966</v>
      </c>
      <c r="B153" s="1" t="s">
        <v>2273</v>
      </c>
      <c r="C153" s="1" t="s">
        <v>2274</v>
      </c>
      <c r="D153" s="1" t="s">
        <v>2275</v>
      </c>
      <c r="E153" s="1" t="s">
        <v>2276</v>
      </c>
      <c r="F153" s="7" t="str">
        <f>IFERROR(INDEX(测试!H:H,MATCH(E153,测试!A:A,0)),1)</f>
        <v>-</v>
      </c>
    </row>
    <row r="154" spans="1:6" hidden="1" x14ac:dyDescent="0.3">
      <c r="A154" s="1" t="s">
        <v>2966</v>
      </c>
      <c r="B154" s="1" t="s">
        <v>2277</v>
      </c>
      <c r="C154" s="1" t="s">
        <v>2278</v>
      </c>
      <c r="D154" s="1" t="s">
        <v>2279</v>
      </c>
      <c r="E154" s="1" t="s">
        <v>2280</v>
      </c>
      <c r="F154" s="7" t="str">
        <f>IFERROR(INDEX(测试!H:H,MATCH(E154,测试!A:A,0)),1)</f>
        <v>-</v>
      </c>
    </row>
    <row r="155" spans="1:6" hidden="1" x14ac:dyDescent="0.3">
      <c r="A155" s="1" t="s">
        <v>2966</v>
      </c>
      <c r="B155" s="1" t="s">
        <v>2281</v>
      </c>
      <c r="C155" s="1" t="s">
        <v>2282</v>
      </c>
      <c r="D155" s="1" t="s">
        <v>2283</v>
      </c>
      <c r="E155" s="1" t="s">
        <v>2284</v>
      </c>
      <c r="F155" s="7" t="str">
        <f>IFERROR(INDEX(测试!H:H,MATCH(E155,测试!A:A,0)),1)</f>
        <v>-</v>
      </c>
    </row>
    <row r="156" spans="1:6" hidden="1" x14ac:dyDescent="0.3">
      <c r="A156" s="1" t="s">
        <v>2966</v>
      </c>
      <c r="B156" s="1" t="s">
        <v>2285</v>
      </c>
      <c r="C156" s="1" t="s">
        <v>2286</v>
      </c>
      <c r="D156" s="1" t="s">
        <v>2287</v>
      </c>
      <c r="E156" s="1" t="s">
        <v>2288</v>
      </c>
      <c r="F156" s="7" t="str">
        <f>IFERROR(INDEX(测试!H:H,MATCH(E156,测试!A:A,0)),1)</f>
        <v>-</v>
      </c>
    </row>
    <row r="157" spans="1:6" hidden="1" x14ac:dyDescent="0.3">
      <c r="A157" s="1" t="s">
        <v>2966</v>
      </c>
      <c r="B157" s="1" t="s">
        <v>2289</v>
      </c>
      <c r="C157" s="1" t="s">
        <v>2290</v>
      </c>
      <c r="D157" s="1" t="s">
        <v>2291</v>
      </c>
      <c r="E157" s="1" t="s">
        <v>2292</v>
      </c>
      <c r="F157" s="7" t="str">
        <f>IFERROR(INDEX(测试!H:H,MATCH(E157,测试!A:A,0)),1)</f>
        <v>-</v>
      </c>
    </row>
    <row r="158" spans="1:6" hidden="1" x14ac:dyDescent="0.3">
      <c r="A158" s="1" t="s">
        <v>2966</v>
      </c>
      <c r="B158" s="1" t="s">
        <v>2293</v>
      </c>
      <c r="C158" s="1" t="s">
        <v>2294</v>
      </c>
      <c r="D158" s="1" t="s">
        <v>2295</v>
      </c>
      <c r="E158" s="1" t="s">
        <v>2296</v>
      </c>
      <c r="F158" s="7" t="str">
        <f>IFERROR(INDEX(测试!H:H,MATCH(E158,测试!A:A,0)),1)</f>
        <v>-</v>
      </c>
    </row>
    <row r="159" spans="1:6" hidden="1" x14ac:dyDescent="0.3">
      <c r="A159" s="1" t="s">
        <v>2966</v>
      </c>
      <c r="B159" s="1" t="s">
        <v>2297</v>
      </c>
      <c r="C159" s="1" t="s">
        <v>2298</v>
      </c>
      <c r="D159" s="1" t="s">
        <v>2299</v>
      </c>
      <c r="E159" s="1" t="s">
        <v>2300</v>
      </c>
      <c r="F159" s="7" t="str">
        <f>IFERROR(INDEX(测试!H:H,MATCH(E159,测试!A:A,0)),1)</f>
        <v>-</v>
      </c>
    </row>
    <row r="160" spans="1:6" hidden="1" x14ac:dyDescent="0.3">
      <c r="A160" s="1" t="s">
        <v>2966</v>
      </c>
      <c r="B160" s="1" t="s">
        <v>2301</v>
      </c>
      <c r="C160" s="1" t="s">
        <v>2302</v>
      </c>
      <c r="D160" s="1" t="s">
        <v>2303</v>
      </c>
      <c r="E160" s="1" t="s">
        <v>2304</v>
      </c>
      <c r="F160" s="7" t="str">
        <f>IFERROR(INDEX(测试!H:H,MATCH(E160,测试!A:A,0)),1)</f>
        <v>-</v>
      </c>
    </row>
    <row r="161" spans="1:6" hidden="1" x14ac:dyDescent="0.3">
      <c r="A161" s="1" t="s">
        <v>2966</v>
      </c>
      <c r="B161" s="1" t="s">
        <v>2305</v>
      </c>
      <c r="C161" s="1" t="s">
        <v>2306</v>
      </c>
      <c r="D161" s="1" t="s">
        <v>2307</v>
      </c>
      <c r="E161" s="1" t="s">
        <v>2308</v>
      </c>
      <c r="F161" s="7" t="str">
        <f>IFERROR(INDEX(测试!H:H,MATCH(E161,测试!A:A,0)),1)</f>
        <v>-</v>
      </c>
    </row>
    <row r="162" spans="1:6" hidden="1" x14ac:dyDescent="0.3">
      <c r="A162" s="1" t="s">
        <v>2966</v>
      </c>
      <c r="B162" s="1" t="s">
        <v>2309</v>
      </c>
      <c r="C162" s="1" t="s">
        <v>2310</v>
      </c>
      <c r="D162" s="1" t="s">
        <v>2311</v>
      </c>
      <c r="E162" s="1" t="s">
        <v>2312</v>
      </c>
      <c r="F162" s="7" t="str">
        <f>IFERROR(INDEX(测试!H:H,MATCH(E162,测试!A:A,0)),1)</f>
        <v>-</v>
      </c>
    </row>
    <row r="163" spans="1:6" hidden="1" x14ac:dyDescent="0.3">
      <c r="A163" s="1" t="s">
        <v>2966</v>
      </c>
      <c r="B163" s="1" t="s">
        <v>2313</v>
      </c>
      <c r="C163" s="1" t="s">
        <v>2314</v>
      </c>
      <c r="D163" s="1" t="s">
        <v>2315</v>
      </c>
      <c r="E163" s="1" t="s">
        <v>2316</v>
      </c>
      <c r="F163" s="7" t="str">
        <f>IFERROR(INDEX(测试!H:H,MATCH(E163,测试!A:A,0)),1)</f>
        <v>-</v>
      </c>
    </row>
    <row r="164" spans="1:6" hidden="1" x14ac:dyDescent="0.3">
      <c r="A164" s="1" t="s">
        <v>2966</v>
      </c>
      <c r="B164" s="1" t="s">
        <v>2317</v>
      </c>
      <c r="C164" s="1" t="s">
        <v>2318</v>
      </c>
      <c r="D164" s="1" t="s">
        <v>2319</v>
      </c>
      <c r="E164" s="14" t="s">
        <v>3015</v>
      </c>
      <c r="F164" s="7" t="str">
        <f>IFERROR(INDEX(测试!H:H,MATCH(E164,测试!A:A,0)),1)</f>
        <v>-</v>
      </c>
    </row>
    <row r="165" spans="1:6" hidden="1" x14ac:dyDescent="0.3">
      <c r="A165" s="1" t="s">
        <v>2966</v>
      </c>
      <c r="B165" s="1" t="s">
        <v>2320</v>
      </c>
      <c r="C165" s="1" t="s">
        <v>2321</v>
      </c>
      <c r="D165" s="1" t="s">
        <v>2322</v>
      </c>
      <c r="E165" s="1" t="s">
        <v>2323</v>
      </c>
      <c r="F165" s="7" t="str">
        <f>IFERROR(INDEX(测试!H:H,MATCH(E165,测试!A:A,0)),1)</f>
        <v>-</v>
      </c>
    </row>
    <row r="166" spans="1:6" hidden="1" x14ac:dyDescent="0.3">
      <c r="A166" s="1" t="s">
        <v>2966</v>
      </c>
      <c r="B166" s="1" t="s">
        <v>2324</v>
      </c>
      <c r="C166" s="1" t="s">
        <v>2325</v>
      </c>
      <c r="D166" s="1" t="s">
        <v>2326</v>
      </c>
      <c r="E166" s="1" t="s">
        <v>2327</v>
      </c>
      <c r="F166" s="7" t="str">
        <f>IFERROR(INDEX(测试!H:H,MATCH(E166,测试!A:A,0)),1)</f>
        <v>-</v>
      </c>
    </row>
    <row r="167" spans="1:6" hidden="1" x14ac:dyDescent="0.3">
      <c r="A167" s="1" t="s">
        <v>2966</v>
      </c>
      <c r="B167" s="1" t="s">
        <v>2328</v>
      </c>
      <c r="C167" s="1" t="s">
        <v>2329</v>
      </c>
      <c r="D167" s="1" t="s">
        <v>2330</v>
      </c>
      <c r="E167" s="1" t="s">
        <v>2331</v>
      </c>
      <c r="F167" s="7" t="str">
        <f>IFERROR(INDEX(测试!H:H,MATCH(E167,测试!A:A,0)),1)</f>
        <v>-</v>
      </c>
    </row>
    <row r="168" spans="1:6" hidden="1" x14ac:dyDescent="0.3">
      <c r="A168" s="1" t="s">
        <v>2966</v>
      </c>
      <c r="B168" s="1" t="s">
        <v>2332</v>
      </c>
      <c r="C168" s="1" t="s">
        <v>2333</v>
      </c>
      <c r="D168" s="1" t="s">
        <v>2334</v>
      </c>
      <c r="E168" s="1" t="s">
        <v>2335</v>
      </c>
      <c r="F168" s="7" t="str">
        <f>IFERROR(INDEX(测试!H:H,MATCH(E168,测试!A:A,0)),1)</f>
        <v>-</v>
      </c>
    </row>
    <row r="169" spans="1:6" hidden="1" x14ac:dyDescent="0.3">
      <c r="A169" s="1" t="s">
        <v>2966</v>
      </c>
      <c r="B169" s="1" t="s">
        <v>2336</v>
      </c>
      <c r="C169" s="1" t="s">
        <v>2337</v>
      </c>
      <c r="D169" s="1" t="s">
        <v>2338</v>
      </c>
      <c r="E169" s="1" t="s">
        <v>2339</v>
      </c>
      <c r="F169" s="7" t="str">
        <f>IFERROR(INDEX(测试!H:H,MATCH(E169,测试!A:A,0)),1)</f>
        <v>-</v>
      </c>
    </row>
    <row r="170" spans="1:6" hidden="1" x14ac:dyDescent="0.3">
      <c r="A170" s="1" t="s">
        <v>2966</v>
      </c>
      <c r="B170" s="1" t="s">
        <v>2340</v>
      </c>
      <c r="C170" s="1" t="s">
        <v>2341</v>
      </c>
      <c r="D170" s="1" t="s">
        <v>2342</v>
      </c>
      <c r="E170" s="14" t="s">
        <v>3016</v>
      </c>
      <c r="F170" s="7" t="str">
        <f>IFERROR(INDEX(测试!H:H,MATCH(E170,测试!A:A,0)),1)</f>
        <v>-</v>
      </c>
    </row>
    <row r="171" spans="1:6" hidden="1" x14ac:dyDescent="0.3">
      <c r="A171" s="1" t="s">
        <v>2966</v>
      </c>
      <c r="B171" s="1" t="s">
        <v>2343</v>
      </c>
      <c r="C171" s="1" t="s">
        <v>2344</v>
      </c>
      <c r="D171" s="1" t="s">
        <v>2345</v>
      </c>
      <c r="E171" s="1" t="s">
        <v>2346</v>
      </c>
      <c r="F171" s="7" t="str">
        <f>IFERROR(INDEX(测试!H:H,MATCH(E171,测试!A:A,0)),1)</f>
        <v>-</v>
      </c>
    </row>
    <row r="172" spans="1:6" hidden="1" x14ac:dyDescent="0.3">
      <c r="A172" s="1" t="s">
        <v>2966</v>
      </c>
      <c r="B172" s="1" t="s">
        <v>2347</v>
      </c>
      <c r="C172" s="1" t="s">
        <v>2348</v>
      </c>
      <c r="D172" s="1" t="s">
        <v>2349</v>
      </c>
      <c r="E172" s="1" t="s">
        <v>2350</v>
      </c>
      <c r="F172" s="7" t="str">
        <f>IFERROR(INDEX(测试!H:H,MATCH(E172,测试!A:A,0)),1)</f>
        <v>-</v>
      </c>
    </row>
    <row r="173" spans="1:6" hidden="1" x14ac:dyDescent="0.3">
      <c r="A173" s="1" t="s">
        <v>2966</v>
      </c>
      <c r="B173" s="1" t="s">
        <v>2351</v>
      </c>
      <c r="C173" s="1" t="s">
        <v>2352</v>
      </c>
      <c r="D173" s="1" t="s">
        <v>2353</v>
      </c>
      <c r="E173" s="1" t="s">
        <v>2354</v>
      </c>
      <c r="F173" s="7" t="str">
        <f>IFERROR(INDEX(测试!H:H,MATCH(E173,测试!A:A,0)),1)</f>
        <v>-</v>
      </c>
    </row>
    <row r="174" spans="1:6" hidden="1" x14ac:dyDescent="0.3">
      <c r="A174" s="1" t="s">
        <v>2966</v>
      </c>
      <c r="B174" s="1" t="s">
        <v>2355</v>
      </c>
      <c r="C174" s="1" t="s">
        <v>2356</v>
      </c>
      <c r="D174" s="1" t="s">
        <v>2357</v>
      </c>
      <c r="E174" s="1" t="s">
        <v>2358</v>
      </c>
      <c r="F174" s="7" t="str">
        <f>IFERROR(INDEX(测试!H:H,MATCH(E174,测试!A:A,0)),1)</f>
        <v>-</v>
      </c>
    </row>
    <row r="175" spans="1:6" hidden="1" x14ac:dyDescent="0.3">
      <c r="A175" s="1" t="s">
        <v>2966</v>
      </c>
      <c r="B175" s="1" t="s">
        <v>2359</v>
      </c>
      <c r="C175" s="1" t="s">
        <v>2360</v>
      </c>
      <c r="D175" s="1" t="s">
        <v>2361</v>
      </c>
      <c r="E175" s="14" t="s">
        <v>3017</v>
      </c>
      <c r="F175" s="7" t="str">
        <f>IFERROR(INDEX(测试!H:H,MATCH(E175,测试!A:A,0)),1)</f>
        <v>-</v>
      </c>
    </row>
    <row r="176" spans="1:6" hidden="1" x14ac:dyDescent="0.3">
      <c r="A176" s="1" t="s">
        <v>2966</v>
      </c>
      <c r="B176" s="1" t="s">
        <v>2362</v>
      </c>
      <c r="C176" s="1" t="s">
        <v>2363</v>
      </c>
      <c r="D176" s="1" t="s">
        <v>2364</v>
      </c>
      <c r="E176" s="1" t="s">
        <v>2365</v>
      </c>
      <c r="F176" s="7" t="str">
        <f>IFERROR(INDEX(测试!H:H,MATCH(E176,测试!A:A,0)),1)</f>
        <v>-</v>
      </c>
    </row>
    <row r="177" spans="1:6" hidden="1" x14ac:dyDescent="0.3">
      <c r="A177" s="1" t="s">
        <v>2966</v>
      </c>
      <c r="B177" s="1" t="s">
        <v>2366</v>
      </c>
      <c r="C177" s="1" t="s">
        <v>2367</v>
      </c>
      <c r="D177" s="1" t="s">
        <v>2368</v>
      </c>
      <c r="E177" s="1" t="s">
        <v>2369</v>
      </c>
      <c r="F177" s="7" t="str">
        <f>IFERROR(INDEX(测试!H:H,MATCH(E177,测试!A:A,0)),1)</f>
        <v>-</v>
      </c>
    </row>
    <row r="178" spans="1:6" hidden="1" x14ac:dyDescent="0.3">
      <c r="A178" s="1" t="s">
        <v>2966</v>
      </c>
      <c r="B178" s="1" t="s">
        <v>2370</v>
      </c>
      <c r="C178" s="1" t="s">
        <v>2371</v>
      </c>
      <c r="D178" s="1" t="s">
        <v>2372</v>
      </c>
      <c r="E178" s="1" t="s">
        <v>2373</v>
      </c>
      <c r="F178" s="7" t="str">
        <f>IFERROR(INDEX(测试!H:H,MATCH(E178,测试!A:A,0)),1)</f>
        <v>-</v>
      </c>
    </row>
    <row r="179" spans="1:6" hidden="1" x14ac:dyDescent="0.3">
      <c r="A179" s="1" t="s">
        <v>2966</v>
      </c>
      <c r="B179" s="1" t="s">
        <v>2374</v>
      </c>
      <c r="C179" s="1" t="s">
        <v>2375</v>
      </c>
      <c r="D179" s="1" t="s">
        <v>2376</v>
      </c>
      <c r="E179" s="1" t="s">
        <v>2377</v>
      </c>
      <c r="F179" s="7" t="str">
        <f>IFERROR(INDEX(测试!H:H,MATCH(E179,测试!A:A,0)),1)</f>
        <v>-</v>
      </c>
    </row>
    <row r="180" spans="1:6" hidden="1" x14ac:dyDescent="0.3">
      <c r="A180" s="1" t="s">
        <v>2966</v>
      </c>
      <c r="B180" s="1" t="s">
        <v>2378</v>
      </c>
      <c r="C180" s="1" t="s">
        <v>2379</v>
      </c>
      <c r="D180" s="1" t="s">
        <v>2380</v>
      </c>
      <c r="E180" s="1" t="s">
        <v>2381</v>
      </c>
      <c r="F180" s="7" t="str">
        <f>IFERROR(INDEX(测试!H:H,MATCH(E180,测试!A:A,0)),1)</f>
        <v>-</v>
      </c>
    </row>
    <row r="181" spans="1:6" hidden="1" x14ac:dyDescent="0.3">
      <c r="A181" s="1" t="s">
        <v>2966</v>
      </c>
      <c r="B181" s="1" t="s">
        <v>2382</v>
      </c>
      <c r="C181" s="1" t="s">
        <v>2383</v>
      </c>
      <c r="D181" s="1" t="s">
        <v>2384</v>
      </c>
      <c r="E181" s="1" t="s">
        <v>2385</v>
      </c>
      <c r="F181" s="7" t="str">
        <f>IFERROR(INDEX(测试!H:H,MATCH(E181,测试!A:A,0)),1)</f>
        <v>-</v>
      </c>
    </row>
    <row r="182" spans="1:6" hidden="1" x14ac:dyDescent="0.3">
      <c r="A182" s="1" t="s">
        <v>2966</v>
      </c>
      <c r="B182" s="1" t="s">
        <v>2386</v>
      </c>
      <c r="C182" s="1" t="s">
        <v>2387</v>
      </c>
      <c r="D182" s="1" t="s">
        <v>2388</v>
      </c>
      <c r="E182" s="1" t="s">
        <v>2389</v>
      </c>
      <c r="F182" s="7" t="str">
        <f>IFERROR(INDEX(测试!H:H,MATCH(E182,测试!A:A,0)),1)</f>
        <v>-</v>
      </c>
    </row>
    <row r="183" spans="1:6" hidden="1" x14ac:dyDescent="0.3">
      <c r="A183" s="1" t="s">
        <v>2966</v>
      </c>
      <c r="B183" s="1" t="s">
        <v>2390</v>
      </c>
      <c r="C183" s="1" t="s">
        <v>2391</v>
      </c>
      <c r="D183" s="1" t="s">
        <v>2392</v>
      </c>
      <c r="E183" s="1" t="s">
        <v>2393</v>
      </c>
      <c r="F183" s="7" t="str">
        <f>IFERROR(INDEX(测试!H:H,MATCH(E183,测试!A:A,0)),1)</f>
        <v>-</v>
      </c>
    </row>
    <row r="184" spans="1:6" hidden="1" x14ac:dyDescent="0.3">
      <c r="A184" s="1" t="s">
        <v>2966</v>
      </c>
      <c r="B184" s="1" t="s">
        <v>2394</v>
      </c>
      <c r="C184" s="1" t="s">
        <v>2395</v>
      </c>
      <c r="D184" s="1" t="s">
        <v>2396</v>
      </c>
      <c r="E184" s="1" t="s">
        <v>2397</v>
      </c>
      <c r="F184" s="7" t="str">
        <f>IFERROR(INDEX(测试!H:H,MATCH(E184,测试!A:A,0)),1)</f>
        <v>-</v>
      </c>
    </row>
    <row r="185" spans="1:6" hidden="1" x14ac:dyDescent="0.3">
      <c r="A185" s="1" t="s">
        <v>2966</v>
      </c>
      <c r="B185" s="1" t="s">
        <v>2398</v>
      </c>
      <c r="C185" s="1" t="s">
        <v>2399</v>
      </c>
      <c r="D185" s="1" t="s">
        <v>2400</v>
      </c>
      <c r="E185" s="1" t="s">
        <v>2401</v>
      </c>
      <c r="F185" s="7" t="str">
        <f>IFERROR(INDEX(测试!H:H,MATCH(E185,测试!A:A,0)),1)</f>
        <v>-</v>
      </c>
    </row>
    <row r="186" spans="1:6" hidden="1" x14ac:dyDescent="0.3">
      <c r="A186" s="1" t="s">
        <v>2966</v>
      </c>
      <c r="B186" s="1" t="s">
        <v>2402</v>
      </c>
      <c r="C186" s="1" t="s">
        <v>2403</v>
      </c>
      <c r="D186" s="1" t="s">
        <v>2404</v>
      </c>
      <c r="E186" s="1" t="s">
        <v>2405</v>
      </c>
      <c r="F186" s="7" t="str">
        <f>IFERROR(INDEX(测试!H:H,MATCH(E186,测试!A:A,0)),1)</f>
        <v>-</v>
      </c>
    </row>
    <row r="187" spans="1:6" hidden="1" x14ac:dyDescent="0.3">
      <c r="A187" s="1" t="s">
        <v>2966</v>
      </c>
      <c r="B187" s="1" t="s">
        <v>2406</v>
      </c>
      <c r="C187" s="1" t="s">
        <v>2407</v>
      </c>
      <c r="D187" s="1" t="s">
        <v>2408</v>
      </c>
      <c r="E187" s="1" t="s">
        <v>2409</v>
      </c>
      <c r="F187" s="7" t="str">
        <f>IFERROR(INDEX(测试!H:H,MATCH(E187,测试!A:A,0)),1)</f>
        <v>-</v>
      </c>
    </row>
    <row r="188" spans="1:6" hidden="1" x14ac:dyDescent="0.3">
      <c r="A188" s="1" t="s">
        <v>2966</v>
      </c>
      <c r="B188" s="1" t="s">
        <v>2410</v>
      </c>
      <c r="C188" s="1" t="s">
        <v>2411</v>
      </c>
      <c r="D188" s="1" t="s">
        <v>2412</v>
      </c>
      <c r="E188" s="1" t="s">
        <v>2413</v>
      </c>
      <c r="F188" s="7" t="str">
        <f>IFERROR(INDEX(测试!H:H,MATCH(E188,测试!A:A,0)),1)</f>
        <v>-</v>
      </c>
    </row>
    <row r="189" spans="1:6" hidden="1" x14ac:dyDescent="0.3">
      <c r="A189" s="1" t="s">
        <v>2966</v>
      </c>
      <c r="B189" s="1" t="s">
        <v>2414</v>
      </c>
      <c r="C189" s="1" t="s">
        <v>2415</v>
      </c>
      <c r="D189" s="1" t="s">
        <v>2416</v>
      </c>
      <c r="E189" s="1" t="s">
        <v>2417</v>
      </c>
      <c r="F189" s="7" t="str">
        <f>IFERROR(INDEX(测试!H:H,MATCH(E189,测试!A:A,0)),1)</f>
        <v>-</v>
      </c>
    </row>
    <row r="190" spans="1:6" hidden="1" x14ac:dyDescent="0.3">
      <c r="A190" s="1" t="s">
        <v>2966</v>
      </c>
      <c r="B190" s="1" t="s">
        <v>2418</v>
      </c>
      <c r="C190" s="1" t="s">
        <v>2419</v>
      </c>
      <c r="D190" s="1" t="s">
        <v>2420</v>
      </c>
      <c r="E190" s="1" t="s">
        <v>2421</v>
      </c>
      <c r="F190" s="7" t="str">
        <f>IFERROR(INDEX(测试!H:H,MATCH(E190,测试!A:A,0)),1)</f>
        <v>-</v>
      </c>
    </row>
    <row r="191" spans="1:6" hidden="1" x14ac:dyDescent="0.3">
      <c r="A191" s="1" t="s">
        <v>2966</v>
      </c>
      <c r="B191" s="1" t="s">
        <v>2422</v>
      </c>
      <c r="C191" s="1" t="s">
        <v>2423</v>
      </c>
      <c r="D191" s="1" t="s">
        <v>2424</v>
      </c>
      <c r="E191" s="1" t="s">
        <v>2425</v>
      </c>
      <c r="F191" s="7" t="str">
        <f>IFERROR(INDEX(测试!H:H,MATCH(E191,测试!A:A,0)),1)</f>
        <v>-</v>
      </c>
    </row>
    <row r="192" spans="1:6" hidden="1" x14ac:dyDescent="0.3">
      <c r="A192" s="1" t="s">
        <v>2966</v>
      </c>
      <c r="B192" s="1" t="s">
        <v>2426</v>
      </c>
      <c r="C192" s="1" t="s">
        <v>2427</v>
      </c>
      <c r="D192" s="1" t="s">
        <v>2428</v>
      </c>
      <c r="E192" s="1" t="s">
        <v>2429</v>
      </c>
      <c r="F192" s="7" t="str">
        <f>IFERROR(INDEX(测试!H:H,MATCH(E192,测试!A:A,0)),1)</f>
        <v>-</v>
      </c>
    </row>
    <row r="193" spans="1:6" hidden="1" x14ac:dyDescent="0.3">
      <c r="A193" s="1" t="s">
        <v>2966</v>
      </c>
      <c r="B193" s="1" t="s">
        <v>2430</v>
      </c>
      <c r="C193" s="1" t="s">
        <v>2431</v>
      </c>
      <c r="D193" s="1" t="s">
        <v>2432</v>
      </c>
      <c r="E193" s="1" t="s">
        <v>2433</v>
      </c>
      <c r="F193" s="7" t="str">
        <f>IFERROR(INDEX(测试!H:H,MATCH(E193,测试!A:A,0)),1)</f>
        <v>-</v>
      </c>
    </row>
    <row r="194" spans="1:6" hidden="1" x14ac:dyDescent="0.3">
      <c r="A194" s="1" t="s">
        <v>2966</v>
      </c>
      <c r="B194" s="1" t="s">
        <v>2434</v>
      </c>
      <c r="C194" s="1" t="s">
        <v>2435</v>
      </c>
      <c r="D194" s="1" t="s">
        <v>2436</v>
      </c>
      <c r="E194" s="1" t="s">
        <v>2437</v>
      </c>
      <c r="F194" s="7" t="str">
        <f>IFERROR(INDEX(测试!H:H,MATCH(E194,测试!A:A,0)),1)</f>
        <v>-</v>
      </c>
    </row>
    <row r="195" spans="1:6" hidden="1" x14ac:dyDescent="0.3">
      <c r="A195" s="1" t="s">
        <v>2966</v>
      </c>
      <c r="B195" s="1" t="s">
        <v>2438</v>
      </c>
      <c r="C195" s="1" t="s">
        <v>2439</v>
      </c>
      <c r="D195" s="1" t="s">
        <v>2440</v>
      </c>
      <c r="E195" s="1" t="s">
        <v>2441</v>
      </c>
      <c r="F195" s="7" t="str">
        <f>IFERROR(INDEX(测试!H:H,MATCH(E195,测试!A:A,0)),1)</f>
        <v>-</v>
      </c>
    </row>
    <row r="196" spans="1:6" hidden="1" x14ac:dyDescent="0.3">
      <c r="A196" s="1" t="s">
        <v>2966</v>
      </c>
      <c r="B196" s="1" t="s">
        <v>2442</v>
      </c>
      <c r="C196" s="1" t="s">
        <v>2443</v>
      </c>
      <c r="D196" s="1" t="s">
        <v>2444</v>
      </c>
      <c r="E196" s="1" t="s">
        <v>2445</v>
      </c>
      <c r="F196" s="7" t="str">
        <f>IFERROR(INDEX(测试!H:H,MATCH(E196,测试!A:A,0)),1)</f>
        <v>-</v>
      </c>
    </row>
    <row r="197" spans="1:6" hidden="1" x14ac:dyDescent="0.3">
      <c r="A197" s="1" t="s">
        <v>2966</v>
      </c>
      <c r="B197" s="1" t="s">
        <v>2446</v>
      </c>
      <c r="C197" s="1" t="s">
        <v>2447</v>
      </c>
      <c r="D197" s="1" t="s">
        <v>2448</v>
      </c>
      <c r="E197" s="1" t="s">
        <v>2449</v>
      </c>
      <c r="F197" s="7" t="str">
        <f>IFERROR(INDEX(测试!H:H,MATCH(E197,测试!A:A,0)),1)</f>
        <v>-</v>
      </c>
    </row>
    <row r="198" spans="1:6" hidden="1" x14ac:dyDescent="0.3">
      <c r="A198" s="1" t="s">
        <v>2966</v>
      </c>
      <c r="B198" s="1" t="s">
        <v>2450</v>
      </c>
      <c r="C198" s="1" t="s">
        <v>2451</v>
      </c>
      <c r="D198" s="1" t="s">
        <v>2452</v>
      </c>
      <c r="E198" s="1" t="s">
        <v>2453</v>
      </c>
      <c r="F198" s="7" t="str">
        <f>IFERROR(INDEX(测试!H:H,MATCH(E198,测试!A:A,0)),1)</f>
        <v>-</v>
      </c>
    </row>
    <row r="199" spans="1:6" hidden="1" x14ac:dyDescent="0.3">
      <c r="A199" s="1" t="s">
        <v>2966</v>
      </c>
      <c r="B199" s="1" t="s">
        <v>2454</v>
      </c>
      <c r="C199" s="1" t="s">
        <v>2455</v>
      </c>
      <c r="D199" s="1" t="s">
        <v>2456</v>
      </c>
      <c r="E199" s="1" t="s">
        <v>2457</v>
      </c>
      <c r="F199" s="7" t="str">
        <f>IFERROR(INDEX(测试!H:H,MATCH(E199,测试!A:A,0)),1)</f>
        <v>-</v>
      </c>
    </row>
    <row r="200" spans="1:6" hidden="1" x14ac:dyDescent="0.3">
      <c r="A200" s="1" t="s">
        <v>2966</v>
      </c>
      <c r="B200" s="1" t="s">
        <v>2458</v>
      </c>
      <c r="C200" s="1" t="s">
        <v>2459</v>
      </c>
      <c r="D200" s="1" t="s">
        <v>2460</v>
      </c>
      <c r="E200" s="1" t="s">
        <v>2461</v>
      </c>
      <c r="F200" s="7" t="str">
        <f>IFERROR(INDEX(测试!H:H,MATCH(E200,测试!A:A,0)),1)</f>
        <v>-</v>
      </c>
    </row>
    <row r="201" spans="1:6" hidden="1" x14ac:dyDescent="0.3">
      <c r="A201" s="1" t="s">
        <v>2966</v>
      </c>
      <c r="B201" s="1" t="s">
        <v>2462</v>
      </c>
      <c r="C201" s="1" t="s">
        <v>2463</v>
      </c>
      <c r="D201" s="1" t="s">
        <v>2464</v>
      </c>
      <c r="E201" s="1" t="s">
        <v>2465</v>
      </c>
      <c r="F201" s="7" t="str">
        <f>IFERROR(INDEX(测试!H:H,MATCH(E201,测试!A:A,0)),1)</f>
        <v>-</v>
      </c>
    </row>
    <row r="202" spans="1:6" hidden="1" x14ac:dyDescent="0.3">
      <c r="A202" s="1" t="s">
        <v>2966</v>
      </c>
      <c r="B202" s="1" t="s">
        <v>2466</v>
      </c>
      <c r="C202" s="1" t="s">
        <v>2467</v>
      </c>
      <c r="D202" s="1" t="s">
        <v>2468</v>
      </c>
      <c r="E202" s="1" t="s">
        <v>2469</v>
      </c>
      <c r="F202" s="7" t="str">
        <f>IFERROR(INDEX(测试!H:H,MATCH(E202,测试!A:A,0)),1)</f>
        <v>-</v>
      </c>
    </row>
    <row r="203" spans="1:6" hidden="1" x14ac:dyDescent="0.3">
      <c r="A203" s="1" t="s">
        <v>2966</v>
      </c>
      <c r="B203" s="1" t="s">
        <v>2470</v>
      </c>
      <c r="C203" s="1" t="s">
        <v>2471</v>
      </c>
      <c r="D203" s="1" t="s">
        <v>2472</v>
      </c>
      <c r="E203" s="1" t="s">
        <v>2473</v>
      </c>
      <c r="F203" s="7" t="str">
        <f>IFERROR(INDEX(测试!H:H,MATCH(E203,测试!A:A,0)),1)</f>
        <v>-</v>
      </c>
    </row>
    <row r="204" spans="1:6" hidden="1" x14ac:dyDescent="0.3">
      <c r="A204" s="1" t="s">
        <v>2966</v>
      </c>
      <c r="B204" s="1" t="s">
        <v>2474</v>
      </c>
      <c r="C204" s="1" t="s">
        <v>2475</v>
      </c>
      <c r="D204" s="1" t="s">
        <v>2476</v>
      </c>
      <c r="E204" s="1" t="s">
        <v>2477</v>
      </c>
      <c r="F204" s="7" t="str">
        <f>IFERROR(INDEX(测试!H:H,MATCH(E204,测试!A:A,0)),1)</f>
        <v>-</v>
      </c>
    </row>
    <row r="205" spans="1:6" hidden="1" x14ac:dyDescent="0.3">
      <c r="A205" s="1" t="s">
        <v>2966</v>
      </c>
      <c r="B205" s="1" t="s">
        <v>2478</v>
      </c>
      <c r="C205" s="1" t="s">
        <v>2479</v>
      </c>
      <c r="D205" s="1" t="s">
        <v>2480</v>
      </c>
      <c r="E205" s="1" t="s">
        <v>2481</v>
      </c>
      <c r="F205" s="7" t="str">
        <f>IFERROR(INDEX(测试!H:H,MATCH(E205,测试!A:A,0)),1)</f>
        <v>-</v>
      </c>
    </row>
    <row r="206" spans="1:6" hidden="1" x14ac:dyDescent="0.3">
      <c r="A206" s="1" t="s">
        <v>2966</v>
      </c>
      <c r="B206" s="1" t="s">
        <v>2482</v>
      </c>
      <c r="C206" s="1" t="s">
        <v>2483</v>
      </c>
      <c r="D206" s="1" t="s">
        <v>2484</v>
      </c>
      <c r="E206" s="1" t="s">
        <v>2485</v>
      </c>
      <c r="F206" s="7" t="str">
        <f>IFERROR(INDEX(测试!H:H,MATCH(E206,测试!A:A,0)),1)</f>
        <v>-</v>
      </c>
    </row>
    <row r="207" spans="1:6" hidden="1" x14ac:dyDescent="0.3">
      <c r="A207" s="1" t="s">
        <v>2966</v>
      </c>
      <c r="B207" s="1" t="s">
        <v>2486</v>
      </c>
      <c r="C207" s="1" t="s">
        <v>2487</v>
      </c>
      <c r="D207" s="1" t="s">
        <v>2488</v>
      </c>
      <c r="E207" s="1" t="s">
        <v>2489</v>
      </c>
      <c r="F207" s="7" t="str">
        <f>IFERROR(INDEX(测试!H:H,MATCH(E207,测试!A:A,0)),1)</f>
        <v>-</v>
      </c>
    </row>
    <row r="208" spans="1:6" hidden="1" x14ac:dyDescent="0.3">
      <c r="A208" s="1" t="s">
        <v>2966</v>
      </c>
      <c r="B208" s="1" t="s">
        <v>2490</v>
      </c>
      <c r="C208" s="1" t="s">
        <v>2491</v>
      </c>
      <c r="D208" s="1" t="s">
        <v>2492</v>
      </c>
      <c r="E208" s="1" t="s">
        <v>2493</v>
      </c>
      <c r="F208" s="7" t="str">
        <f>IFERROR(INDEX(测试!H:H,MATCH(E208,测试!A:A,0)),1)</f>
        <v>-</v>
      </c>
    </row>
    <row r="209" spans="1:6" hidden="1" x14ac:dyDescent="0.3">
      <c r="A209" s="1" t="s">
        <v>2966</v>
      </c>
      <c r="B209" s="1" t="s">
        <v>2494</v>
      </c>
      <c r="C209" s="1" t="s">
        <v>2495</v>
      </c>
      <c r="D209" s="1" t="s">
        <v>2496</v>
      </c>
      <c r="E209" s="1" t="s">
        <v>2497</v>
      </c>
      <c r="F209" s="7" t="str">
        <f>IFERROR(INDEX(测试!H:H,MATCH(E209,测试!A:A,0)),1)</f>
        <v>-</v>
      </c>
    </row>
    <row r="210" spans="1:6" hidden="1" x14ac:dyDescent="0.3">
      <c r="A210" s="1" t="s">
        <v>2966</v>
      </c>
      <c r="B210" s="1" t="s">
        <v>2498</v>
      </c>
      <c r="C210" s="1" t="s">
        <v>2499</v>
      </c>
      <c r="D210" s="1" t="s">
        <v>2500</v>
      </c>
      <c r="E210" s="14" t="s">
        <v>3018</v>
      </c>
      <c r="F210" s="7" t="str">
        <f>IFERROR(INDEX(测试!H:H,MATCH(E210,测试!A:A,0)),1)</f>
        <v>-</v>
      </c>
    </row>
    <row r="211" spans="1:6" hidden="1" x14ac:dyDescent="0.3">
      <c r="A211" s="1" t="s">
        <v>2966</v>
      </c>
      <c r="B211" s="1" t="s">
        <v>2501</v>
      </c>
      <c r="C211" s="1" t="s">
        <v>2502</v>
      </c>
      <c r="D211" s="1" t="s">
        <v>2503</v>
      </c>
      <c r="E211" s="1" t="s">
        <v>2504</v>
      </c>
      <c r="F211" s="7" t="str">
        <f>IFERROR(INDEX(测试!H:H,MATCH(E211,测试!A:A,0)),1)</f>
        <v>-</v>
      </c>
    </row>
    <row r="212" spans="1:6" hidden="1" x14ac:dyDescent="0.3">
      <c r="A212" s="1" t="s">
        <v>2966</v>
      </c>
      <c r="B212" s="1" t="s">
        <v>2505</v>
      </c>
      <c r="C212" s="1" t="s">
        <v>2506</v>
      </c>
      <c r="D212" s="1" t="s">
        <v>2507</v>
      </c>
      <c r="E212" s="14" t="s">
        <v>3019</v>
      </c>
      <c r="F212" s="7" t="str">
        <f>IFERROR(INDEX(测试!H:H,MATCH(E212,测试!A:A,0)),1)</f>
        <v>-</v>
      </c>
    </row>
    <row r="213" spans="1:6" hidden="1" x14ac:dyDescent="0.3">
      <c r="A213" s="1" t="s">
        <v>2966</v>
      </c>
      <c r="B213" s="1" t="s">
        <v>2508</v>
      </c>
      <c r="C213" s="1" t="s">
        <v>2509</v>
      </c>
      <c r="D213" s="1" t="s">
        <v>2510</v>
      </c>
      <c r="E213" s="1" t="s">
        <v>2511</v>
      </c>
      <c r="F213" s="7" t="str">
        <f>IFERROR(INDEX(测试!H:H,MATCH(E213,测试!A:A,0)),1)</f>
        <v>-</v>
      </c>
    </row>
    <row r="214" spans="1:6" hidden="1" x14ac:dyDescent="0.3">
      <c r="A214" s="1" t="s">
        <v>2965</v>
      </c>
      <c r="B214" s="1" t="s">
        <v>1722</v>
      </c>
      <c r="C214" s="1" t="s">
        <v>1723</v>
      </c>
      <c r="D214" s="1" t="s">
        <v>1724</v>
      </c>
      <c r="E214" s="1" t="s">
        <v>1725</v>
      </c>
      <c r="F214" s="7" t="str">
        <f>IFERROR(INDEX(测试!H:H,MATCH(E214,测试!A:A,0)),1)</f>
        <v>-</v>
      </c>
    </row>
    <row r="215" spans="1:6" hidden="1" x14ac:dyDescent="0.3">
      <c r="A215" s="1" t="s">
        <v>2965</v>
      </c>
      <c r="B215" s="1" t="s">
        <v>1726</v>
      </c>
      <c r="C215" s="1" t="s">
        <v>1727</v>
      </c>
      <c r="D215" s="1" t="s">
        <v>1728</v>
      </c>
      <c r="E215" s="1" t="s">
        <v>1729</v>
      </c>
      <c r="F215" s="7" t="str">
        <f>IFERROR(INDEX(测试!H:H,MATCH(E215,测试!A:A,0)),1)</f>
        <v>-</v>
      </c>
    </row>
    <row r="216" spans="1:6" hidden="1" x14ac:dyDescent="0.3">
      <c r="A216" s="1" t="s">
        <v>2965</v>
      </c>
      <c r="B216" s="1" t="s">
        <v>1730</v>
      </c>
      <c r="C216" s="1" t="s">
        <v>1731</v>
      </c>
      <c r="D216" s="1" t="s">
        <v>1732</v>
      </c>
      <c r="E216" s="1" t="s">
        <v>1733</v>
      </c>
      <c r="F216" s="7" t="str">
        <f>IFERROR(INDEX(测试!H:H,MATCH(E216,测试!A:A,0)),1)</f>
        <v>-</v>
      </c>
    </row>
    <row r="217" spans="1:6" hidden="1" x14ac:dyDescent="0.3">
      <c r="A217" s="1" t="s">
        <v>2965</v>
      </c>
      <c r="B217" s="1" t="s">
        <v>1734</v>
      </c>
      <c r="C217" s="1" t="s">
        <v>1735</v>
      </c>
      <c r="D217" s="1" t="s">
        <v>1736</v>
      </c>
      <c r="E217" s="1" t="s">
        <v>1737</v>
      </c>
      <c r="F217" s="7" t="str">
        <f>IFERROR(INDEX(测试!H:H,MATCH(E217,测试!A:A,0)),1)</f>
        <v>-</v>
      </c>
    </row>
    <row r="218" spans="1:6" hidden="1" x14ac:dyDescent="0.3">
      <c r="A218" s="1" t="s">
        <v>2965</v>
      </c>
      <c r="B218" s="1" t="s">
        <v>1738</v>
      </c>
      <c r="C218" s="1" t="s">
        <v>1739</v>
      </c>
      <c r="D218" s="1" t="s">
        <v>1740</v>
      </c>
      <c r="E218" s="1" t="s">
        <v>1741</v>
      </c>
      <c r="F218" s="7" t="str">
        <f>IFERROR(INDEX(测试!H:H,MATCH(E218,测试!A:A,0)),1)</f>
        <v>-</v>
      </c>
    </row>
    <row r="219" spans="1:6" hidden="1" x14ac:dyDescent="0.3">
      <c r="A219" s="1" t="s">
        <v>2965</v>
      </c>
      <c r="B219" s="1" t="s">
        <v>1742</v>
      </c>
      <c r="C219" s="1" t="s">
        <v>1743</v>
      </c>
      <c r="D219" s="1" t="s">
        <v>1744</v>
      </c>
      <c r="E219" s="1" t="s">
        <v>1745</v>
      </c>
      <c r="F219" s="7" t="str">
        <f>IFERROR(INDEX(测试!H:H,MATCH(E219,测试!A:A,0)),1)</f>
        <v>-</v>
      </c>
    </row>
    <row r="220" spans="1:6" hidden="1" x14ac:dyDescent="0.3">
      <c r="A220" s="1" t="s">
        <v>2965</v>
      </c>
      <c r="B220" s="1" t="s">
        <v>1746</v>
      </c>
      <c r="C220" s="1" t="s">
        <v>1747</v>
      </c>
      <c r="D220" s="1" t="s">
        <v>1748</v>
      </c>
      <c r="E220" s="1" t="s">
        <v>1749</v>
      </c>
      <c r="F220" s="7" t="str">
        <f>IFERROR(INDEX(测试!H:H,MATCH(E220,测试!A:A,0)),1)</f>
        <v>-</v>
      </c>
    </row>
    <row r="221" spans="1:6" hidden="1" x14ac:dyDescent="0.3">
      <c r="A221" s="1" t="s">
        <v>2965</v>
      </c>
      <c r="B221" s="1" t="s">
        <v>1750</v>
      </c>
      <c r="C221" s="1" t="s">
        <v>1751</v>
      </c>
      <c r="D221" s="1" t="s">
        <v>1752</v>
      </c>
      <c r="E221" s="1" t="s">
        <v>1753</v>
      </c>
      <c r="F221" s="7" t="str">
        <f>IFERROR(INDEX(测试!H:H,MATCH(E221,测试!A:A,0)),1)</f>
        <v>-</v>
      </c>
    </row>
    <row r="222" spans="1:6" hidden="1" x14ac:dyDescent="0.3">
      <c r="A222" s="1" t="s">
        <v>2965</v>
      </c>
      <c r="B222" s="1" t="s">
        <v>1754</v>
      </c>
      <c r="C222" s="1" t="s">
        <v>1755</v>
      </c>
      <c r="D222" s="1" t="s">
        <v>1756</v>
      </c>
      <c r="E222" s="1" t="s">
        <v>1757</v>
      </c>
      <c r="F222" s="7" t="str">
        <f>IFERROR(INDEX(测试!H:H,MATCH(E222,测试!A:A,0)),1)</f>
        <v>-</v>
      </c>
    </row>
    <row r="223" spans="1:6" hidden="1" x14ac:dyDescent="0.3">
      <c r="A223" s="1" t="s">
        <v>2965</v>
      </c>
      <c r="B223" s="1" t="s">
        <v>1758</v>
      </c>
      <c r="C223" s="1" t="s">
        <v>1759</v>
      </c>
      <c r="D223" s="1" t="s">
        <v>1760</v>
      </c>
      <c r="E223" s="1" t="s">
        <v>1761</v>
      </c>
      <c r="F223" s="7" t="str">
        <f>IFERROR(INDEX(测试!H:H,MATCH(E223,测试!A:A,0)),1)</f>
        <v>-</v>
      </c>
    </row>
    <row r="224" spans="1:6" hidden="1" x14ac:dyDescent="0.3">
      <c r="A224" s="1" t="s">
        <v>2965</v>
      </c>
      <c r="B224" s="1" t="s">
        <v>1762</v>
      </c>
      <c r="C224" s="1" t="s">
        <v>1763</v>
      </c>
      <c r="D224" s="1" t="s">
        <v>1764</v>
      </c>
      <c r="E224" s="1" t="s">
        <v>1765</v>
      </c>
      <c r="F224" s="7" t="str">
        <f>IFERROR(INDEX(测试!H:H,MATCH(E224,测试!A:A,0)),1)</f>
        <v>-</v>
      </c>
    </row>
    <row r="225" spans="1:6" hidden="1" x14ac:dyDescent="0.3">
      <c r="A225" s="1" t="s">
        <v>2965</v>
      </c>
      <c r="B225" s="1" t="s">
        <v>1766</v>
      </c>
      <c r="C225" s="1" t="s">
        <v>1767</v>
      </c>
      <c r="D225" s="1" t="s">
        <v>1768</v>
      </c>
      <c r="E225" s="1" t="s">
        <v>1769</v>
      </c>
      <c r="F225" s="7" t="str">
        <f>IFERROR(INDEX(测试!H:H,MATCH(E225,测试!A:A,0)),1)</f>
        <v>-</v>
      </c>
    </row>
    <row r="226" spans="1:6" hidden="1" x14ac:dyDescent="0.3">
      <c r="A226" s="1" t="s">
        <v>2965</v>
      </c>
      <c r="B226" s="1" t="s">
        <v>1770</v>
      </c>
      <c r="C226" s="1" t="s">
        <v>1771</v>
      </c>
      <c r="D226" s="1" t="s">
        <v>1772</v>
      </c>
      <c r="E226" s="1" t="s">
        <v>1773</v>
      </c>
      <c r="F226" s="7" t="str">
        <f>IFERROR(INDEX(测试!H:H,MATCH(E226,测试!A:A,0)),1)</f>
        <v>-</v>
      </c>
    </row>
    <row r="227" spans="1:6" hidden="1" x14ac:dyDescent="0.3">
      <c r="A227" s="1" t="s">
        <v>2965</v>
      </c>
      <c r="B227" s="1" t="s">
        <v>1774</v>
      </c>
      <c r="C227" s="1" t="s">
        <v>1775</v>
      </c>
      <c r="D227" s="1" t="s">
        <v>1776</v>
      </c>
      <c r="E227" s="1" t="s">
        <v>1777</v>
      </c>
      <c r="F227" s="7" t="str">
        <f>IFERROR(INDEX(测试!H:H,MATCH(E227,测试!A:A,0)),1)</f>
        <v>文件名错误</v>
      </c>
    </row>
    <row r="228" spans="1:6" hidden="1" x14ac:dyDescent="0.3">
      <c r="A228" s="1" t="s">
        <v>2965</v>
      </c>
      <c r="B228" s="1" t="s">
        <v>1778</v>
      </c>
      <c r="C228" s="1" t="s">
        <v>1779</v>
      </c>
      <c r="D228" s="1" t="s">
        <v>1780</v>
      </c>
      <c r="E228" s="1" t="s">
        <v>1781</v>
      </c>
      <c r="F228" s="7" t="str">
        <f>IFERROR(INDEX(测试!H:H,MATCH(E228,测试!A:A,0)),1)</f>
        <v>文件名错误</v>
      </c>
    </row>
    <row r="229" spans="1:6" hidden="1" x14ac:dyDescent="0.3">
      <c r="A229" s="1" t="s">
        <v>2965</v>
      </c>
      <c r="B229" s="1" t="s">
        <v>1782</v>
      </c>
      <c r="C229" s="1" t="s">
        <v>1783</v>
      </c>
      <c r="D229" s="1" t="s">
        <v>1784</v>
      </c>
      <c r="E229" s="1" t="s">
        <v>1785</v>
      </c>
      <c r="F229" s="7" t="str">
        <f>IFERROR(INDEX(测试!H:H,MATCH(E229,测试!A:A,0)),1)</f>
        <v>-</v>
      </c>
    </row>
    <row r="230" spans="1:6" hidden="1" x14ac:dyDescent="0.3">
      <c r="A230" s="1" t="s">
        <v>2965</v>
      </c>
      <c r="B230" s="1" t="s">
        <v>1786</v>
      </c>
      <c r="C230" s="1" t="s">
        <v>1787</v>
      </c>
      <c r="D230" s="1" t="s">
        <v>1788</v>
      </c>
      <c r="E230" s="1" t="s">
        <v>1789</v>
      </c>
      <c r="F230" s="7" t="str">
        <f>IFERROR(INDEX(测试!H:H,MATCH(E230,测试!A:A,0)),1)</f>
        <v>-</v>
      </c>
    </row>
    <row r="231" spans="1:6" hidden="1" x14ac:dyDescent="0.3">
      <c r="A231" s="1" t="s">
        <v>2965</v>
      </c>
      <c r="B231" s="1" t="s">
        <v>1790</v>
      </c>
      <c r="C231" s="1" t="s">
        <v>1791</v>
      </c>
      <c r="D231" s="1" t="s">
        <v>1792</v>
      </c>
      <c r="E231" s="1" t="s">
        <v>1793</v>
      </c>
      <c r="F231" s="7" t="str">
        <f>IFERROR(INDEX(测试!H:H,MATCH(E231,测试!A:A,0)),1)</f>
        <v>-</v>
      </c>
    </row>
    <row r="232" spans="1:6" hidden="1" x14ac:dyDescent="0.3">
      <c r="A232" s="1" t="s">
        <v>2965</v>
      </c>
      <c r="B232" s="1" t="s">
        <v>1794</v>
      </c>
      <c r="C232" s="1" t="s">
        <v>1795</v>
      </c>
      <c r="D232" s="1" t="s">
        <v>1796</v>
      </c>
      <c r="E232" s="1" t="s">
        <v>1797</v>
      </c>
      <c r="F232" s="7" t="str">
        <f>IFERROR(INDEX(测试!H:H,MATCH(E232,测试!A:A,0)),1)</f>
        <v>-</v>
      </c>
    </row>
    <row r="233" spans="1:6" hidden="1" x14ac:dyDescent="0.3">
      <c r="A233" s="1" t="s">
        <v>2965</v>
      </c>
      <c r="B233" s="1" t="s">
        <v>1798</v>
      </c>
      <c r="C233" s="1" t="s">
        <v>1799</v>
      </c>
      <c r="D233" s="1" t="s">
        <v>1800</v>
      </c>
      <c r="E233" s="14" t="s">
        <v>3020</v>
      </c>
      <c r="F233" s="7" t="str">
        <f>IFERROR(INDEX(测试!H:H,MATCH(E233,测试!A:A,0)),1)</f>
        <v>-</v>
      </c>
    </row>
    <row r="234" spans="1:6" hidden="1" x14ac:dyDescent="0.3">
      <c r="A234" s="1" t="s">
        <v>2965</v>
      </c>
      <c r="B234" s="1" t="s">
        <v>1801</v>
      </c>
      <c r="C234" s="1" t="s">
        <v>1802</v>
      </c>
      <c r="D234" s="1" t="s">
        <v>1803</v>
      </c>
      <c r="E234" s="1" t="s">
        <v>1804</v>
      </c>
      <c r="F234" s="7" t="str">
        <f>IFERROR(INDEX(测试!H:H,MATCH(E234,测试!A:A,0)),1)</f>
        <v>-</v>
      </c>
    </row>
    <row r="235" spans="1:6" hidden="1" x14ac:dyDescent="0.3">
      <c r="A235" s="1" t="s">
        <v>2965</v>
      </c>
      <c r="B235" s="1" t="s">
        <v>1805</v>
      </c>
      <c r="C235" s="1" t="s">
        <v>1806</v>
      </c>
      <c r="D235" s="1" t="s">
        <v>1807</v>
      </c>
      <c r="E235" s="1" t="s">
        <v>1808</v>
      </c>
      <c r="F235" s="7" t="str">
        <f>IFERROR(INDEX(测试!H:H,MATCH(E235,测试!A:A,0)),1)</f>
        <v>-</v>
      </c>
    </row>
    <row r="236" spans="1:6" hidden="1" x14ac:dyDescent="0.3">
      <c r="A236" s="1" t="s">
        <v>2965</v>
      </c>
      <c r="B236" s="1" t="s">
        <v>1809</v>
      </c>
      <c r="C236" s="1" t="s">
        <v>1810</v>
      </c>
      <c r="D236" s="1" t="s">
        <v>1811</v>
      </c>
      <c r="E236" s="1" t="s">
        <v>1812</v>
      </c>
      <c r="F236" s="7" t="str">
        <f>IFERROR(INDEX(测试!H:H,MATCH(E236,测试!A:A,0)),1)</f>
        <v>-</v>
      </c>
    </row>
    <row r="237" spans="1:6" hidden="1" x14ac:dyDescent="0.3">
      <c r="A237" s="1" t="s">
        <v>2965</v>
      </c>
      <c r="B237" s="1" t="s">
        <v>1813</v>
      </c>
      <c r="C237" s="1" t="s">
        <v>1814</v>
      </c>
      <c r="D237" s="1" t="s">
        <v>1815</v>
      </c>
      <c r="E237" s="1" t="s">
        <v>1816</v>
      </c>
      <c r="F237" s="7" t="str">
        <f>IFERROR(INDEX(测试!H:H,MATCH(E237,测试!A:A,0)),1)</f>
        <v>-</v>
      </c>
    </row>
    <row r="238" spans="1:6" hidden="1" x14ac:dyDescent="0.3">
      <c r="A238" s="1" t="s">
        <v>2965</v>
      </c>
      <c r="B238" s="1" t="s">
        <v>1817</v>
      </c>
      <c r="C238" s="1" t="s">
        <v>1818</v>
      </c>
      <c r="D238" s="1" t="s">
        <v>1819</v>
      </c>
      <c r="E238" s="1" t="s">
        <v>1820</v>
      </c>
      <c r="F238" s="7" t="str">
        <f>IFERROR(INDEX(测试!H:H,MATCH(E238,测试!A:A,0)),1)</f>
        <v>-</v>
      </c>
    </row>
    <row r="239" spans="1:6" hidden="1" x14ac:dyDescent="0.3">
      <c r="A239" s="1" t="s">
        <v>2965</v>
      </c>
      <c r="B239" s="1" t="s">
        <v>1821</v>
      </c>
      <c r="C239" s="1" t="s">
        <v>1822</v>
      </c>
      <c r="D239" s="1" t="s">
        <v>1823</v>
      </c>
      <c r="E239" s="1" t="s">
        <v>1824</v>
      </c>
      <c r="F239" s="7" t="str">
        <f>IFERROR(INDEX(测试!H:H,MATCH(E239,测试!A:A,0)),1)</f>
        <v>-</v>
      </c>
    </row>
    <row r="240" spans="1:6" hidden="1" x14ac:dyDescent="0.3">
      <c r="A240" s="1" t="s">
        <v>2965</v>
      </c>
      <c r="B240" s="1" t="s">
        <v>1825</v>
      </c>
      <c r="C240" s="1" t="s">
        <v>1826</v>
      </c>
      <c r="D240" s="1" t="s">
        <v>1827</v>
      </c>
      <c r="E240" s="1" t="s">
        <v>1828</v>
      </c>
      <c r="F240" s="7" t="str">
        <f>IFERROR(INDEX(测试!H:H,MATCH(E240,测试!A:A,0)),1)</f>
        <v>-</v>
      </c>
    </row>
    <row r="241" spans="1:6" hidden="1" x14ac:dyDescent="0.3">
      <c r="A241" s="1" t="s">
        <v>2965</v>
      </c>
      <c r="B241" s="1" t="s">
        <v>1829</v>
      </c>
      <c r="C241" s="1" t="s">
        <v>1830</v>
      </c>
      <c r="D241" s="1" t="s">
        <v>1831</v>
      </c>
      <c r="E241" s="1" t="s">
        <v>1832</v>
      </c>
      <c r="F241" s="7" t="str">
        <f>IFERROR(INDEX(测试!H:H,MATCH(E241,测试!A:A,0)),1)</f>
        <v>-</v>
      </c>
    </row>
    <row r="242" spans="1:6" hidden="1" x14ac:dyDescent="0.3">
      <c r="A242" s="1" t="s">
        <v>2965</v>
      </c>
      <c r="B242" s="1" t="s">
        <v>1833</v>
      </c>
      <c r="C242" s="1" t="s">
        <v>1834</v>
      </c>
      <c r="D242" s="1" t="s">
        <v>1835</v>
      </c>
      <c r="E242" s="1" t="s">
        <v>1836</v>
      </c>
      <c r="F242" s="7" t="str">
        <f>IFERROR(INDEX(测试!H:H,MATCH(E242,测试!A:A,0)),1)</f>
        <v>-</v>
      </c>
    </row>
    <row r="243" spans="1:6" hidden="1" x14ac:dyDescent="0.3">
      <c r="A243" s="1" t="s">
        <v>2965</v>
      </c>
      <c r="B243" s="1" t="s">
        <v>1837</v>
      </c>
      <c r="C243" s="1" t="s">
        <v>1838</v>
      </c>
      <c r="D243" s="1" t="s">
        <v>1839</v>
      </c>
      <c r="E243" s="1" t="s">
        <v>1840</v>
      </c>
      <c r="F243" s="7" t="str">
        <f>IFERROR(INDEX(测试!H:H,MATCH(E243,测试!A:A,0)),1)</f>
        <v>-</v>
      </c>
    </row>
    <row r="244" spans="1:6" hidden="1" x14ac:dyDescent="0.3">
      <c r="A244" s="1" t="s">
        <v>2965</v>
      </c>
      <c r="B244" s="1" t="s">
        <v>1841</v>
      </c>
      <c r="C244" s="1" t="s">
        <v>1842</v>
      </c>
      <c r="D244" s="1" t="s">
        <v>1843</v>
      </c>
      <c r="E244" s="1" t="s">
        <v>1844</v>
      </c>
      <c r="F244" s="7" t="str">
        <f>IFERROR(INDEX(测试!H:H,MATCH(E244,测试!A:A,0)),1)</f>
        <v>-</v>
      </c>
    </row>
    <row r="245" spans="1:6" hidden="1" x14ac:dyDescent="0.3">
      <c r="A245" s="1" t="s">
        <v>2965</v>
      </c>
      <c r="B245" s="1" t="s">
        <v>1845</v>
      </c>
      <c r="C245" s="1" t="s">
        <v>1846</v>
      </c>
      <c r="D245" s="1" t="s">
        <v>1847</v>
      </c>
      <c r="E245" s="1" t="s">
        <v>1848</v>
      </c>
      <c r="F245" s="7" t="str">
        <f>IFERROR(INDEX(测试!H:H,MATCH(E245,测试!A:A,0)),1)</f>
        <v>-</v>
      </c>
    </row>
    <row r="246" spans="1:6" hidden="1" x14ac:dyDescent="0.3">
      <c r="A246" s="1" t="s">
        <v>2965</v>
      </c>
      <c r="B246" s="1" t="s">
        <v>1849</v>
      </c>
      <c r="C246" s="1" t="s">
        <v>1850</v>
      </c>
      <c r="D246" s="1" t="s">
        <v>1851</v>
      </c>
      <c r="E246" s="1" t="s">
        <v>1852</v>
      </c>
      <c r="F246" s="7" t="str">
        <f>IFERROR(INDEX(测试!H:H,MATCH(E246,测试!A:A,0)),1)</f>
        <v>-</v>
      </c>
    </row>
    <row r="247" spans="1:6" hidden="1" x14ac:dyDescent="0.3">
      <c r="A247" s="1" t="s">
        <v>2965</v>
      </c>
      <c r="B247" s="1" t="s">
        <v>1853</v>
      </c>
      <c r="C247" s="1" t="s">
        <v>1854</v>
      </c>
      <c r="D247" s="1" t="s">
        <v>1855</v>
      </c>
      <c r="E247" s="1" t="s">
        <v>1856</v>
      </c>
      <c r="F247" s="7" t="str">
        <f>IFERROR(INDEX(测试!H:H,MATCH(E247,测试!A:A,0)),1)</f>
        <v>-</v>
      </c>
    </row>
    <row r="248" spans="1:6" hidden="1" x14ac:dyDescent="0.3">
      <c r="A248" s="1" t="s">
        <v>2965</v>
      </c>
      <c r="B248" s="1" t="s">
        <v>1857</v>
      </c>
      <c r="C248" s="1" t="s">
        <v>1858</v>
      </c>
      <c r="D248" s="1" t="s">
        <v>1859</v>
      </c>
      <c r="E248" s="1" t="s">
        <v>1860</v>
      </c>
      <c r="F248" s="7" t="str">
        <f>IFERROR(INDEX(测试!H:H,MATCH(E248,测试!A:A,0)),1)</f>
        <v>-</v>
      </c>
    </row>
    <row r="249" spans="1:6" hidden="1" x14ac:dyDescent="0.3">
      <c r="A249" s="1" t="s">
        <v>2965</v>
      </c>
      <c r="B249" s="1" t="s">
        <v>1861</v>
      </c>
      <c r="C249" s="1" t="s">
        <v>1862</v>
      </c>
      <c r="D249" s="1" t="s">
        <v>1863</v>
      </c>
      <c r="E249" s="1" t="s">
        <v>1864</v>
      </c>
      <c r="F249" s="7" t="str">
        <f>IFERROR(INDEX(测试!H:H,MATCH(E249,测试!A:A,0)),1)</f>
        <v>-</v>
      </c>
    </row>
    <row r="250" spans="1:6" hidden="1" x14ac:dyDescent="0.3">
      <c r="A250" s="1" t="s">
        <v>2965</v>
      </c>
      <c r="B250" s="1" t="s">
        <v>1865</v>
      </c>
      <c r="C250" s="1" t="s">
        <v>1866</v>
      </c>
      <c r="D250" s="1" t="s">
        <v>1867</v>
      </c>
      <c r="E250" s="1" t="s">
        <v>1868</v>
      </c>
      <c r="F250" s="7" t="str">
        <f>IFERROR(INDEX(测试!H:H,MATCH(E250,测试!A:A,0)),1)</f>
        <v>-</v>
      </c>
    </row>
    <row r="251" spans="1:6" hidden="1" x14ac:dyDescent="0.3">
      <c r="A251" s="1" t="s">
        <v>2965</v>
      </c>
      <c r="B251" s="1" t="s">
        <v>1869</v>
      </c>
      <c r="C251" s="1" t="s">
        <v>1870</v>
      </c>
      <c r="D251" s="1" t="s">
        <v>1871</v>
      </c>
      <c r="E251" s="1" t="s">
        <v>1872</v>
      </c>
      <c r="F251" s="7" t="str">
        <f>IFERROR(INDEX(测试!H:H,MATCH(E251,测试!A:A,0)),1)</f>
        <v>-</v>
      </c>
    </row>
    <row r="252" spans="1:6" hidden="1" x14ac:dyDescent="0.3">
      <c r="A252" s="1" t="s">
        <v>2965</v>
      </c>
      <c r="B252" s="1" t="s">
        <v>1873</v>
      </c>
      <c r="C252" s="1" t="s">
        <v>1874</v>
      </c>
      <c r="D252" s="1" t="s">
        <v>1875</v>
      </c>
      <c r="E252" s="1" t="s">
        <v>1876</v>
      </c>
      <c r="F252" s="7" t="str">
        <f>IFERROR(INDEX(测试!H:H,MATCH(E252,测试!A:A,0)),1)</f>
        <v>-</v>
      </c>
    </row>
    <row r="253" spans="1:6" hidden="1" x14ac:dyDescent="0.3">
      <c r="A253" s="1" t="s">
        <v>2965</v>
      </c>
      <c r="B253" s="1" t="s">
        <v>1877</v>
      </c>
      <c r="C253" s="1" t="s">
        <v>1878</v>
      </c>
      <c r="D253" s="1" t="s">
        <v>1879</v>
      </c>
      <c r="E253" s="1" t="s">
        <v>1880</v>
      </c>
      <c r="F253" s="7" t="str">
        <f>IFERROR(INDEX(测试!H:H,MATCH(E253,测试!A:A,0)),1)</f>
        <v>-</v>
      </c>
    </row>
    <row r="254" spans="1:6" hidden="1" x14ac:dyDescent="0.3">
      <c r="A254" s="1" t="s">
        <v>2965</v>
      </c>
      <c r="B254" s="1" t="s">
        <v>1881</v>
      </c>
      <c r="C254" s="1" t="s">
        <v>1882</v>
      </c>
      <c r="D254" s="1" t="s">
        <v>1883</v>
      </c>
      <c r="E254" s="1" t="s">
        <v>1884</v>
      </c>
      <c r="F254" s="7" t="str">
        <f>IFERROR(INDEX(测试!H:H,MATCH(E254,测试!A:A,0)),1)</f>
        <v>-</v>
      </c>
    </row>
    <row r="255" spans="1:6" hidden="1" x14ac:dyDescent="0.3">
      <c r="A255" s="1" t="s">
        <v>2965</v>
      </c>
      <c r="B255" s="1" t="s">
        <v>1885</v>
      </c>
      <c r="C255" s="1" t="s">
        <v>1886</v>
      </c>
      <c r="D255" s="1" t="s">
        <v>1887</v>
      </c>
      <c r="E255" s="1" t="s">
        <v>1888</v>
      </c>
      <c r="F255" s="7" t="str">
        <f>IFERROR(INDEX(测试!H:H,MATCH(E255,测试!A:A,0)),1)</f>
        <v>-</v>
      </c>
    </row>
    <row r="256" spans="1:6" hidden="1" x14ac:dyDescent="0.3">
      <c r="A256" s="1" t="s">
        <v>2965</v>
      </c>
      <c r="B256" s="1" t="s">
        <v>1889</v>
      </c>
      <c r="C256" s="1" t="s">
        <v>1890</v>
      </c>
      <c r="D256" s="1" t="s">
        <v>1891</v>
      </c>
      <c r="E256" s="14" t="s">
        <v>3046</v>
      </c>
      <c r="F256" s="7" t="str">
        <f>IFERROR(INDEX(测试!H:H,MATCH(E256,测试!A:A,0)),1)</f>
        <v>-</v>
      </c>
    </row>
    <row r="257" spans="1:6" hidden="1" x14ac:dyDescent="0.3">
      <c r="A257" s="1" t="s">
        <v>2965</v>
      </c>
      <c r="B257" s="1" t="s">
        <v>1892</v>
      </c>
      <c r="C257" s="1" t="s">
        <v>1893</v>
      </c>
      <c r="D257" s="1" t="s">
        <v>1894</v>
      </c>
      <c r="E257" s="1" t="s">
        <v>1895</v>
      </c>
      <c r="F257" s="7" t="str">
        <f>IFERROR(INDEX(测试!H:H,MATCH(E257,测试!A:A,0)),1)</f>
        <v>-</v>
      </c>
    </row>
    <row r="258" spans="1:6" hidden="1" x14ac:dyDescent="0.3">
      <c r="A258" s="1" t="s">
        <v>2965</v>
      </c>
      <c r="B258" s="1" t="s">
        <v>1896</v>
      </c>
      <c r="C258" s="1" t="s">
        <v>1897</v>
      </c>
      <c r="D258" s="1" t="s">
        <v>1898</v>
      </c>
      <c r="E258" s="1" t="s">
        <v>1899</v>
      </c>
      <c r="F258" s="7" t="str">
        <f>IFERROR(INDEX(测试!H:H,MATCH(E258,测试!A:A,0)),1)</f>
        <v>-</v>
      </c>
    </row>
    <row r="259" spans="1:6" hidden="1" x14ac:dyDescent="0.3">
      <c r="A259" s="1" t="s">
        <v>2965</v>
      </c>
      <c r="B259" s="1" t="s">
        <v>1900</v>
      </c>
      <c r="C259" s="1" t="s">
        <v>1901</v>
      </c>
      <c r="D259" s="1" t="s">
        <v>1902</v>
      </c>
      <c r="E259" s="1" t="s">
        <v>1903</v>
      </c>
      <c r="F259" s="7" t="str">
        <f>IFERROR(INDEX(测试!H:H,MATCH(E259,测试!A:A,0)),1)</f>
        <v>-</v>
      </c>
    </row>
    <row r="260" spans="1:6" hidden="1" x14ac:dyDescent="0.3">
      <c r="A260" s="1" t="s">
        <v>2965</v>
      </c>
      <c r="B260" s="1" t="s">
        <v>1904</v>
      </c>
      <c r="C260" s="1" t="s">
        <v>1905</v>
      </c>
      <c r="D260" s="1" t="s">
        <v>1906</v>
      </c>
      <c r="E260" s="1" t="s">
        <v>1907</v>
      </c>
      <c r="F260" s="7" t="str">
        <f>IFERROR(INDEX(测试!H:H,MATCH(E260,测试!A:A,0)),1)</f>
        <v>-</v>
      </c>
    </row>
    <row r="261" spans="1:6" hidden="1" x14ac:dyDescent="0.3">
      <c r="A261" s="1" t="s">
        <v>2965</v>
      </c>
      <c r="B261" s="1" t="s">
        <v>1908</v>
      </c>
      <c r="C261" s="1" t="s">
        <v>1909</v>
      </c>
      <c r="D261" s="1" t="s">
        <v>1910</v>
      </c>
      <c r="E261" s="1" t="s">
        <v>1911</v>
      </c>
      <c r="F261" s="7" t="str">
        <f>IFERROR(INDEX(测试!H:H,MATCH(E261,测试!A:A,0)),1)</f>
        <v>-</v>
      </c>
    </row>
    <row r="262" spans="1:6" hidden="1" x14ac:dyDescent="0.3">
      <c r="A262" s="1" t="s">
        <v>2965</v>
      </c>
      <c r="B262" s="1" t="s">
        <v>1912</v>
      </c>
      <c r="C262" s="1" t="s">
        <v>1913</v>
      </c>
      <c r="D262" s="1" t="s">
        <v>1914</v>
      </c>
      <c r="E262" s="1" t="s">
        <v>1915</v>
      </c>
      <c r="F262" s="7" t="str">
        <f>IFERROR(INDEX(测试!H:H,MATCH(E262,测试!A:A,0)),1)</f>
        <v>-</v>
      </c>
    </row>
    <row r="263" spans="1:6" hidden="1" x14ac:dyDescent="0.3">
      <c r="A263" s="1" t="s">
        <v>2965</v>
      </c>
      <c r="B263" s="1" t="s">
        <v>1916</v>
      </c>
      <c r="C263" s="1" t="s">
        <v>1917</v>
      </c>
      <c r="D263" s="1" t="s">
        <v>1918</v>
      </c>
      <c r="E263" s="1" t="s">
        <v>1919</v>
      </c>
      <c r="F263" s="7" t="str">
        <f>IFERROR(INDEX(测试!H:H,MATCH(E263,测试!A:A,0)),1)</f>
        <v>-</v>
      </c>
    </row>
    <row r="264" spans="1:6" hidden="1" x14ac:dyDescent="0.3">
      <c r="A264" s="1" t="s">
        <v>2965</v>
      </c>
      <c r="B264" s="1" t="s">
        <v>1920</v>
      </c>
      <c r="C264" s="1" t="s">
        <v>1921</v>
      </c>
      <c r="D264" s="1" t="s">
        <v>1922</v>
      </c>
      <c r="E264" s="1" t="s">
        <v>1923</v>
      </c>
      <c r="F264" s="7" t="str">
        <f>IFERROR(INDEX(测试!H:H,MATCH(E264,测试!A:A,0)),1)</f>
        <v>-</v>
      </c>
    </row>
    <row r="265" spans="1:6" hidden="1" x14ac:dyDescent="0.3">
      <c r="A265" s="1" t="s">
        <v>2965</v>
      </c>
      <c r="B265" s="1" t="s">
        <v>1924</v>
      </c>
      <c r="C265" s="1" t="s">
        <v>1925</v>
      </c>
      <c r="D265" s="1" t="s">
        <v>1926</v>
      </c>
      <c r="E265" s="1" t="s">
        <v>1927</v>
      </c>
      <c r="F265" s="7" t="str">
        <f>IFERROR(INDEX(测试!H:H,MATCH(E265,测试!A:A,0)),1)</f>
        <v>-</v>
      </c>
    </row>
    <row r="266" spans="1:6" hidden="1" x14ac:dyDescent="0.3">
      <c r="A266" s="1" t="s">
        <v>2965</v>
      </c>
      <c r="B266" s="1" t="s">
        <v>1928</v>
      </c>
      <c r="C266" s="1" t="s">
        <v>1929</v>
      </c>
      <c r="D266" s="1" t="s">
        <v>1930</v>
      </c>
      <c r="E266" s="1" t="s">
        <v>1931</v>
      </c>
      <c r="F266" s="7" t="str">
        <f>IFERROR(INDEX(测试!H:H,MATCH(E266,测试!A:A,0)),1)</f>
        <v>-</v>
      </c>
    </row>
    <row r="267" spans="1:6" hidden="1" x14ac:dyDescent="0.3">
      <c r="A267" s="1" t="s">
        <v>2965</v>
      </c>
      <c r="B267" s="1" t="s">
        <v>1932</v>
      </c>
      <c r="C267" s="1" t="s">
        <v>1933</v>
      </c>
      <c r="D267" s="1" t="s">
        <v>1934</v>
      </c>
      <c r="E267" s="1" t="s">
        <v>1935</v>
      </c>
      <c r="F267" s="7" t="str">
        <f>IFERROR(INDEX(测试!H:H,MATCH(E267,测试!A:A,0)),1)</f>
        <v>-</v>
      </c>
    </row>
    <row r="268" spans="1:6" hidden="1" x14ac:dyDescent="0.3">
      <c r="A268" s="1" t="s">
        <v>2965</v>
      </c>
      <c r="B268" s="1" t="s">
        <v>1936</v>
      </c>
      <c r="C268" s="1" t="s">
        <v>1937</v>
      </c>
      <c r="D268" s="1" t="s">
        <v>1938</v>
      </c>
      <c r="E268" s="14" t="s">
        <v>3047</v>
      </c>
      <c r="F268" s="7" t="str">
        <f>IFERROR(INDEX(测试!H:H,MATCH(E268,测试!A:A,0)),1)</f>
        <v>-</v>
      </c>
    </row>
    <row r="269" spans="1:6" hidden="1" x14ac:dyDescent="0.3">
      <c r="A269" s="1" t="s">
        <v>2965</v>
      </c>
      <c r="B269" s="1" t="s">
        <v>1939</v>
      </c>
      <c r="C269" s="1" t="s">
        <v>1940</v>
      </c>
      <c r="D269" s="1" t="s">
        <v>1941</v>
      </c>
      <c r="E269" s="1" t="s">
        <v>1942</v>
      </c>
      <c r="F269" s="7" t="str">
        <f>IFERROR(INDEX(测试!H:H,MATCH(E269,测试!A:A,0)),1)</f>
        <v>-</v>
      </c>
    </row>
    <row r="270" spans="1:6" hidden="1" x14ac:dyDescent="0.3">
      <c r="A270" s="1" t="s">
        <v>2965</v>
      </c>
      <c r="B270" s="1" t="s">
        <v>1943</v>
      </c>
      <c r="C270" s="1" t="s">
        <v>1944</v>
      </c>
      <c r="D270" s="1" t="s">
        <v>1945</v>
      </c>
      <c r="E270" s="1" t="s">
        <v>1946</v>
      </c>
      <c r="F270" s="7" t="str">
        <f>IFERROR(INDEX(测试!H:H,MATCH(E270,测试!A:A,0)),1)</f>
        <v>-</v>
      </c>
    </row>
    <row r="271" spans="1:6" hidden="1" x14ac:dyDescent="0.3">
      <c r="A271" s="1" t="s">
        <v>2965</v>
      </c>
      <c r="B271" s="1" t="s">
        <v>1947</v>
      </c>
      <c r="C271" s="1" t="s">
        <v>1948</v>
      </c>
      <c r="D271" s="1" t="s">
        <v>1949</v>
      </c>
      <c r="E271" s="1" t="s">
        <v>1950</v>
      </c>
      <c r="F271" s="7" t="str">
        <f>IFERROR(INDEX(测试!H:H,MATCH(E271,测试!A:A,0)),1)</f>
        <v>-</v>
      </c>
    </row>
    <row r="272" spans="1:6" hidden="1" x14ac:dyDescent="0.3">
      <c r="A272" s="1" t="s">
        <v>2965</v>
      </c>
      <c r="B272" s="1" t="s">
        <v>1951</v>
      </c>
      <c r="C272" s="1" t="s">
        <v>1952</v>
      </c>
      <c r="D272" s="1" t="s">
        <v>1953</v>
      </c>
      <c r="E272" s="1" t="s">
        <v>1954</v>
      </c>
      <c r="F272" s="7" t="str">
        <f>IFERROR(INDEX(测试!H:H,MATCH(E272,测试!A:A,0)),1)</f>
        <v>-</v>
      </c>
    </row>
    <row r="273" spans="1:6" hidden="1" x14ac:dyDescent="0.3">
      <c r="A273" s="1" t="s">
        <v>2965</v>
      </c>
      <c r="B273" s="1" t="s">
        <v>1955</v>
      </c>
      <c r="C273" s="1" t="s">
        <v>1956</v>
      </c>
      <c r="D273" s="1" t="s">
        <v>1957</v>
      </c>
      <c r="E273" s="1" t="s">
        <v>1958</v>
      </c>
      <c r="F273" s="7" t="str">
        <f>IFERROR(INDEX(测试!H:H,MATCH(E273,测试!A:A,0)),1)</f>
        <v>-</v>
      </c>
    </row>
    <row r="274" spans="1:6" hidden="1" x14ac:dyDescent="0.3">
      <c r="A274" s="1" t="s">
        <v>2965</v>
      </c>
      <c r="B274" s="1" t="s">
        <v>1959</v>
      </c>
      <c r="C274" s="1" t="s">
        <v>1960</v>
      </c>
      <c r="D274" s="1" t="s">
        <v>1961</v>
      </c>
      <c r="E274" s="1" t="s">
        <v>1962</v>
      </c>
      <c r="F274" s="7" t="str">
        <f>IFERROR(INDEX(测试!H:H,MATCH(E274,测试!A:A,0)),1)</f>
        <v>-</v>
      </c>
    </row>
    <row r="275" spans="1:6" hidden="1" x14ac:dyDescent="0.3">
      <c r="A275" s="1" t="s">
        <v>2965</v>
      </c>
      <c r="B275" s="1" t="s">
        <v>1963</v>
      </c>
      <c r="C275" s="1" t="s">
        <v>1964</v>
      </c>
      <c r="D275" s="1" t="s">
        <v>1965</v>
      </c>
      <c r="E275" s="14" t="s">
        <v>3045</v>
      </c>
      <c r="F275" s="7" t="str">
        <f>IFERROR(INDEX(测试!H:H,MATCH(E275,测试!A:A,0)),1)</f>
        <v>-</v>
      </c>
    </row>
    <row r="276" spans="1:6" hidden="1" x14ac:dyDescent="0.3">
      <c r="A276" s="1" t="s">
        <v>2965</v>
      </c>
      <c r="B276" s="1" t="s">
        <v>1966</v>
      </c>
      <c r="C276" s="1" t="s">
        <v>1967</v>
      </c>
      <c r="D276" s="1" t="s">
        <v>1968</v>
      </c>
      <c r="E276" s="1" t="s">
        <v>1969</v>
      </c>
      <c r="F276" s="7" t="str">
        <f>IFERROR(INDEX(测试!H:H,MATCH(E276,测试!A:A,0)),1)</f>
        <v>-</v>
      </c>
    </row>
    <row r="277" spans="1:6" hidden="1" x14ac:dyDescent="0.3">
      <c r="A277" s="1" t="s">
        <v>2965</v>
      </c>
      <c r="B277" s="1" t="s">
        <v>1970</v>
      </c>
      <c r="C277" s="1" t="s">
        <v>1971</v>
      </c>
      <c r="D277" s="1" t="s">
        <v>1972</v>
      </c>
      <c r="E277" s="1" t="s">
        <v>1973</v>
      </c>
      <c r="F277" s="7" t="str">
        <f>IFERROR(INDEX(测试!H:H,MATCH(E277,测试!A:A,0)),1)</f>
        <v>-</v>
      </c>
    </row>
    <row r="278" spans="1:6" hidden="1" x14ac:dyDescent="0.3">
      <c r="A278" s="1" t="s">
        <v>2965</v>
      </c>
      <c r="B278" s="1" t="s">
        <v>1974</v>
      </c>
      <c r="C278" s="1" t="s">
        <v>1975</v>
      </c>
      <c r="D278" s="1" t="s">
        <v>1976</v>
      </c>
      <c r="E278" s="1" t="s">
        <v>1977</v>
      </c>
      <c r="F278" s="7" t="str">
        <f>IFERROR(INDEX(测试!H:H,MATCH(E278,测试!A:A,0)),1)</f>
        <v>-</v>
      </c>
    </row>
    <row r="279" spans="1:6" hidden="1" x14ac:dyDescent="0.3">
      <c r="A279" s="1" t="s">
        <v>2965</v>
      </c>
      <c r="B279" s="1" t="s">
        <v>1978</v>
      </c>
      <c r="C279" s="1" t="s">
        <v>1979</v>
      </c>
      <c r="D279" s="1" t="s">
        <v>1980</v>
      </c>
      <c r="E279" s="1" t="s">
        <v>1981</v>
      </c>
      <c r="F279" s="7" t="str">
        <f>IFERROR(INDEX(测试!H:H,MATCH(E279,测试!A:A,0)),1)</f>
        <v>-</v>
      </c>
    </row>
    <row r="280" spans="1:6" hidden="1" x14ac:dyDescent="0.3">
      <c r="A280" s="1" t="s">
        <v>2965</v>
      </c>
      <c r="B280" s="1" t="s">
        <v>1982</v>
      </c>
      <c r="C280" s="1" t="s">
        <v>1983</v>
      </c>
      <c r="D280" s="1" t="s">
        <v>1984</v>
      </c>
      <c r="E280" s="1" t="s">
        <v>1985</v>
      </c>
      <c r="F280" s="7" t="str">
        <f>IFERROR(INDEX(测试!H:H,MATCH(E280,测试!A:A,0)),1)</f>
        <v>-</v>
      </c>
    </row>
    <row r="281" spans="1:6" hidden="1" x14ac:dyDescent="0.3">
      <c r="A281" s="1" t="s">
        <v>2965</v>
      </c>
      <c r="B281" s="1" t="s">
        <v>1986</v>
      </c>
      <c r="C281" s="1" t="s">
        <v>1987</v>
      </c>
      <c r="D281" s="1" t="s">
        <v>1988</v>
      </c>
      <c r="E281" s="1" t="s">
        <v>1989</v>
      </c>
      <c r="F281" s="7" t="str">
        <f>IFERROR(INDEX(测试!H:H,MATCH(E281,测试!A:A,0)),1)</f>
        <v>-</v>
      </c>
    </row>
    <row r="282" spans="1:6" hidden="1" x14ac:dyDescent="0.3">
      <c r="A282" s="1" t="s">
        <v>2965</v>
      </c>
      <c r="B282" s="1" t="s">
        <v>1990</v>
      </c>
      <c r="C282" s="1" t="s">
        <v>1991</v>
      </c>
      <c r="D282" s="1" t="s">
        <v>1992</v>
      </c>
      <c r="E282" s="1" t="s">
        <v>1993</v>
      </c>
      <c r="F282" s="7" t="str">
        <f>IFERROR(INDEX(测试!H:H,MATCH(E282,测试!A:A,0)),1)</f>
        <v>-</v>
      </c>
    </row>
    <row r="283" spans="1:6" hidden="1" x14ac:dyDescent="0.3">
      <c r="A283" s="1" t="s">
        <v>2965</v>
      </c>
      <c r="B283" s="1" t="s">
        <v>1994</v>
      </c>
      <c r="C283" s="1" t="s">
        <v>1995</v>
      </c>
      <c r="D283" s="1" t="s">
        <v>1996</v>
      </c>
      <c r="E283" s="1" t="s">
        <v>1997</v>
      </c>
      <c r="F283" s="7" t="str">
        <f>IFERROR(INDEX(测试!H:H,MATCH(E283,测试!A:A,0)),1)</f>
        <v>-</v>
      </c>
    </row>
    <row r="284" spans="1:6" hidden="1" x14ac:dyDescent="0.3">
      <c r="A284" s="1" t="s">
        <v>2965</v>
      </c>
      <c r="B284" s="1" t="s">
        <v>1998</v>
      </c>
      <c r="C284" s="1" t="s">
        <v>1999</v>
      </c>
      <c r="D284" s="1" t="s">
        <v>2000</v>
      </c>
      <c r="E284" s="1" t="s">
        <v>2001</v>
      </c>
      <c r="F284" s="7" t="str">
        <f>IFERROR(INDEX(测试!H:H,MATCH(E284,测试!A:A,0)),1)</f>
        <v>-</v>
      </c>
    </row>
    <row r="285" spans="1:6" hidden="1" x14ac:dyDescent="0.3">
      <c r="A285" s="1" t="s">
        <v>2965</v>
      </c>
      <c r="B285" s="1" t="s">
        <v>2002</v>
      </c>
      <c r="C285" s="1" t="s">
        <v>2003</v>
      </c>
      <c r="D285" s="1" t="s">
        <v>2004</v>
      </c>
      <c r="E285" s="1" t="s">
        <v>2005</v>
      </c>
      <c r="F285" s="7" t="str">
        <f>IFERROR(INDEX(测试!H:H,MATCH(E285,测试!A:A,0)),1)</f>
        <v>-</v>
      </c>
    </row>
    <row r="286" spans="1:6" hidden="1" x14ac:dyDescent="0.3">
      <c r="A286" s="1" t="s">
        <v>2965</v>
      </c>
      <c r="B286" s="1" t="s">
        <v>2006</v>
      </c>
      <c r="C286" s="1" t="s">
        <v>2007</v>
      </c>
      <c r="D286" s="1" t="s">
        <v>2008</v>
      </c>
      <c r="E286" s="1" t="s">
        <v>2009</v>
      </c>
      <c r="F286" s="7" t="str">
        <f>IFERROR(INDEX(测试!H:H,MATCH(E286,测试!A:A,0)),1)</f>
        <v>-</v>
      </c>
    </row>
    <row r="287" spans="1:6" hidden="1" x14ac:dyDescent="0.3">
      <c r="A287" s="1" t="s">
        <v>2965</v>
      </c>
      <c r="B287" s="1" t="s">
        <v>2010</v>
      </c>
      <c r="C287" s="1" t="s">
        <v>2011</v>
      </c>
      <c r="D287" s="1" t="s">
        <v>2012</v>
      </c>
      <c r="E287" s="1" t="s">
        <v>2013</v>
      </c>
      <c r="F287" s="7" t="str">
        <f>IFERROR(INDEX(测试!H:H,MATCH(E287,测试!A:A,0)),1)</f>
        <v>-</v>
      </c>
    </row>
    <row r="288" spans="1:6" hidden="1" x14ac:dyDescent="0.3">
      <c r="A288" s="1" t="s">
        <v>2965</v>
      </c>
      <c r="B288" s="1" t="s">
        <v>2014</v>
      </c>
      <c r="C288" s="1" t="s">
        <v>2015</v>
      </c>
      <c r="D288" s="1" t="s">
        <v>2016</v>
      </c>
      <c r="E288" s="1" t="s">
        <v>2017</v>
      </c>
      <c r="F288" s="7" t="str">
        <f>IFERROR(INDEX(测试!H:H,MATCH(E288,测试!A:A,0)),1)</f>
        <v>-</v>
      </c>
    </row>
    <row r="289" spans="1:6" hidden="1" x14ac:dyDescent="0.3">
      <c r="A289" s="1" t="s">
        <v>2965</v>
      </c>
      <c r="B289" s="1" t="s">
        <v>2018</v>
      </c>
      <c r="C289" s="1" t="s">
        <v>2019</v>
      </c>
      <c r="D289" s="1" t="s">
        <v>2020</v>
      </c>
      <c r="E289" s="1" t="s">
        <v>2021</v>
      </c>
      <c r="F289" s="7" t="str">
        <f>IFERROR(INDEX(测试!H:H,MATCH(E289,测试!A:A,0)),1)</f>
        <v>-</v>
      </c>
    </row>
    <row r="290" spans="1:6" hidden="1" x14ac:dyDescent="0.3">
      <c r="A290" s="1" t="s">
        <v>2965</v>
      </c>
      <c r="B290" s="1" t="s">
        <v>2022</v>
      </c>
      <c r="C290" s="1" t="s">
        <v>2023</v>
      </c>
      <c r="D290" s="1" t="s">
        <v>2024</v>
      </c>
      <c r="E290" s="1" t="s">
        <v>2025</v>
      </c>
      <c r="F290" s="7" t="str">
        <f>IFERROR(INDEX(测试!H:H,MATCH(E290,测试!A:A,0)),1)</f>
        <v>-</v>
      </c>
    </row>
    <row r="291" spans="1:6" hidden="1" x14ac:dyDescent="0.3">
      <c r="A291" s="1" t="s">
        <v>2965</v>
      </c>
      <c r="B291" s="1" t="s">
        <v>2026</v>
      </c>
      <c r="C291" s="1" t="s">
        <v>2027</v>
      </c>
      <c r="D291" s="1" t="s">
        <v>2028</v>
      </c>
      <c r="E291" s="1" t="s">
        <v>2029</v>
      </c>
      <c r="F291" s="7" t="str">
        <f>IFERROR(INDEX(测试!H:H,MATCH(E291,测试!A:A,0)),1)</f>
        <v>-</v>
      </c>
    </row>
    <row r="292" spans="1:6" hidden="1" x14ac:dyDescent="0.3">
      <c r="A292" s="1" t="s">
        <v>2965</v>
      </c>
      <c r="B292" s="1" t="s">
        <v>2030</v>
      </c>
      <c r="C292" s="1" t="s">
        <v>2031</v>
      </c>
      <c r="D292" s="1" t="s">
        <v>2032</v>
      </c>
      <c r="E292" s="1" t="s">
        <v>2033</v>
      </c>
      <c r="F292" s="7" t="str">
        <f>IFERROR(INDEX(测试!H:H,MATCH(E292,测试!A:A,0)),1)</f>
        <v>-</v>
      </c>
    </row>
    <row r="293" spans="1:6" hidden="1" x14ac:dyDescent="0.3">
      <c r="A293" s="1" t="s">
        <v>2965</v>
      </c>
      <c r="B293" s="1" t="s">
        <v>2034</v>
      </c>
      <c r="C293" s="1" t="s">
        <v>2035</v>
      </c>
      <c r="D293" s="1" t="s">
        <v>2036</v>
      </c>
      <c r="E293" s="1" t="s">
        <v>2037</v>
      </c>
      <c r="F293" s="7" t="str">
        <f>IFERROR(INDEX(测试!H:H,MATCH(E293,测试!A:A,0)),1)</f>
        <v>-</v>
      </c>
    </row>
    <row r="294" spans="1:6" hidden="1" x14ac:dyDescent="0.3">
      <c r="A294" s="1" t="s">
        <v>2965</v>
      </c>
      <c r="B294" s="1" t="s">
        <v>2038</v>
      </c>
      <c r="C294" s="1" t="s">
        <v>2039</v>
      </c>
      <c r="D294" s="1" t="s">
        <v>2040</v>
      </c>
      <c r="E294" s="1" t="s">
        <v>2041</v>
      </c>
      <c r="F294" s="7" t="str">
        <f>IFERROR(INDEX(测试!H:H,MATCH(E294,测试!A:A,0)),1)</f>
        <v>-</v>
      </c>
    </row>
    <row r="295" spans="1:6" hidden="1" x14ac:dyDescent="0.3">
      <c r="A295" s="1" t="s">
        <v>2965</v>
      </c>
      <c r="B295" s="1" t="s">
        <v>2042</v>
      </c>
      <c r="C295" s="1" t="s">
        <v>2043</v>
      </c>
      <c r="D295" s="1" t="s">
        <v>2044</v>
      </c>
      <c r="E295" s="1" t="s">
        <v>2045</v>
      </c>
      <c r="F295" s="7" t="str">
        <f>IFERROR(INDEX(测试!H:H,MATCH(E295,测试!A:A,0)),1)</f>
        <v>-</v>
      </c>
    </row>
    <row r="296" spans="1:6" hidden="1" x14ac:dyDescent="0.3">
      <c r="A296" s="1" t="s">
        <v>2965</v>
      </c>
      <c r="B296" s="1" t="s">
        <v>2046</v>
      </c>
      <c r="C296" s="1" t="s">
        <v>2047</v>
      </c>
      <c r="D296" s="1" t="s">
        <v>2048</v>
      </c>
      <c r="E296" s="1" t="s">
        <v>2049</v>
      </c>
      <c r="F296" s="7" t="str">
        <f>IFERROR(INDEX(测试!H:H,MATCH(E296,测试!A:A,0)),1)</f>
        <v>-</v>
      </c>
    </row>
    <row r="297" spans="1:6" hidden="1" x14ac:dyDescent="0.3">
      <c r="A297" s="1" t="s">
        <v>2965</v>
      </c>
      <c r="B297" s="1" t="s">
        <v>2050</v>
      </c>
      <c r="C297" s="1" t="s">
        <v>2051</v>
      </c>
      <c r="D297" s="1" t="s">
        <v>2052</v>
      </c>
      <c r="E297" s="1" t="s">
        <v>2053</v>
      </c>
      <c r="F297" s="7" t="str">
        <f>IFERROR(INDEX(测试!H:H,MATCH(E297,测试!A:A,0)),1)</f>
        <v>-</v>
      </c>
    </row>
    <row r="298" spans="1:6" hidden="1" x14ac:dyDescent="0.3">
      <c r="A298" s="1" t="s">
        <v>2965</v>
      </c>
      <c r="B298" s="1" t="s">
        <v>2054</v>
      </c>
      <c r="C298" s="1" t="s">
        <v>2055</v>
      </c>
      <c r="D298" s="1" t="s">
        <v>2056</v>
      </c>
      <c r="E298" s="1" t="s">
        <v>2057</v>
      </c>
      <c r="F298" s="7" t="str">
        <f>IFERROR(INDEX(测试!H:H,MATCH(E298,测试!A:A,0)),1)</f>
        <v>-</v>
      </c>
    </row>
    <row r="299" spans="1:6" hidden="1" x14ac:dyDescent="0.3">
      <c r="A299" s="1" t="s">
        <v>2965</v>
      </c>
      <c r="B299" s="1" t="s">
        <v>2058</v>
      </c>
      <c r="C299" s="1" t="s">
        <v>2059</v>
      </c>
      <c r="D299" s="1" t="s">
        <v>2060</v>
      </c>
      <c r="E299" s="1" t="s">
        <v>2061</v>
      </c>
      <c r="F299" s="7" t="str">
        <f>IFERROR(INDEX(测试!H:H,MATCH(E299,测试!A:A,0)),1)</f>
        <v>-</v>
      </c>
    </row>
    <row r="300" spans="1:6" hidden="1" x14ac:dyDescent="0.3">
      <c r="A300" s="1" t="s">
        <v>2965</v>
      </c>
      <c r="B300" s="1" t="s">
        <v>2062</v>
      </c>
      <c r="C300" s="1" t="s">
        <v>2063</v>
      </c>
      <c r="D300" s="1" t="s">
        <v>2064</v>
      </c>
      <c r="E300" s="1" t="s">
        <v>2065</v>
      </c>
      <c r="F300" s="7" t="str">
        <f>IFERROR(INDEX(测试!H:H,MATCH(E300,测试!A:A,0)),1)</f>
        <v>-</v>
      </c>
    </row>
    <row r="301" spans="1:6" hidden="1" x14ac:dyDescent="0.3">
      <c r="A301" s="1" t="s">
        <v>2965</v>
      </c>
      <c r="B301" s="1" t="s">
        <v>2066</v>
      </c>
      <c r="C301" s="1" t="s">
        <v>2067</v>
      </c>
      <c r="D301" s="1" t="s">
        <v>2068</v>
      </c>
      <c r="E301" s="1" t="s">
        <v>2069</v>
      </c>
      <c r="F301" s="7" t="str">
        <f>IFERROR(INDEX(测试!H:H,MATCH(E301,测试!A:A,0)),1)</f>
        <v>-</v>
      </c>
    </row>
    <row r="302" spans="1:6" hidden="1" x14ac:dyDescent="0.3">
      <c r="A302" s="1" t="s">
        <v>2965</v>
      </c>
      <c r="B302" s="1" t="s">
        <v>2070</v>
      </c>
      <c r="C302" s="1" t="s">
        <v>2071</v>
      </c>
      <c r="D302" s="1" t="s">
        <v>2072</v>
      </c>
      <c r="E302" s="1" t="s">
        <v>2073</v>
      </c>
      <c r="F302" s="7" t="str">
        <f>IFERROR(INDEX(测试!H:H,MATCH(E302,测试!A:A,0)),1)</f>
        <v>-</v>
      </c>
    </row>
    <row r="303" spans="1:6" hidden="1" x14ac:dyDescent="0.3">
      <c r="A303" s="1" t="s">
        <v>2965</v>
      </c>
      <c r="B303" s="1" t="s">
        <v>2074</v>
      </c>
      <c r="C303" s="1" t="s">
        <v>2075</v>
      </c>
      <c r="D303" s="1" t="s">
        <v>2076</v>
      </c>
      <c r="E303" s="1" t="s">
        <v>2077</v>
      </c>
      <c r="F303" s="7" t="str">
        <f>IFERROR(INDEX(测试!H:H,MATCH(E303,测试!A:A,0)),1)</f>
        <v>-</v>
      </c>
    </row>
    <row r="304" spans="1:6" hidden="1" x14ac:dyDescent="0.3">
      <c r="A304" s="1" t="s">
        <v>2965</v>
      </c>
      <c r="B304" s="1" t="s">
        <v>2078</v>
      </c>
      <c r="C304" s="1" t="s">
        <v>2079</v>
      </c>
      <c r="D304" s="1" t="s">
        <v>2080</v>
      </c>
      <c r="E304" s="1" t="s">
        <v>2081</v>
      </c>
      <c r="F304" s="7" t="str">
        <f>IFERROR(INDEX(测试!H:H,MATCH(E304,测试!A:A,0)),1)</f>
        <v>-</v>
      </c>
    </row>
    <row r="305" spans="1:6" hidden="1" x14ac:dyDescent="0.3">
      <c r="A305" s="1" t="s">
        <v>2965</v>
      </c>
      <c r="B305" s="1" t="s">
        <v>2082</v>
      </c>
      <c r="C305" s="1" t="s">
        <v>2083</v>
      </c>
      <c r="D305" s="1" t="s">
        <v>2084</v>
      </c>
      <c r="E305" s="1" t="s">
        <v>2085</v>
      </c>
      <c r="F305" s="7" t="str">
        <f>IFERROR(INDEX(测试!H:H,MATCH(E305,测试!A:A,0)),1)</f>
        <v>-</v>
      </c>
    </row>
    <row r="306" spans="1:6" hidden="1" x14ac:dyDescent="0.3">
      <c r="A306" s="1" t="s">
        <v>2965</v>
      </c>
      <c r="B306" s="1" t="s">
        <v>2086</v>
      </c>
      <c r="C306" s="1" t="s">
        <v>2087</v>
      </c>
      <c r="D306" s="1" t="s">
        <v>2088</v>
      </c>
      <c r="E306" s="1" t="s">
        <v>2089</v>
      </c>
      <c r="F306" s="7" t="str">
        <f>IFERROR(INDEX(测试!H:H,MATCH(E306,测试!A:A,0)),1)</f>
        <v>-</v>
      </c>
    </row>
    <row r="307" spans="1:6" hidden="1" x14ac:dyDescent="0.3">
      <c r="A307" s="1" t="s">
        <v>2965</v>
      </c>
      <c r="B307" s="1" t="s">
        <v>2090</v>
      </c>
      <c r="C307" s="1" t="s">
        <v>2091</v>
      </c>
      <c r="D307" s="1" t="s">
        <v>2092</v>
      </c>
      <c r="E307" s="1" t="s">
        <v>2093</v>
      </c>
      <c r="F307" s="7" t="str">
        <f>IFERROR(INDEX(测试!H:H,MATCH(E307,测试!A:A,0)),1)</f>
        <v>-</v>
      </c>
    </row>
    <row r="308" spans="1:6" hidden="1" x14ac:dyDescent="0.3">
      <c r="A308" s="1" t="s">
        <v>2965</v>
      </c>
      <c r="B308" s="1" t="s">
        <v>2094</v>
      </c>
      <c r="C308" s="1" t="s">
        <v>2095</v>
      </c>
      <c r="D308" s="1" t="s">
        <v>2096</v>
      </c>
      <c r="E308" s="1" t="s">
        <v>2097</v>
      </c>
      <c r="F308" s="7" t="str">
        <f>IFERROR(INDEX(测试!H:H,MATCH(E308,测试!A:A,0)),1)</f>
        <v>-</v>
      </c>
    </row>
    <row r="309" spans="1:6" hidden="1" x14ac:dyDescent="0.3">
      <c r="A309" s="1" t="s">
        <v>2965</v>
      </c>
      <c r="B309" s="1" t="s">
        <v>2098</v>
      </c>
      <c r="C309" s="1" t="s">
        <v>2099</v>
      </c>
      <c r="D309" s="1" t="s">
        <v>2100</v>
      </c>
      <c r="E309" s="1" t="s">
        <v>2101</v>
      </c>
      <c r="F309" s="7" t="str">
        <f>IFERROR(INDEX(测试!H:H,MATCH(E309,测试!A:A,0)),1)</f>
        <v>-</v>
      </c>
    </row>
    <row r="310" spans="1:6" hidden="1" x14ac:dyDescent="0.3">
      <c r="A310" s="1" t="s">
        <v>2965</v>
      </c>
      <c r="B310" s="1" t="s">
        <v>2102</v>
      </c>
      <c r="C310" s="1" t="s">
        <v>2103</v>
      </c>
      <c r="D310" s="1" t="s">
        <v>2104</v>
      </c>
      <c r="E310" s="1" t="s">
        <v>2105</v>
      </c>
      <c r="F310" s="7" t="str">
        <f>IFERROR(INDEX(测试!H:H,MATCH(E310,测试!A:A,0)),1)</f>
        <v>-</v>
      </c>
    </row>
    <row r="311" spans="1:6" hidden="1" x14ac:dyDescent="0.3">
      <c r="A311" s="1" t="s">
        <v>2965</v>
      </c>
      <c r="B311" s="1" t="s">
        <v>2106</v>
      </c>
      <c r="C311" s="1" t="s">
        <v>2107</v>
      </c>
      <c r="D311" s="1" t="s">
        <v>2108</v>
      </c>
      <c r="E311" s="1" t="s">
        <v>2109</v>
      </c>
      <c r="F311" s="7" t="str">
        <f>IFERROR(INDEX(测试!H:H,MATCH(E311,测试!A:A,0)),1)</f>
        <v>-</v>
      </c>
    </row>
    <row r="312" spans="1:6" hidden="1" x14ac:dyDescent="0.3">
      <c r="A312" s="1" t="s">
        <v>2965</v>
      </c>
      <c r="B312" s="1" t="s">
        <v>2110</v>
      </c>
      <c r="C312" s="1" t="s">
        <v>2111</v>
      </c>
      <c r="D312" s="1" t="s">
        <v>2112</v>
      </c>
      <c r="E312" s="1" t="s">
        <v>2113</v>
      </c>
      <c r="F312" s="7" t="str">
        <f>IFERROR(INDEX(测试!H:H,MATCH(E312,测试!A:A,0)),1)</f>
        <v>-</v>
      </c>
    </row>
    <row r="313" spans="1:6" hidden="1" x14ac:dyDescent="0.3">
      <c r="A313" s="1" t="s">
        <v>2965</v>
      </c>
      <c r="B313" s="1" t="s">
        <v>2114</v>
      </c>
      <c r="C313" s="1" t="s">
        <v>2115</v>
      </c>
      <c r="D313" s="1" t="s">
        <v>2116</v>
      </c>
      <c r="E313" s="1" t="s">
        <v>2117</v>
      </c>
      <c r="F313" s="7" t="str">
        <f>IFERROR(INDEX(测试!H:H,MATCH(E313,测试!A:A,0)),1)</f>
        <v>-</v>
      </c>
    </row>
    <row r="314" spans="1:6" hidden="1" x14ac:dyDescent="0.3">
      <c r="A314" s="1" t="s">
        <v>2964</v>
      </c>
      <c r="B314" s="1" t="s">
        <v>1333</v>
      </c>
      <c r="C314" s="1" t="s">
        <v>1334</v>
      </c>
      <c r="D314" s="1" t="s">
        <v>1335</v>
      </c>
      <c r="E314" s="1" t="s">
        <v>1336</v>
      </c>
      <c r="F314" s="7" t="str">
        <f>IFERROR(INDEX(测试!H:H,MATCH(E314,测试!A:A,0)),1)</f>
        <v>文件名错误</v>
      </c>
    </row>
    <row r="315" spans="1:6" hidden="1" x14ac:dyDescent="0.3">
      <c r="A315" s="1" t="s">
        <v>2964</v>
      </c>
      <c r="B315" s="1" t="s">
        <v>1337</v>
      </c>
      <c r="C315" s="1" t="s">
        <v>1338</v>
      </c>
      <c r="D315" s="1" t="s">
        <v>1339</v>
      </c>
      <c r="E315" s="1" t="s">
        <v>1340</v>
      </c>
      <c r="F315" s="7" t="str">
        <f>IFERROR(INDEX(测试!H:H,MATCH(E315,测试!A:A,0)),1)</f>
        <v>-</v>
      </c>
    </row>
    <row r="316" spans="1:6" hidden="1" x14ac:dyDescent="0.3">
      <c r="A316" s="1" t="s">
        <v>2964</v>
      </c>
      <c r="B316" s="1" t="s">
        <v>1341</v>
      </c>
      <c r="C316" s="1" t="s">
        <v>1342</v>
      </c>
      <c r="D316" s="1" t="s">
        <v>1343</v>
      </c>
      <c r="E316" s="1" t="s">
        <v>1344</v>
      </c>
      <c r="F316" s="7" t="str">
        <f>IFERROR(INDEX(测试!H:H,MATCH(E316,测试!A:A,0)),1)</f>
        <v>-</v>
      </c>
    </row>
    <row r="317" spans="1:6" hidden="1" x14ac:dyDescent="0.3">
      <c r="A317" s="1" t="s">
        <v>2964</v>
      </c>
      <c r="B317" s="1" t="s">
        <v>1345</v>
      </c>
      <c r="C317" s="1" t="s">
        <v>1346</v>
      </c>
      <c r="D317" s="1" t="s">
        <v>1347</v>
      </c>
      <c r="E317" s="1" t="s">
        <v>1348</v>
      </c>
      <c r="F317" s="7" t="str">
        <f>IFERROR(INDEX(测试!H:H,MATCH(E317,测试!A:A,0)),1)</f>
        <v>-</v>
      </c>
    </row>
    <row r="318" spans="1:6" hidden="1" x14ac:dyDescent="0.3">
      <c r="A318" s="1" t="s">
        <v>2964</v>
      </c>
      <c r="B318" s="1" t="s">
        <v>1349</v>
      </c>
      <c r="C318" s="1" t="s">
        <v>1350</v>
      </c>
      <c r="D318" s="1" t="s">
        <v>1351</v>
      </c>
      <c r="E318" s="1" t="s">
        <v>1352</v>
      </c>
      <c r="F318" s="7" t="str">
        <f>IFERROR(INDEX(测试!H:H,MATCH(E318,测试!A:A,0)),1)</f>
        <v>-</v>
      </c>
    </row>
    <row r="319" spans="1:6" hidden="1" x14ac:dyDescent="0.3">
      <c r="A319" s="1" t="s">
        <v>2964</v>
      </c>
      <c r="B319" s="1" t="s">
        <v>1353</v>
      </c>
      <c r="C319" s="1" t="s">
        <v>1354</v>
      </c>
      <c r="D319" s="1" t="s">
        <v>1355</v>
      </c>
      <c r="E319" s="1" t="s">
        <v>1356</v>
      </c>
      <c r="F319" s="7" t="str">
        <f>IFERROR(INDEX(测试!H:H,MATCH(E319,测试!A:A,0)),1)</f>
        <v>-</v>
      </c>
    </row>
    <row r="320" spans="1:6" hidden="1" x14ac:dyDescent="0.3">
      <c r="A320" s="1" t="s">
        <v>2964</v>
      </c>
      <c r="B320" s="1" t="s">
        <v>1357</v>
      </c>
      <c r="C320" s="1" t="s">
        <v>1358</v>
      </c>
      <c r="D320" s="1" t="s">
        <v>1359</v>
      </c>
      <c r="E320" s="1" t="s">
        <v>1360</v>
      </c>
      <c r="F320" s="7" t="str">
        <f>IFERROR(INDEX(测试!H:H,MATCH(E320,测试!A:A,0)),1)</f>
        <v>-</v>
      </c>
    </row>
    <row r="321" spans="1:6" hidden="1" x14ac:dyDescent="0.3">
      <c r="A321" s="1" t="s">
        <v>2964</v>
      </c>
      <c r="B321" s="1" t="s">
        <v>1361</v>
      </c>
      <c r="C321" s="1" t="s">
        <v>1362</v>
      </c>
      <c r="D321" s="1" t="s">
        <v>1363</v>
      </c>
      <c r="E321" s="1" t="s">
        <v>1364</v>
      </c>
      <c r="F321" s="7" t="str">
        <f>IFERROR(INDEX(测试!H:H,MATCH(E321,测试!A:A,0)),1)</f>
        <v>-</v>
      </c>
    </row>
    <row r="322" spans="1:6" hidden="1" x14ac:dyDescent="0.3">
      <c r="A322" s="1" t="s">
        <v>2964</v>
      </c>
      <c r="B322" s="1" t="s">
        <v>1365</v>
      </c>
      <c r="C322" s="1" t="s">
        <v>1366</v>
      </c>
      <c r="D322" s="1" t="s">
        <v>1367</v>
      </c>
      <c r="E322" s="1" t="s">
        <v>1368</v>
      </c>
      <c r="F322" s="7" t="str">
        <f>IFERROR(INDEX(测试!H:H,MATCH(E322,测试!A:A,0)),1)</f>
        <v>-</v>
      </c>
    </row>
    <row r="323" spans="1:6" hidden="1" x14ac:dyDescent="0.3">
      <c r="A323" s="1" t="s">
        <v>2964</v>
      </c>
      <c r="B323" s="1" t="s">
        <v>1369</v>
      </c>
      <c r="C323" s="1" t="s">
        <v>1370</v>
      </c>
      <c r="D323" s="1" t="s">
        <v>1371</v>
      </c>
      <c r="E323" s="1" t="s">
        <v>1372</v>
      </c>
      <c r="F323" s="7" t="str">
        <f>IFERROR(INDEX(测试!H:H,MATCH(E323,测试!A:A,0)),1)</f>
        <v>-</v>
      </c>
    </row>
    <row r="324" spans="1:6" hidden="1" x14ac:dyDescent="0.3">
      <c r="A324" s="1" t="s">
        <v>2964</v>
      </c>
      <c r="B324" s="1" t="s">
        <v>1373</v>
      </c>
      <c r="C324" s="1" t="s">
        <v>1374</v>
      </c>
      <c r="D324" s="1" t="s">
        <v>1375</v>
      </c>
      <c r="E324" s="1" t="s">
        <v>1376</v>
      </c>
      <c r="F324" s="7" t="str">
        <f>IFERROR(INDEX(测试!H:H,MATCH(E324,测试!A:A,0)),1)</f>
        <v>-</v>
      </c>
    </row>
    <row r="325" spans="1:6" hidden="1" x14ac:dyDescent="0.3">
      <c r="A325" s="1" t="s">
        <v>2964</v>
      </c>
      <c r="B325" s="1" t="s">
        <v>1377</v>
      </c>
      <c r="C325" s="1" t="s">
        <v>1378</v>
      </c>
      <c r="D325" s="1" t="s">
        <v>1379</v>
      </c>
      <c r="E325" s="1" t="s">
        <v>1380</v>
      </c>
      <c r="F325" s="7" t="str">
        <f>IFERROR(INDEX(测试!H:H,MATCH(E325,测试!A:A,0)),1)</f>
        <v>-</v>
      </c>
    </row>
    <row r="326" spans="1:6" hidden="1" x14ac:dyDescent="0.3">
      <c r="A326" s="1" t="s">
        <v>2964</v>
      </c>
      <c r="B326" s="1" t="s">
        <v>1381</v>
      </c>
      <c r="C326" s="1" t="s">
        <v>1382</v>
      </c>
      <c r="D326" s="1" t="s">
        <v>1383</v>
      </c>
      <c r="E326" s="1" t="s">
        <v>1384</v>
      </c>
      <c r="F326" s="7" t="str">
        <f>IFERROR(INDEX(测试!H:H,MATCH(E326,测试!A:A,0)),1)</f>
        <v>文件名错误</v>
      </c>
    </row>
    <row r="327" spans="1:6" hidden="1" x14ac:dyDescent="0.3">
      <c r="A327" s="1" t="s">
        <v>2964</v>
      </c>
      <c r="B327" s="1" t="s">
        <v>1385</v>
      </c>
      <c r="C327" s="1" t="s">
        <v>1386</v>
      </c>
      <c r="D327" s="1" t="s">
        <v>1387</v>
      </c>
      <c r="E327" s="1" t="s">
        <v>1388</v>
      </c>
      <c r="F327" s="7" t="str">
        <f>IFERROR(INDEX(测试!H:H,MATCH(E327,测试!A:A,0)),1)</f>
        <v>-</v>
      </c>
    </row>
    <row r="328" spans="1:6" hidden="1" x14ac:dyDescent="0.3">
      <c r="A328" s="1" t="s">
        <v>2964</v>
      </c>
      <c r="B328" s="1" t="s">
        <v>1389</v>
      </c>
      <c r="C328" s="1" t="s">
        <v>1390</v>
      </c>
      <c r="D328" s="1" t="s">
        <v>1391</v>
      </c>
      <c r="E328" s="1" t="s">
        <v>1392</v>
      </c>
      <c r="F328" s="7" t="str">
        <f>IFERROR(INDEX(测试!H:H,MATCH(E328,测试!A:A,0)),1)</f>
        <v>-</v>
      </c>
    </row>
    <row r="329" spans="1:6" hidden="1" x14ac:dyDescent="0.3">
      <c r="A329" s="1" t="s">
        <v>2964</v>
      </c>
      <c r="B329" s="1" t="s">
        <v>1393</v>
      </c>
      <c r="C329" s="1" t="s">
        <v>1394</v>
      </c>
      <c r="D329" s="1" t="s">
        <v>1395</v>
      </c>
      <c r="E329" s="1" t="s">
        <v>1396</v>
      </c>
      <c r="F329" s="7" t="str">
        <f>IFERROR(INDEX(测试!H:H,MATCH(E329,测试!A:A,0)),1)</f>
        <v>-</v>
      </c>
    </row>
    <row r="330" spans="1:6" hidden="1" x14ac:dyDescent="0.3">
      <c r="A330" s="1" t="s">
        <v>2964</v>
      </c>
      <c r="B330" s="1" t="s">
        <v>1397</v>
      </c>
      <c r="C330" s="1" t="s">
        <v>1398</v>
      </c>
      <c r="D330" s="1" t="s">
        <v>1399</v>
      </c>
      <c r="E330" s="1" t="s">
        <v>1400</v>
      </c>
      <c r="F330" s="7" t="str">
        <f>IFERROR(INDEX(测试!H:H,MATCH(E330,测试!A:A,0)),1)</f>
        <v>-</v>
      </c>
    </row>
    <row r="331" spans="1:6" hidden="1" x14ac:dyDescent="0.3">
      <c r="A331" s="1" t="s">
        <v>2964</v>
      </c>
      <c r="B331" s="1" t="s">
        <v>1401</v>
      </c>
      <c r="C331" s="1" t="s">
        <v>1402</v>
      </c>
      <c r="D331" s="1" t="s">
        <v>1403</v>
      </c>
      <c r="E331" s="1" t="s">
        <v>1404</v>
      </c>
      <c r="F331" s="7" t="str">
        <f>IFERROR(INDEX(测试!H:H,MATCH(E331,测试!A:A,0)),1)</f>
        <v>-</v>
      </c>
    </row>
    <row r="332" spans="1:6" hidden="1" x14ac:dyDescent="0.3">
      <c r="A332" s="1" t="s">
        <v>2964</v>
      </c>
      <c r="B332" s="1" t="s">
        <v>1405</v>
      </c>
      <c r="C332" s="1" t="s">
        <v>1406</v>
      </c>
      <c r="D332" s="1" t="s">
        <v>1407</v>
      </c>
      <c r="E332" s="1" t="s">
        <v>1408</v>
      </c>
      <c r="F332" s="7" t="str">
        <f>IFERROR(INDEX(测试!H:H,MATCH(E332,测试!A:A,0)),1)</f>
        <v>-</v>
      </c>
    </row>
    <row r="333" spans="1:6" hidden="1" x14ac:dyDescent="0.3">
      <c r="A333" s="1" t="s">
        <v>2964</v>
      </c>
      <c r="B333" s="1" t="s">
        <v>1409</v>
      </c>
      <c r="C333" s="1" t="s">
        <v>1410</v>
      </c>
      <c r="D333" s="1" t="s">
        <v>1411</v>
      </c>
      <c r="E333" s="1" t="s">
        <v>1412</v>
      </c>
      <c r="F333" s="7" t="str">
        <f>IFERROR(INDEX(测试!H:H,MATCH(E333,测试!A:A,0)),1)</f>
        <v>-</v>
      </c>
    </row>
    <row r="334" spans="1:6" hidden="1" x14ac:dyDescent="0.3">
      <c r="A334" s="1" t="s">
        <v>2964</v>
      </c>
      <c r="B334" s="1" t="s">
        <v>1413</v>
      </c>
      <c r="C334" s="1" t="s">
        <v>1414</v>
      </c>
      <c r="D334" s="1" t="s">
        <v>1415</v>
      </c>
      <c r="E334" s="1" t="s">
        <v>1416</v>
      </c>
      <c r="F334" s="7" t="str">
        <f>IFERROR(INDEX(测试!H:H,MATCH(E334,测试!A:A,0)),1)</f>
        <v>-</v>
      </c>
    </row>
    <row r="335" spans="1:6" hidden="1" x14ac:dyDescent="0.3">
      <c r="A335" s="1" t="s">
        <v>2964</v>
      </c>
      <c r="B335" s="1" t="s">
        <v>1417</v>
      </c>
      <c r="C335" s="1" t="s">
        <v>1418</v>
      </c>
      <c r="D335" s="1" t="s">
        <v>1419</v>
      </c>
      <c r="E335" s="14" t="s">
        <v>3044</v>
      </c>
      <c r="F335" s="7" t="str">
        <f>IFERROR(INDEX(测试!H:H,MATCH(E335,测试!A:A,0)),1)</f>
        <v>-</v>
      </c>
    </row>
    <row r="336" spans="1:6" hidden="1" x14ac:dyDescent="0.3">
      <c r="A336" s="1" t="s">
        <v>2964</v>
      </c>
      <c r="B336" s="1" t="s">
        <v>1420</v>
      </c>
      <c r="C336" s="1" t="s">
        <v>1421</v>
      </c>
      <c r="D336" s="1" t="s">
        <v>1422</v>
      </c>
      <c r="E336" s="14" t="s">
        <v>3043</v>
      </c>
      <c r="F336" s="7" t="str">
        <f>IFERROR(INDEX(测试!H:H,MATCH(E336,测试!A:A,0)),1)</f>
        <v>-</v>
      </c>
    </row>
    <row r="337" spans="1:6" hidden="1" x14ac:dyDescent="0.3">
      <c r="A337" s="1" t="s">
        <v>2964</v>
      </c>
      <c r="B337" s="1" t="s">
        <v>1423</v>
      </c>
      <c r="C337" s="1" t="s">
        <v>1424</v>
      </c>
      <c r="D337" s="1" t="s">
        <v>1425</v>
      </c>
      <c r="E337" s="1" t="s">
        <v>1426</v>
      </c>
      <c r="F337" s="7" t="str">
        <f>IFERROR(INDEX(测试!H:H,MATCH(E337,测试!A:A,0)),1)</f>
        <v>-</v>
      </c>
    </row>
    <row r="338" spans="1:6" hidden="1" x14ac:dyDescent="0.3">
      <c r="A338" s="1" t="s">
        <v>2964</v>
      </c>
      <c r="B338" s="1" t="s">
        <v>1427</v>
      </c>
      <c r="C338" s="1" t="s">
        <v>1428</v>
      </c>
      <c r="D338" s="1" t="s">
        <v>1429</v>
      </c>
      <c r="E338" s="14" t="s">
        <v>3042</v>
      </c>
      <c r="F338" s="7" t="str">
        <f>IFERROR(INDEX(测试!H:H,MATCH(E338,测试!A:A,0)),1)</f>
        <v>-</v>
      </c>
    </row>
    <row r="339" spans="1:6" hidden="1" x14ac:dyDescent="0.3">
      <c r="A339" s="1" t="s">
        <v>2964</v>
      </c>
      <c r="B339" s="1" t="s">
        <v>1430</v>
      </c>
      <c r="C339" s="1" t="s">
        <v>1431</v>
      </c>
      <c r="D339" s="1" t="s">
        <v>1432</v>
      </c>
      <c r="E339" s="14" t="s">
        <v>3041</v>
      </c>
      <c r="F339" s="7" t="str">
        <f>IFERROR(INDEX(测试!H:H,MATCH(E339,测试!A:A,0)),1)</f>
        <v>-</v>
      </c>
    </row>
    <row r="340" spans="1:6" hidden="1" x14ac:dyDescent="0.3">
      <c r="A340" s="1" t="s">
        <v>2964</v>
      </c>
      <c r="B340" s="1" t="s">
        <v>1433</v>
      </c>
      <c r="C340" s="1" t="s">
        <v>1434</v>
      </c>
      <c r="D340" s="1" t="s">
        <v>1435</v>
      </c>
      <c r="E340" s="1" t="s">
        <v>1436</v>
      </c>
      <c r="F340" s="7" t="str">
        <f>IFERROR(INDEX(测试!H:H,MATCH(E340,测试!A:A,0)),1)</f>
        <v>-</v>
      </c>
    </row>
    <row r="341" spans="1:6" hidden="1" x14ac:dyDescent="0.3">
      <c r="A341" s="1" t="s">
        <v>2964</v>
      </c>
      <c r="B341" s="1" t="s">
        <v>1437</v>
      </c>
      <c r="C341" s="1" t="s">
        <v>1438</v>
      </c>
      <c r="D341" s="1" t="s">
        <v>1439</v>
      </c>
      <c r="E341" s="1" t="s">
        <v>1440</v>
      </c>
      <c r="F341" s="7" t="str">
        <f>IFERROR(INDEX(测试!H:H,MATCH(E341,测试!A:A,0)),1)</f>
        <v>-</v>
      </c>
    </row>
    <row r="342" spans="1:6" hidden="1" x14ac:dyDescent="0.3">
      <c r="A342" s="1" t="s">
        <v>2964</v>
      </c>
      <c r="B342" s="1" t="s">
        <v>1441</v>
      </c>
      <c r="C342" s="1" t="s">
        <v>1442</v>
      </c>
      <c r="D342" s="1" t="s">
        <v>1443</v>
      </c>
      <c r="E342" s="1" t="s">
        <v>1444</v>
      </c>
      <c r="F342" s="7" t="str">
        <f>IFERROR(INDEX(测试!H:H,MATCH(E342,测试!A:A,0)),1)</f>
        <v>-</v>
      </c>
    </row>
    <row r="343" spans="1:6" hidden="1" x14ac:dyDescent="0.3">
      <c r="A343" s="1" t="s">
        <v>2964</v>
      </c>
      <c r="B343" s="1" t="s">
        <v>1445</v>
      </c>
      <c r="C343" s="1" t="s">
        <v>1446</v>
      </c>
      <c r="D343" s="1" t="s">
        <v>1447</v>
      </c>
      <c r="E343" s="14" t="s">
        <v>3040</v>
      </c>
      <c r="F343" s="7" t="str">
        <f>IFERROR(INDEX(测试!H:H,MATCH(E343,测试!A:A,0)),1)</f>
        <v>-</v>
      </c>
    </row>
    <row r="344" spans="1:6" hidden="1" x14ac:dyDescent="0.3">
      <c r="A344" s="1" t="s">
        <v>2964</v>
      </c>
      <c r="B344" s="1" t="s">
        <v>1448</v>
      </c>
      <c r="C344" s="1" t="s">
        <v>1449</v>
      </c>
      <c r="D344" s="1" t="s">
        <v>1450</v>
      </c>
      <c r="E344" s="1" t="s">
        <v>1451</v>
      </c>
      <c r="F344" s="7" t="str">
        <f>IFERROR(INDEX(测试!H:H,MATCH(E344,测试!A:A,0)),1)</f>
        <v>-</v>
      </c>
    </row>
    <row r="345" spans="1:6" hidden="1" x14ac:dyDescent="0.3">
      <c r="A345" s="1" t="s">
        <v>2964</v>
      </c>
      <c r="B345" s="1" t="s">
        <v>1452</v>
      </c>
      <c r="C345" s="1" t="s">
        <v>1453</v>
      </c>
      <c r="D345" s="1" t="s">
        <v>1454</v>
      </c>
      <c r="E345" s="1" t="s">
        <v>1455</v>
      </c>
      <c r="F345" s="7" t="str">
        <f>IFERROR(INDEX(测试!H:H,MATCH(E345,测试!A:A,0)),1)</f>
        <v>-</v>
      </c>
    </row>
    <row r="346" spans="1:6" hidden="1" x14ac:dyDescent="0.3">
      <c r="A346" s="1" t="s">
        <v>2964</v>
      </c>
      <c r="B346" s="1" t="s">
        <v>1456</v>
      </c>
      <c r="C346" s="1" t="s">
        <v>1457</v>
      </c>
      <c r="D346" s="1" t="s">
        <v>1458</v>
      </c>
      <c r="E346" s="1" t="s">
        <v>1459</v>
      </c>
      <c r="F346" s="7" t="str">
        <f>IFERROR(INDEX(测试!H:H,MATCH(E346,测试!A:A,0)),1)</f>
        <v>-</v>
      </c>
    </row>
    <row r="347" spans="1:6" hidden="1" x14ac:dyDescent="0.3">
      <c r="A347" s="1" t="s">
        <v>2964</v>
      </c>
      <c r="B347" s="1" t="s">
        <v>1460</v>
      </c>
      <c r="C347" s="1" t="s">
        <v>1461</v>
      </c>
      <c r="D347" s="1" t="s">
        <v>1462</v>
      </c>
      <c r="E347" s="1" t="s">
        <v>1463</v>
      </c>
      <c r="F347" s="7" t="str">
        <f>IFERROR(INDEX(测试!H:H,MATCH(E347,测试!A:A,0)),1)</f>
        <v>-</v>
      </c>
    </row>
    <row r="348" spans="1:6" hidden="1" x14ac:dyDescent="0.3">
      <c r="A348" s="1" t="s">
        <v>2964</v>
      </c>
      <c r="B348" s="1" t="s">
        <v>1464</v>
      </c>
      <c r="C348" s="1" t="s">
        <v>1465</v>
      </c>
      <c r="D348" s="1" t="s">
        <v>1466</v>
      </c>
      <c r="E348" s="1" t="s">
        <v>1467</v>
      </c>
      <c r="F348" s="7" t="str">
        <f>IFERROR(INDEX(测试!H:H,MATCH(E348,测试!A:A,0)),1)</f>
        <v>-</v>
      </c>
    </row>
    <row r="349" spans="1:6" hidden="1" x14ac:dyDescent="0.3">
      <c r="A349" s="1" t="s">
        <v>2964</v>
      </c>
      <c r="B349" s="1" t="s">
        <v>1468</v>
      </c>
      <c r="C349" s="1" t="s">
        <v>1469</v>
      </c>
      <c r="D349" s="1" t="s">
        <v>1470</v>
      </c>
      <c r="E349" s="1" t="s">
        <v>1471</v>
      </c>
      <c r="F349" s="7" t="str">
        <f>IFERROR(INDEX(测试!H:H,MATCH(E349,测试!A:A,0)),1)</f>
        <v>-</v>
      </c>
    </row>
    <row r="350" spans="1:6" hidden="1" x14ac:dyDescent="0.3">
      <c r="A350" s="1" t="s">
        <v>2964</v>
      </c>
      <c r="B350" s="1" t="s">
        <v>1472</v>
      </c>
      <c r="C350" s="1" t="s">
        <v>1473</v>
      </c>
      <c r="D350" s="1" t="s">
        <v>1474</v>
      </c>
      <c r="E350" s="1" t="s">
        <v>1475</v>
      </c>
      <c r="F350" s="7" t="str">
        <f>IFERROR(INDEX(测试!H:H,MATCH(E350,测试!A:A,0)),1)</f>
        <v>-</v>
      </c>
    </row>
    <row r="351" spans="1:6" hidden="1" x14ac:dyDescent="0.3">
      <c r="A351" s="1" t="s">
        <v>2964</v>
      </c>
      <c r="B351" s="1" t="s">
        <v>1476</v>
      </c>
      <c r="C351" s="1" t="s">
        <v>1477</v>
      </c>
      <c r="D351" s="1" t="s">
        <v>1478</v>
      </c>
      <c r="E351" s="1" t="s">
        <v>1479</v>
      </c>
      <c r="F351" s="7" t="str">
        <f>IFERROR(INDEX(测试!H:H,MATCH(E351,测试!A:A,0)),1)</f>
        <v>-</v>
      </c>
    </row>
    <row r="352" spans="1:6" hidden="1" x14ac:dyDescent="0.3">
      <c r="A352" s="1" t="s">
        <v>2964</v>
      </c>
      <c r="B352" s="1" t="s">
        <v>1480</v>
      </c>
      <c r="C352" s="1" t="s">
        <v>1481</v>
      </c>
      <c r="D352" s="1" t="s">
        <v>1482</v>
      </c>
      <c r="E352" s="1" t="s">
        <v>1483</v>
      </c>
      <c r="F352" s="7" t="str">
        <f>IFERROR(INDEX(测试!H:H,MATCH(E352,测试!A:A,0)),1)</f>
        <v>文件名错误</v>
      </c>
    </row>
    <row r="353" spans="1:6" hidden="1" x14ac:dyDescent="0.3">
      <c r="A353" s="1" t="s">
        <v>2964</v>
      </c>
      <c r="B353" s="1" t="s">
        <v>1484</v>
      </c>
      <c r="C353" s="1" t="s">
        <v>1485</v>
      </c>
      <c r="D353" s="1" t="s">
        <v>1486</v>
      </c>
      <c r="E353" s="1" t="s">
        <v>1487</v>
      </c>
      <c r="F353" s="7" t="str">
        <f>IFERROR(INDEX(测试!H:H,MATCH(E353,测试!A:A,0)),1)</f>
        <v>-</v>
      </c>
    </row>
    <row r="354" spans="1:6" hidden="1" x14ac:dyDescent="0.3">
      <c r="A354" s="1" t="s">
        <v>2964</v>
      </c>
      <c r="B354" s="1" t="s">
        <v>1488</v>
      </c>
      <c r="C354" s="1" t="s">
        <v>1489</v>
      </c>
      <c r="D354" s="1" t="s">
        <v>1490</v>
      </c>
      <c r="E354" s="1" t="s">
        <v>1491</v>
      </c>
      <c r="F354" s="7" t="str">
        <f>IFERROR(INDEX(测试!H:H,MATCH(E354,测试!A:A,0)),1)</f>
        <v>-</v>
      </c>
    </row>
    <row r="355" spans="1:6" hidden="1" x14ac:dyDescent="0.3">
      <c r="A355" s="1" t="s">
        <v>2964</v>
      </c>
      <c r="B355" s="1" t="s">
        <v>1492</v>
      </c>
      <c r="C355" s="1" t="s">
        <v>1493</v>
      </c>
      <c r="D355" s="1" t="s">
        <v>1494</v>
      </c>
      <c r="E355" s="1" t="s">
        <v>1495</v>
      </c>
      <c r="F355" s="7" t="str">
        <f>IFERROR(INDEX(测试!H:H,MATCH(E355,测试!A:A,0)),1)</f>
        <v>-</v>
      </c>
    </row>
    <row r="356" spans="1:6" hidden="1" x14ac:dyDescent="0.3">
      <c r="A356" s="1" t="s">
        <v>2964</v>
      </c>
      <c r="B356" s="1" t="s">
        <v>1496</v>
      </c>
      <c r="C356" s="1" t="s">
        <v>1497</v>
      </c>
      <c r="D356" s="1" t="s">
        <v>1498</v>
      </c>
      <c r="E356" s="1" t="s">
        <v>1499</v>
      </c>
      <c r="F356" s="7" t="str">
        <f>IFERROR(INDEX(测试!H:H,MATCH(E356,测试!A:A,0)),1)</f>
        <v>-</v>
      </c>
    </row>
    <row r="357" spans="1:6" hidden="1" x14ac:dyDescent="0.3">
      <c r="A357" s="1" t="s">
        <v>2964</v>
      </c>
      <c r="B357" s="1" t="s">
        <v>1500</v>
      </c>
      <c r="C357" s="1" t="s">
        <v>1501</v>
      </c>
      <c r="D357" s="1" t="s">
        <v>1502</v>
      </c>
      <c r="E357" s="1" t="s">
        <v>1503</v>
      </c>
      <c r="F357" s="7" t="str">
        <f>IFERROR(INDEX(测试!H:H,MATCH(E357,测试!A:A,0)),1)</f>
        <v>-</v>
      </c>
    </row>
    <row r="358" spans="1:6" hidden="1" x14ac:dyDescent="0.3">
      <c r="A358" s="1" t="s">
        <v>2964</v>
      </c>
      <c r="B358" s="1" t="s">
        <v>1504</v>
      </c>
      <c r="C358" s="1" t="s">
        <v>1505</v>
      </c>
      <c r="D358" s="1" t="s">
        <v>1506</v>
      </c>
      <c r="E358" s="14" t="s">
        <v>3039</v>
      </c>
      <c r="F358" s="7" t="str">
        <f>IFERROR(INDEX(测试!H:H,MATCH(E358,测试!A:A,0)),1)</f>
        <v>-</v>
      </c>
    </row>
    <row r="359" spans="1:6" hidden="1" x14ac:dyDescent="0.3">
      <c r="A359" s="1" t="s">
        <v>2964</v>
      </c>
      <c r="B359" s="1" t="s">
        <v>1507</v>
      </c>
      <c r="C359" s="1" t="s">
        <v>1508</v>
      </c>
      <c r="D359" s="1" t="s">
        <v>1509</v>
      </c>
      <c r="E359" s="1" t="s">
        <v>1510</v>
      </c>
      <c r="F359" s="7" t="str">
        <f>IFERROR(INDEX(测试!H:H,MATCH(E359,测试!A:A,0)),1)</f>
        <v>-</v>
      </c>
    </row>
    <row r="360" spans="1:6" hidden="1" x14ac:dyDescent="0.3">
      <c r="A360" s="1" t="s">
        <v>2964</v>
      </c>
      <c r="B360" s="1" t="s">
        <v>1511</v>
      </c>
      <c r="C360" s="1" t="s">
        <v>1512</v>
      </c>
      <c r="D360" s="1" t="s">
        <v>1513</v>
      </c>
      <c r="E360" s="1" t="s">
        <v>1514</v>
      </c>
      <c r="F360" s="7" t="str">
        <f>IFERROR(INDEX(测试!H:H,MATCH(E360,测试!A:A,0)),1)</f>
        <v>-</v>
      </c>
    </row>
    <row r="361" spans="1:6" hidden="1" x14ac:dyDescent="0.3">
      <c r="A361" s="1" t="s">
        <v>2964</v>
      </c>
      <c r="B361" s="1" t="s">
        <v>1515</v>
      </c>
      <c r="C361" s="1" t="s">
        <v>1516</v>
      </c>
      <c r="D361" s="1" t="s">
        <v>1517</v>
      </c>
      <c r="E361" s="1" t="s">
        <v>1518</v>
      </c>
      <c r="F361" s="7" t="str">
        <f>IFERROR(INDEX(测试!H:H,MATCH(E361,测试!A:A,0)),1)</f>
        <v>-</v>
      </c>
    </row>
    <row r="362" spans="1:6" hidden="1" x14ac:dyDescent="0.3">
      <c r="A362" s="1" t="s">
        <v>2964</v>
      </c>
      <c r="B362" s="1" t="s">
        <v>1519</v>
      </c>
      <c r="C362" s="1" t="s">
        <v>1520</v>
      </c>
      <c r="D362" s="1" t="s">
        <v>1521</v>
      </c>
      <c r="E362" s="1" t="s">
        <v>1522</v>
      </c>
      <c r="F362" s="7" t="str">
        <f>IFERROR(INDEX(测试!H:H,MATCH(E362,测试!A:A,0)),1)</f>
        <v>-</v>
      </c>
    </row>
    <row r="363" spans="1:6" hidden="1" x14ac:dyDescent="0.3">
      <c r="A363" s="1" t="s">
        <v>2964</v>
      </c>
      <c r="B363" s="1" t="s">
        <v>1523</v>
      </c>
      <c r="C363" s="1" t="s">
        <v>1524</v>
      </c>
      <c r="D363" s="1" t="s">
        <v>1525</v>
      </c>
      <c r="E363" s="1" t="s">
        <v>1526</v>
      </c>
      <c r="F363" s="7" t="str">
        <f>IFERROR(INDEX(测试!H:H,MATCH(E363,测试!A:A,0)),1)</f>
        <v>-</v>
      </c>
    </row>
    <row r="364" spans="1:6" hidden="1" x14ac:dyDescent="0.3">
      <c r="A364" s="1" t="s">
        <v>2964</v>
      </c>
      <c r="B364" s="1" t="s">
        <v>1527</v>
      </c>
      <c r="C364" s="1" t="s">
        <v>1528</v>
      </c>
      <c r="D364" s="1" t="s">
        <v>1529</v>
      </c>
      <c r="E364" s="1" t="s">
        <v>1530</v>
      </c>
      <c r="F364" s="7" t="str">
        <f>IFERROR(INDEX(测试!H:H,MATCH(E364,测试!A:A,0)),1)</f>
        <v>-</v>
      </c>
    </row>
    <row r="365" spans="1:6" hidden="1" x14ac:dyDescent="0.3">
      <c r="A365" s="1" t="s">
        <v>2964</v>
      </c>
      <c r="B365" s="1" t="s">
        <v>1531</v>
      </c>
      <c r="C365" s="1" t="s">
        <v>1532</v>
      </c>
      <c r="D365" s="1" t="s">
        <v>1533</v>
      </c>
      <c r="E365" s="1" t="s">
        <v>1534</v>
      </c>
      <c r="F365" s="7" t="str">
        <f>IFERROR(INDEX(测试!H:H,MATCH(E365,测试!A:A,0)),1)</f>
        <v>-</v>
      </c>
    </row>
    <row r="366" spans="1:6" hidden="1" x14ac:dyDescent="0.3">
      <c r="A366" s="1" t="s">
        <v>2964</v>
      </c>
      <c r="B366" s="1" t="s">
        <v>1535</v>
      </c>
      <c r="C366" s="1" t="s">
        <v>1536</v>
      </c>
      <c r="D366" s="1" t="s">
        <v>1537</v>
      </c>
      <c r="E366" s="1" t="s">
        <v>1538</v>
      </c>
      <c r="F366" s="7" t="str">
        <f>IFERROR(INDEX(测试!H:H,MATCH(E366,测试!A:A,0)),1)</f>
        <v>-</v>
      </c>
    </row>
    <row r="367" spans="1:6" hidden="1" x14ac:dyDescent="0.3">
      <c r="A367" s="1" t="s">
        <v>2964</v>
      </c>
      <c r="B367" s="1" t="s">
        <v>1539</v>
      </c>
      <c r="C367" s="1" t="s">
        <v>1540</v>
      </c>
      <c r="D367" s="1" t="s">
        <v>1541</v>
      </c>
      <c r="E367" s="1" t="s">
        <v>1542</v>
      </c>
      <c r="F367" s="7" t="str">
        <f>IFERROR(INDEX(测试!H:H,MATCH(E367,测试!A:A,0)),1)</f>
        <v>-</v>
      </c>
    </row>
    <row r="368" spans="1:6" hidden="1" x14ac:dyDescent="0.3">
      <c r="A368" s="1" t="s">
        <v>2964</v>
      </c>
      <c r="B368" s="1" t="s">
        <v>1543</v>
      </c>
      <c r="C368" s="1" t="s">
        <v>1544</v>
      </c>
      <c r="D368" s="1" t="s">
        <v>1545</v>
      </c>
      <c r="E368" s="1" t="s">
        <v>1546</v>
      </c>
      <c r="F368" s="7" t="str">
        <f>IFERROR(INDEX(测试!H:H,MATCH(E368,测试!A:A,0)),1)</f>
        <v>-</v>
      </c>
    </row>
    <row r="369" spans="1:6" hidden="1" x14ac:dyDescent="0.3">
      <c r="A369" s="1" t="s">
        <v>2964</v>
      </c>
      <c r="B369" s="1" t="s">
        <v>1547</v>
      </c>
      <c r="C369" s="1" t="s">
        <v>1548</v>
      </c>
      <c r="D369" s="1" t="s">
        <v>1549</v>
      </c>
      <c r="E369" s="1" t="s">
        <v>1550</v>
      </c>
      <c r="F369" s="7" t="str">
        <f>IFERROR(INDEX(测试!H:H,MATCH(E369,测试!A:A,0)),1)</f>
        <v>-</v>
      </c>
    </row>
    <row r="370" spans="1:6" hidden="1" x14ac:dyDescent="0.3">
      <c r="A370" s="1" t="s">
        <v>2964</v>
      </c>
      <c r="B370" s="1" t="s">
        <v>1551</v>
      </c>
      <c r="C370" s="1" t="s">
        <v>1552</v>
      </c>
      <c r="D370" s="1" t="s">
        <v>1553</v>
      </c>
      <c r="E370" s="14" t="s">
        <v>3038</v>
      </c>
      <c r="F370" s="7" t="str">
        <f>IFERROR(INDEX(测试!H:H,MATCH(E370,测试!A:A,0)),1)</f>
        <v>-</v>
      </c>
    </row>
    <row r="371" spans="1:6" hidden="1" x14ac:dyDescent="0.3">
      <c r="A371" s="1" t="s">
        <v>2964</v>
      </c>
      <c r="B371" s="1" t="s">
        <v>1554</v>
      </c>
      <c r="C371" s="1" t="s">
        <v>1555</v>
      </c>
      <c r="D371" s="1" t="s">
        <v>1556</v>
      </c>
      <c r="E371" s="1" t="s">
        <v>1557</v>
      </c>
      <c r="F371" s="7" t="str">
        <f>IFERROR(INDEX(测试!H:H,MATCH(E371,测试!A:A,0)),1)</f>
        <v>-</v>
      </c>
    </row>
    <row r="372" spans="1:6" hidden="1" x14ac:dyDescent="0.3">
      <c r="A372" s="1" t="s">
        <v>2964</v>
      </c>
      <c r="B372" s="1" t="s">
        <v>1558</v>
      </c>
      <c r="C372" s="1" t="s">
        <v>1559</v>
      </c>
      <c r="D372" s="1" t="s">
        <v>1560</v>
      </c>
      <c r="E372" s="1" t="s">
        <v>1561</v>
      </c>
      <c r="F372" s="7" t="str">
        <f>IFERROR(INDEX(测试!H:H,MATCH(E372,测试!A:A,0)),1)</f>
        <v>-</v>
      </c>
    </row>
    <row r="373" spans="1:6" hidden="1" x14ac:dyDescent="0.3">
      <c r="A373" s="1" t="s">
        <v>2964</v>
      </c>
      <c r="B373" s="1" t="s">
        <v>1562</v>
      </c>
      <c r="C373" s="1" t="s">
        <v>1563</v>
      </c>
      <c r="D373" s="1" t="s">
        <v>1564</v>
      </c>
      <c r="E373" s="1" t="s">
        <v>1565</v>
      </c>
      <c r="F373" s="7" t="str">
        <f>IFERROR(INDEX(测试!H:H,MATCH(E373,测试!A:A,0)),1)</f>
        <v>-</v>
      </c>
    </row>
    <row r="374" spans="1:6" hidden="1" x14ac:dyDescent="0.3">
      <c r="A374" s="1" t="s">
        <v>2964</v>
      </c>
      <c r="B374" s="1" t="s">
        <v>1566</v>
      </c>
      <c r="C374" s="1" t="s">
        <v>1567</v>
      </c>
      <c r="D374" s="1" t="s">
        <v>1568</v>
      </c>
      <c r="E374" s="1" t="s">
        <v>1569</v>
      </c>
      <c r="F374" s="7" t="str">
        <f>IFERROR(INDEX(测试!H:H,MATCH(E374,测试!A:A,0)),1)</f>
        <v>-</v>
      </c>
    </row>
    <row r="375" spans="1:6" hidden="1" x14ac:dyDescent="0.3">
      <c r="A375" s="1" t="s">
        <v>2964</v>
      </c>
      <c r="B375" s="1" t="s">
        <v>1570</v>
      </c>
      <c r="C375" s="1" t="s">
        <v>1571</v>
      </c>
      <c r="D375" s="1" t="s">
        <v>1572</v>
      </c>
      <c r="E375" s="14" t="s">
        <v>3037</v>
      </c>
      <c r="F375" s="7" t="str">
        <f>IFERROR(INDEX(测试!H:H,MATCH(E375,测试!A:A,0)),1)</f>
        <v>-</v>
      </c>
    </row>
    <row r="376" spans="1:6" hidden="1" x14ac:dyDescent="0.3">
      <c r="A376" s="1" t="s">
        <v>2964</v>
      </c>
      <c r="B376" s="1" t="s">
        <v>1573</v>
      </c>
      <c r="C376" s="1" t="s">
        <v>1574</v>
      </c>
      <c r="D376" s="1" t="s">
        <v>1575</v>
      </c>
      <c r="E376" s="1" t="s">
        <v>1576</v>
      </c>
      <c r="F376" s="7" t="str">
        <f>IFERROR(INDEX(测试!H:H,MATCH(E376,测试!A:A,0)),1)</f>
        <v>-</v>
      </c>
    </row>
    <row r="377" spans="1:6" hidden="1" x14ac:dyDescent="0.3">
      <c r="A377" s="1" t="s">
        <v>2964</v>
      </c>
      <c r="B377" s="1" t="s">
        <v>1577</v>
      </c>
      <c r="C377" s="1" t="s">
        <v>1578</v>
      </c>
      <c r="D377" s="1" t="s">
        <v>1579</v>
      </c>
      <c r="E377" s="1" t="s">
        <v>1580</v>
      </c>
      <c r="F377" s="7" t="str">
        <f>IFERROR(INDEX(测试!H:H,MATCH(E377,测试!A:A,0)),1)</f>
        <v>-</v>
      </c>
    </row>
    <row r="378" spans="1:6" hidden="1" x14ac:dyDescent="0.3">
      <c r="A378" s="1" t="s">
        <v>2964</v>
      </c>
      <c r="B378" s="1" t="s">
        <v>1581</v>
      </c>
      <c r="C378" s="1" t="s">
        <v>1582</v>
      </c>
      <c r="D378" s="1" t="s">
        <v>1583</v>
      </c>
      <c r="E378" s="1" t="s">
        <v>1584</v>
      </c>
      <c r="F378" s="7" t="str">
        <f>IFERROR(INDEX(测试!H:H,MATCH(E378,测试!A:A,0)),1)</f>
        <v>-</v>
      </c>
    </row>
    <row r="379" spans="1:6" hidden="1" x14ac:dyDescent="0.3">
      <c r="A379" s="1" t="s">
        <v>2964</v>
      </c>
      <c r="B379" s="1" t="s">
        <v>1585</v>
      </c>
      <c r="C379" s="1" t="s">
        <v>1586</v>
      </c>
      <c r="D379" s="1" t="s">
        <v>1587</v>
      </c>
      <c r="E379" s="1" t="s">
        <v>1588</v>
      </c>
      <c r="F379" s="7" t="str">
        <f>IFERROR(INDEX(测试!H:H,MATCH(E379,测试!A:A,0)),1)</f>
        <v>-</v>
      </c>
    </row>
    <row r="380" spans="1:6" hidden="1" x14ac:dyDescent="0.3">
      <c r="A380" s="1" t="s">
        <v>2964</v>
      </c>
      <c r="B380" s="1" t="s">
        <v>1589</v>
      </c>
      <c r="C380" s="1" t="s">
        <v>1590</v>
      </c>
      <c r="D380" s="1" t="s">
        <v>1591</v>
      </c>
      <c r="E380" s="1" t="s">
        <v>1592</v>
      </c>
      <c r="F380" s="7" t="str">
        <f>IFERROR(INDEX(测试!H:H,MATCH(E380,测试!A:A,0)),1)</f>
        <v>-</v>
      </c>
    </row>
    <row r="381" spans="1:6" hidden="1" x14ac:dyDescent="0.3">
      <c r="A381" s="1" t="s">
        <v>2964</v>
      </c>
      <c r="B381" s="1" t="s">
        <v>1593</v>
      </c>
      <c r="C381" s="1" t="s">
        <v>1594</v>
      </c>
      <c r="D381" s="1" t="s">
        <v>1595</v>
      </c>
      <c r="E381" s="1" t="s">
        <v>1596</v>
      </c>
      <c r="F381" s="7" t="str">
        <f>IFERROR(INDEX(测试!H:H,MATCH(E381,测试!A:A,0)),1)</f>
        <v>-</v>
      </c>
    </row>
    <row r="382" spans="1:6" hidden="1" x14ac:dyDescent="0.3">
      <c r="A382" s="1" t="s">
        <v>2964</v>
      </c>
      <c r="B382" s="1" t="s">
        <v>1597</v>
      </c>
      <c r="C382" s="1" t="s">
        <v>1598</v>
      </c>
      <c r="D382" s="1" t="s">
        <v>1599</v>
      </c>
      <c r="E382" s="1" t="s">
        <v>1600</v>
      </c>
      <c r="F382" s="7" t="str">
        <f>IFERROR(INDEX(测试!H:H,MATCH(E382,测试!A:A,0)),1)</f>
        <v>-</v>
      </c>
    </row>
    <row r="383" spans="1:6" hidden="1" x14ac:dyDescent="0.3">
      <c r="A383" s="1" t="s">
        <v>2964</v>
      </c>
      <c r="B383" s="1" t="s">
        <v>1601</v>
      </c>
      <c r="C383" s="1" t="s">
        <v>1602</v>
      </c>
      <c r="D383" s="1" t="s">
        <v>1603</v>
      </c>
      <c r="E383" s="1" t="s">
        <v>1604</v>
      </c>
      <c r="F383" s="7" t="str">
        <f>IFERROR(INDEX(测试!H:H,MATCH(E383,测试!A:A,0)),1)</f>
        <v>-</v>
      </c>
    </row>
    <row r="384" spans="1:6" hidden="1" x14ac:dyDescent="0.3">
      <c r="A384" s="1" t="s">
        <v>2964</v>
      </c>
      <c r="B384" s="1" t="s">
        <v>1605</v>
      </c>
      <c r="C384" s="1" t="s">
        <v>1606</v>
      </c>
      <c r="D384" s="1" t="s">
        <v>1607</v>
      </c>
      <c r="E384" s="1" t="s">
        <v>1608</v>
      </c>
      <c r="F384" s="7" t="str">
        <f>IFERROR(INDEX(测试!H:H,MATCH(E384,测试!A:A,0)),1)</f>
        <v>-</v>
      </c>
    </row>
    <row r="385" spans="1:6" hidden="1" x14ac:dyDescent="0.3">
      <c r="A385" s="1" t="s">
        <v>2964</v>
      </c>
      <c r="B385" s="1" t="s">
        <v>1609</v>
      </c>
      <c r="C385" s="1" t="s">
        <v>1610</v>
      </c>
      <c r="D385" s="1" t="s">
        <v>1611</v>
      </c>
      <c r="E385" s="1" t="s">
        <v>1612</v>
      </c>
      <c r="F385" s="7" t="str">
        <f>IFERROR(INDEX(测试!H:H,MATCH(E385,测试!A:A,0)),1)</f>
        <v>-</v>
      </c>
    </row>
    <row r="386" spans="1:6" hidden="1" x14ac:dyDescent="0.3">
      <c r="A386" s="1" t="s">
        <v>2964</v>
      </c>
      <c r="B386" s="1" t="s">
        <v>1613</v>
      </c>
      <c r="C386" s="1" t="s">
        <v>1614</v>
      </c>
      <c r="D386" s="1" t="s">
        <v>1615</v>
      </c>
      <c r="E386" s="1" t="s">
        <v>1616</v>
      </c>
      <c r="F386" s="7" t="str">
        <f>IFERROR(INDEX(测试!H:H,MATCH(E386,测试!A:A,0)),1)</f>
        <v>-</v>
      </c>
    </row>
    <row r="387" spans="1:6" hidden="1" x14ac:dyDescent="0.3">
      <c r="A387" s="1" t="s">
        <v>2964</v>
      </c>
      <c r="B387" s="1" t="s">
        <v>1617</v>
      </c>
      <c r="C387" s="1" t="s">
        <v>1618</v>
      </c>
      <c r="D387" s="1" t="s">
        <v>1619</v>
      </c>
      <c r="E387" s="1" t="s">
        <v>1620</v>
      </c>
      <c r="F387" s="7" t="str">
        <f>IFERROR(INDEX(测试!H:H,MATCH(E387,测试!A:A,0)),1)</f>
        <v>-</v>
      </c>
    </row>
    <row r="388" spans="1:6" hidden="1" x14ac:dyDescent="0.3">
      <c r="A388" s="1" t="s">
        <v>2964</v>
      </c>
      <c r="B388" s="1" t="s">
        <v>1621</v>
      </c>
      <c r="C388" s="1" t="s">
        <v>1622</v>
      </c>
      <c r="D388" s="1" t="s">
        <v>1623</v>
      </c>
      <c r="E388" s="1" t="s">
        <v>1624</v>
      </c>
      <c r="F388" s="7" t="str">
        <f>IFERROR(INDEX(测试!H:H,MATCH(E388,测试!A:A,0)),1)</f>
        <v>-</v>
      </c>
    </row>
    <row r="389" spans="1:6" hidden="1" x14ac:dyDescent="0.3">
      <c r="A389" s="1" t="s">
        <v>2964</v>
      </c>
      <c r="B389" s="1" t="s">
        <v>1625</v>
      </c>
      <c r="C389" s="1" t="s">
        <v>1626</v>
      </c>
      <c r="D389" s="1" t="s">
        <v>1627</v>
      </c>
      <c r="E389" s="1" t="s">
        <v>1628</v>
      </c>
      <c r="F389" s="7" t="str">
        <f>IFERROR(INDEX(测试!H:H,MATCH(E389,测试!A:A,0)),1)</f>
        <v>-</v>
      </c>
    </row>
    <row r="390" spans="1:6" hidden="1" x14ac:dyDescent="0.3">
      <c r="A390" s="1" t="s">
        <v>2964</v>
      </c>
      <c r="B390" s="1" t="s">
        <v>1629</v>
      </c>
      <c r="C390" s="1" t="s">
        <v>1630</v>
      </c>
      <c r="D390" s="1" t="s">
        <v>1631</v>
      </c>
      <c r="E390" s="1" t="s">
        <v>1632</v>
      </c>
      <c r="F390" s="7" t="str">
        <f>IFERROR(INDEX(测试!H:H,MATCH(E390,测试!A:A,0)),1)</f>
        <v>-</v>
      </c>
    </row>
    <row r="391" spans="1:6" hidden="1" x14ac:dyDescent="0.3">
      <c r="A391" s="1" t="s">
        <v>2964</v>
      </c>
      <c r="B391" s="1" t="s">
        <v>1633</v>
      </c>
      <c r="C391" s="1" t="s">
        <v>1634</v>
      </c>
      <c r="D391" s="1" t="s">
        <v>1635</v>
      </c>
      <c r="E391" s="1" t="s">
        <v>1636</v>
      </c>
      <c r="F391" s="7" t="str">
        <f>IFERROR(INDEX(测试!H:H,MATCH(E391,测试!A:A,0)),1)</f>
        <v>-</v>
      </c>
    </row>
    <row r="392" spans="1:6" hidden="1" x14ac:dyDescent="0.3">
      <c r="A392" s="1" t="s">
        <v>2964</v>
      </c>
      <c r="B392" s="1" t="s">
        <v>1637</v>
      </c>
      <c r="C392" s="1" t="s">
        <v>1638</v>
      </c>
      <c r="D392" s="1" t="s">
        <v>1639</v>
      </c>
      <c r="E392" s="1" t="s">
        <v>1640</v>
      </c>
      <c r="F392" s="7" t="str">
        <f>IFERROR(INDEX(测试!H:H,MATCH(E392,测试!A:A,0)),1)</f>
        <v>-</v>
      </c>
    </row>
    <row r="393" spans="1:6" hidden="1" x14ac:dyDescent="0.3">
      <c r="A393" s="1" t="s">
        <v>2964</v>
      </c>
      <c r="B393" s="1" t="s">
        <v>1641</v>
      </c>
      <c r="C393" s="1" t="s">
        <v>1642</v>
      </c>
      <c r="D393" s="1" t="s">
        <v>1643</v>
      </c>
      <c r="E393" s="1" t="s">
        <v>1644</v>
      </c>
      <c r="F393" s="7" t="str">
        <f>IFERROR(INDEX(测试!H:H,MATCH(E393,测试!A:A,0)),1)</f>
        <v>-</v>
      </c>
    </row>
    <row r="394" spans="1:6" hidden="1" x14ac:dyDescent="0.3">
      <c r="A394" s="1" t="s">
        <v>2964</v>
      </c>
      <c r="B394" s="1" t="s">
        <v>1645</v>
      </c>
      <c r="C394" s="1" t="s">
        <v>1646</v>
      </c>
      <c r="D394" s="1" t="s">
        <v>1647</v>
      </c>
      <c r="E394" s="1" t="s">
        <v>1648</v>
      </c>
      <c r="F394" s="7" t="str">
        <f>IFERROR(INDEX(测试!H:H,MATCH(E394,测试!A:A,0)),1)</f>
        <v>-</v>
      </c>
    </row>
    <row r="395" spans="1:6" hidden="1" x14ac:dyDescent="0.3">
      <c r="A395" s="1" t="s">
        <v>2964</v>
      </c>
      <c r="B395" s="1" t="s">
        <v>1649</v>
      </c>
      <c r="C395" s="1" t="s">
        <v>1650</v>
      </c>
      <c r="D395" s="1" t="s">
        <v>1651</v>
      </c>
      <c r="E395" s="1" t="s">
        <v>1652</v>
      </c>
      <c r="F395" s="7" t="str">
        <f>IFERROR(INDEX(测试!H:H,MATCH(E395,测试!A:A,0)),1)</f>
        <v>-</v>
      </c>
    </row>
    <row r="396" spans="1:6" hidden="1" x14ac:dyDescent="0.3">
      <c r="A396" s="1" t="s">
        <v>2964</v>
      </c>
      <c r="B396" s="1" t="s">
        <v>1653</v>
      </c>
      <c r="C396" s="1" t="s">
        <v>1654</v>
      </c>
      <c r="D396" s="1" t="s">
        <v>1655</v>
      </c>
      <c r="E396" s="1" t="s">
        <v>1656</v>
      </c>
      <c r="F396" s="7" t="str">
        <f>IFERROR(INDEX(测试!H:H,MATCH(E396,测试!A:A,0)),1)</f>
        <v>-</v>
      </c>
    </row>
    <row r="397" spans="1:6" hidden="1" x14ac:dyDescent="0.3">
      <c r="A397" s="1" t="s">
        <v>2964</v>
      </c>
      <c r="B397" s="1" t="s">
        <v>1657</v>
      </c>
      <c r="C397" s="1" t="s">
        <v>1658</v>
      </c>
      <c r="D397" s="1" t="s">
        <v>1659</v>
      </c>
      <c r="E397" s="1" t="s">
        <v>1660</v>
      </c>
      <c r="F397" s="7" t="str">
        <f>IFERROR(INDEX(测试!H:H,MATCH(E397,测试!A:A,0)),1)</f>
        <v>-</v>
      </c>
    </row>
    <row r="398" spans="1:6" hidden="1" x14ac:dyDescent="0.3">
      <c r="A398" s="1" t="s">
        <v>2964</v>
      </c>
      <c r="B398" s="1" t="s">
        <v>1661</v>
      </c>
      <c r="C398" s="1" t="s">
        <v>1662</v>
      </c>
      <c r="D398" s="1" t="s">
        <v>1663</v>
      </c>
      <c r="E398" s="1" t="s">
        <v>1664</v>
      </c>
      <c r="F398" s="7" t="str">
        <f>IFERROR(INDEX(测试!H:H,MATCH(E398,测试!A:A,0)),1)</f>
        <v>-</v>
      </c>
    </row>
    <row r="399" spans="1:6" hidden="1" x14ac:dyDescent="0.3">
      <c r="A399" s="1" t="s">
        <v>2964</v>
      </c>
      <c r="B399" s="1" t="s">
        <v>1665</v>
      </c>
      <c r="C399" s="1" t="s">
        <v>1666</v>
      </c>
      <c r="D399" s="1" t="s">
        <v>1667</v>
      </c>
      <c r="E399" s="1" t="s">
        <v>1668</v>
      </c>
      <c r="F399" s="7" t="str">
        <f>IFERROR(INDEX(测试!H:H,MATCH(E399,测试!A:A,0)),1)</f>
        <v>-</v>
      </c>
    </row>
    <row r="400" spans="1:6" hidden="1" x14ac:dyDescent="0.3">
      <c r="A400" s="1" t="s">
        <v>2964</v>
      </c>
      <c r="B400" s="1" t="s">
        <v>1669</v>
      </c>
      <c r="C400" s="1" t="s">
        <v>1670</v>
      </c>
      <c r="D400" s="1" t="s">
        <v>1671</v>
      </c>
      <c r="E400" s="1" t="s">
        <v>1672</v>
      </c>
      <c r="F400" s="7" t="str">
        <f>IFERROR(INDEX(测试!H:H,MATCH(E400,测试!A:A,0)),1)</f>
        <v>-</v>
      </c>
    </row>
    <row r="401" spans="1:6" hidden="1" x14ac:dyDescent="0.3">
      <c r="A401" s="1" t="s">
        <v>2964</v>
      </c>
      <c r="B401" s="1" t="s">
        <v>1673</v>
      </c>
      <c r="C401" s="1" t="s">
        <v>1674</v>
      </c>
      <c r="D401" s="1" t="s">
        <v>1675</v>
      </c>
      <c r="E401" s="14" t="s">
        <v>3036</v>
      </c>
      <c r="F401" s="7" t="str">
        <f>IFERROR(INDEX(测试!H:H,MATCH(E401,测试!A:A,0)),1)</f>
        <v>-</v>
      </c>
    </row>
    <row r="402" spans="1:6" hidden="1" x14ac:dyDescent="0.3">
      <c r="A402" s="1" t="s">
        <v>2964</v>
      </c>
      <c r="B402" s="1" t="s">
        <v>1676</v>
      </c>
      <c r="C402" s="1" t="s">
        <v>1677</v>
      </c>
      <c r="D402" s="1" t="s">
        <v>1678</v>
      </c>
      <c r="E402" s="1" t="s">
        <v>1679</v>
      </c>
      <c r="F402" s="7" t="str">
        <f>IFERROR(INDEX(测试!H:H,MATCH(E402,测试!A:A,0)),1)</f>
        <v>-</v>
      </c>
    </row>
    <row r="403" spans="1:6" hidden="1" x14ac:dyDescent="0.3">
      <c r="A403" s="1" t="s">
        <v>2964</v>
      </c>
      <c r="B403" s="1" t="s">
        <v>1680</v>
      </c>
      <c r="C403" s="1" t="s">
        <v>1681</v>
      </c>
      <c r="D403" s="1" t="s">
        <v>1682</v>
      </c>
      <c r="E403" s="1" t="s">
        <v>1683</v>
      </c>
      <c r="F403" s="7" t="str">
        <f>IFERROR(INDEX(测试!H:H,MATCH(E403,测试!A:A,0)),1)</f>
        <v>-</v>
      </c>
    </row>
    <row r="404" spans="1:6" hidden="1" x14ac:dyDescent="0.3">
      <c r="A404" s="1" t="s">
        <v>2964</v>
      </c>
      <c r="B404" s="1" t="s">
        <v>1684</v>
      </c>
      <c r="C404" s="1" t="s">
        <v>1685</v>
      </c>
      <c r="D404" s="1" t="s">
        <v>1686</v>
      </c>
      <c r="E404" s="14" t="s">
        <v>3035</v>
      </c>
      <c r="F404" s="7" t="str">
        <f>IFERROR(INDEX(测试!H:H,MATCH(E404,测试!A:A,0)),1)</f>
        <v>-</v>
      </c>
    </row>
    <row r="405" spans="1:6" hidden="1" x14ac:dyDescent="0.3">
      <c r="A405" s="1" t="s">
        <v>2964</v>
      </c>
      <c r="B405" s="1" t="s">
        <v>1687</v>
      </c>
      <c r="C405" s="1" t="s">
        <v>1688</v>
      </c>
      <c r="D405" s="1" t="s">
        <v>1689</v>
      </c>
      <c r="E405" s="1" t="s">
        <v>1690</v>
      </c>
      <c r="F405" s="7" t="str">
        <f>IFERROR(INDEX(测试!H:H,MATCH(E405,测试!A:A,0)),1)</f>
        <v>-</v>
      </c>
    </row>
    <row r="406" spans="1:6" hidden="1" x14ac:dyDescent="0.3">
      <c r="A406" s="1" t="s">
        <v>2964</v>
      </c>
      <c r="B406" s="1" t="s">
        <v>1691</v>
      </c>
      <c r="C406" s="1" t="s">
        <v>1692</v>
      </c>
      <c r="D406" s="1" t="s">
        <v>1693</v>
      </c>
      <c r="E406" s="1" t="s">
        <v>1694</v>
      </c>
      <c r="F406" s="7" t="str">
        <f>IFERROR(INDEX(测试!H:H,MATCH(E406,测试!A:A,0)),1)</f>
        <v>-</v>
      </c>
    </row>
    <row r="407" spans="1:6" hidden="1" x14ac:dyDescent="0.3">
      <c r="A407" s="1" t="s">
        <v>2964</v>
      </c>
      <c r="B407" s="1" t="s">
        <v>1695</v>
      </c>
      <c r="C407" s="1" t="s">
        <v>1696</v>
      </c>
      <c r="D407" s="1" t="s">
        <v>1697</v>
      </c>
      <c r="E407" s="1" t="s">
        <v>1698</v>
      </c>
      <c r="F407" s="7" t="str">
        <f>IFERROR(INDEX(测试!H:H,MATCH(E407,测试!A:A,0)),1)</f>
        <v>-</v>
      </c>
    </row>
    <row r="408" spans="1:6" hidden="1" x14ac:dyDescent="0.3">
      <c r="A408" s="1" t="s">
        <v>2964</v>
      </c>
      <c r="B408" s="1" t="s">
        <v>1699</v>
      </c>
      <c r="C408" s="1" t="s">
        <v>1700</v>
      </c>
      <c r="D408" s="1" t="s">
        <v>1701</v>
      </c>
      <c r="E408" s="1" t="s">
        <v>1702</v>
      </c>
      <c r="F408" s="7" t="str">
        <f>IFERROR(INDEX(测试!H:H,MATCH(E408,测试!A:A,0)),1)</f>
        <v>-</v>
      </c>
    </row>
    <row r="409" spans="1:6" hidden="1" x14ac:dyDescent="0.3">
      <c r="A409" s="1" t="s">
        <v>2964</v>
      </c>
      <c r="B409" s="1" t="s">
        <v>1703</v>
      </c>
      <c r="C409" s="1" t="s">
        <v>1704</v>
      </c>
      <c r="D409" s="1" t="s">
        <v>1705</v>
      </c>
      <c r="E409" s="1" t="s">
        <v>1706</v>
      </c>
      <c r="F409" s="7" t="str">
        <f>IFERROR(INDEX(测试!H:H,MATCH(E409,测试!A:A,0)),1)</f>
        <v>-</v>
      </c>
    </row>
    <row r="410" spans="1:6" hidden="1" x14ac:dyDescent="0.3">
      <c r="A410" s="1" t="s">
        <v>2964</v>
      </c>
      <c r="B410" s="1" t="s">
        <v>1707</v>
      </c>
      <c r="C410" s="1" t="s">
        <v>1708</v>
      </c>
      <c r="D410" s="1" t="s">
        <v>1709</v>
      </c>
      <c r="E410" s="1" t="s">
        <v>1710</v>
      </c>
      <c r="F410" s="7" t="str">
        <f>IFERROR(INDEX(测试!H:H,MATCH(E410,测试!A:A,0)),1)</f>
        <v>-</v>
      </c>
    </row>
    <row r="411" spans="1:6" hidden="1" x14ac:dyDescent="0.3">
      <c r="A411" s="1" t="s">
        <v>2964</v>
      </c>
      <c r="B411" s="1" t="s">
        <v>1711</v>
      </c>
      <c r="C411" s="1" t="s">
        <v>1712</v>
      </c>
      <c r="D411" s="1" t="s">
        <v>1713</v>
      </c>
      <c r="E411" s="1" t="s">
        <v>1714</v>
      </c>
      <c r="F411" s="7" t="str">
        <f>IFERROR(INDEX(测试!H:H,MATCH(E411,测试!A:A,0)),1)</f>
        <v>-</v>
      </c>
    </row>
    <row r="412" spans="1:6" hidden="1" x14ac:dyDescent="0.3">
      <c r="A412" s="1" t="s">
        <v>2964</v>
      </c>
      <c r="B412" s="1" t="s">
        <v>1715</v>
      </c>
      <c r="C412" s="1" t="s">
        <v>1716</v>
      </c>
      <c r="D412" s="1" t="s">
        <v>1717</v>
      </c>
      <c r="E412" s="14" t="s">
        <v>3034</v>
      </c>
      <c r="F412" s="7" t="str">
        <f>IFERROR(INDEX(测试!H:H,MATCH(E412,测试!A:A,0)),1)</f>
        <v>-</v>
      </c>
    </row>
    <row r="413" spans="1:6" hidden="1" x14ac:dyDescent="0.3">
      <c r="A413" s="1" t="s">
        <v>2964</v>
      </c>
      <c r="B413" s="1" t="s">
        <v>1718</v>
      </c>
      <c r="C413" s="1" t="s">
        <v>1719</v>
      </c>
      <c r="D413" s="1" t="s">
        <v>1720</v>
      </c>
      <c r="E413" s="1" t="s">
        <v>1721</v>
      </c>
      <c r="F413" s="7" t="str">
        <f>IFERROR(INDEX(测试!H:H,MATCH(E413,测试!A:A,0)),1)</f>
        <v>-</v>
      </c>
    </row>
    <row r="414" spans="1:6" hidden="1" x14ac:dyDescent="0.3">
      <c r="A414" s="1" t="s">
        <v>2963</v>
      </c>
      <c r="B414" s="1" t="s">
        <v>1135</v>
      </c>
      <c r="C414" s="1" t="s">
        <v>1136</v>
      </c>
      <c r="D414" s="1" t="s">
        <v>1137</v>
      </c>
      <c r="E414" s="1" t="s">
        <v>1138</v>
      </c>
      <c r="F414" s="7" t="str">
        <f>IFERROR(INDEX(测试!H:H,MATCH(E414,测试!A:A,0)),1)</f>
        <v>-</v>
      </c>
    </row>
    <row r="415" spans="1:6" hidden="1" x14ac:dyDescent="0.3">
      <c r="A415" s="1" t="s">
        <v>2963</v>
      </c>
      <c r="B415" s="1" t="s">
        <v>1139</v>
      </c>
      <c r="C415" s="1" t="s">
        <v>1140</v>
      </c>
      <c r="D415" s="1" t="s">
        <v>1141</v>
      </c>
      <c r="E415" s="1" t="s">
        <v>1142</v>
      </c>
      <c r="F415" s="7" t="str">
        <f>IFERROR(INDEX(测试!H:H,MATCH(E415,测试!A:A,0)),1)</f>
        <v>-</v>
      </c>
    </row>
    <row r="416" spans="1:6" hidden="1" x14ac:dyDescent="0.3">
      <c r="A416" s="1" t="s">
        <v>2963</v>
      </c>
      <c r="B416" s="1" t="s">
        <v>1143</v>
      </c>
      <c r="C416" s="1" t="s">
        <v>1144</v>
      </c>
      <c r="D416" s="1" t="s">
        <v>1145</v>
      </c>
      <c r="E416" s="1" t="s">
        <v>1146</v>
      </c>
      <c r="F416" s="7" t="str">
        <f>IFERROR(INDEX(测试!H:H,MATCH(E416,测试!A:A,0)),1)</f>
        <v>-</v>
      </c>
    </row>
    <row r="417" spans="1:6" hidden="1" x14ac:dyDescent="0.3">
      <c r="A417" s="1" t="s">
        <v>2963</v>
      </c>
      <c r="B417" s="1" t="s">
        <v>1147</v>
      </c>
      <c r="C417" s="1" t="s">
        <v>1148</v>
      </c>
      <c r="D417" s="1" t="s">
        <v>1149</v>
      </c>
      <c r="E417" s="1" t="s">
        <v>1150</v>
      </c>
      <c r="F417" s="7" t="str">
        <f>IFERROR(INDEX(测试!H:H,MATCH(E417,测试!A:A,0)),1)</f>
        <v>-</v>
      </c>
    </row>
    <row r="418" spans="1:6" hidden="1" x14ac:dyDescent="0.3">
      <c r="A418" s="1" t="s">
        <v>2963</v>
      </c>
      <c r="B418" s="1" t="s">
        <v>1151</v>
      </c>
      <c r="C418" s="1" t="s">
        <v>1152</v>
      </c>
      <c r="D418" s="1" t="s">
        <v>1153</v>
      </c>
      <c r="E418" s="1" t="s">
        <v>1154</v>
      </c>
      <c r="F418" s="7" t="str">
        <f>IFERROR(INDEX(测试!H:H,MATCH(E418,测试!A:A,0)),1)</f>
        <v>-</v>
      </c>
    </row>
    <row r="419" spans="1:6" hidden="1" x14ac:dyDescent="0.3">
      <c r="A419" s="1" t="s">
        <v>2963</v>
      </c>
      <c r="B419" s="1" t="s">
        <v>1155</v>
      </c>
      <c r="C419" s="1" t="s">
        <v>1156</v>
      </c>
      <c r="D419" s="1" t="s">
        <v>1157</v>
      </c>
      <c r="E419" s="1" t="s">
        <v>1158</v>
      </c>
      <c r="F419" s="7" t="str">
        <f>IFERROR(INDEX(测试!H:H,MATCH(E419,测试!A:A,0)),1)</f>
        <v>-</v>
      </c>
    </row>
    <row r="420" spans="1:6" hidden="1" x14ac:dyDescent="0.3">
      <c r="A420" s="1" t="s">
        <v>2963</v>
      </c>
      <c r="B420" s="1" t="s">
        <v>1159</v>
      </c>
      <c r="C420" s="1" t="s">
        <v>1160</v>
      </c>
      <c r="D420" s="1" t="s">
        <v>1161</v>
      </c>
      <c r="E420" s="1" t="s">
        <v>1162</v>
      </c>
      <c r="F420" s="7" t="str">
        <f>IFERROR(INDEX(测试!H:H,MATCH(E420,测试!A:A,0)),1)</f>
        <v>-</v>
      </c>
    </row>
    <row r="421" spans="1:6" hidden="1" x14ac:dyDescent="0.3">
      <c r="A421" s="1" t="s">
        <v>2963</v>
      </c>
      <c r="B421" s="1" t="s">
        <v>1163</v>
      </c>
      <c r="C421" s="1" t="s">
        <v>1164</v>
      </c>
      <c r="D421" s="1" t="s">
        <v>1165</v>
      </c>
      <c r="E421" s="1" t="s">
        <v>1166</v>
      </c>
      <c r="F421" s="7" t="str">
        <f>IFERROR(INDEX(测试!H:H,MATCH(E421,测试!A:A,0)),1)</f>
        <v>-</v>
      </c>
    </row>
    <row r="422" spans="1:6" hidden="1" x14ac:dyDescent="0.3">
      <c r="A422" s="1" t="s">
        <v>2963</v>
      </c>
      <c r="B422" s="1" t="s">
        <v>1167</v>
      </c>
      <c r="C422" s="1" t="s">
        <v>1168</v>
      </c>
      <c r="D422" s="1" t="s">
        <v>1169</v>
      </c>
      <c r="E422" s="1" t="s">
        <v>1170</v>
      </c>
      <c r="F422" s="7" t="str">
        <f>IFERROR(INDEX(测试!H:H,MATCH(E422,测试!A:A,0)),1)</f>
        <v>-</v>
      </c>
    </row>
    <row r="423" spans="1:6" hidden="1" x14ac:dyDescent="0.3">
      <c r="A423" s="1" t="s">
        <v>2963</v>
      </c>
      <c r="B423" s="1" t="s">
        <v>1171</v>
      </c>
      <c r="C423" s="1" t="s">
        <v>1172</v>
      </c>
      <c r="D423" s="1" t="s">
        <v>1173</v>
      </c>
      <c r="E423" s="1" t="s">
        <v>1174</v>
      </c>
      <c r="F423" s="7" t="str">
        <f>IFERROR(INDEX(测试!H:H,MATCH(E423,测试!A:A,0)),1)</f>
        <v>-</v>
      </c>
    </row>
    <row r="424" spans="1:6" hidden="1" x14ac:dyDescent="0.3">
      <c r="A424" s="1" t="s">
        <v>2963</v>
      </c>
      <c r="B424" s="1" t="s">
        <v>1175</v>
      </c>
      <c r="C424" s="1" t="s">
        <v>1176</v>
      </c>
      <c r="D424" s="1" t="s">
        <v>1177</v>
      </c>
      <c r="E424" s="1" t="s">
        <v>1178</v>
      </c>
      <c r="F424" s="7" t="str">
        <f>IFERROR(INDEX(测试!H:H,MATCH(E424,测试!A:A,0)),1)</f>
        <v>-</v>
      </c>
    </row>
    <row r="425" spans="1:6" hidden="1" x14ac:dyDescent="0.3">
      <c r="A425" s="1" t="s">
        <v>2963</v>
      </c>
      <c r="B425" s="1" t="s">
        <v>1179</v>
      </c>
      <c r="C425" s="1" t="s">
        <v>1180</v>
      </c>
      <c r="D425" s="1" t="s">
        <v>1181</v>
      </c>
      <c r="E425" s="1" t="s">
        <v>1182</v>
      </c>
      <c r="F425" s="7" t="str">
        <f>IFERROR(INDEX(测试!H:H,MATCH(E425,测试!A:A,0)),1)</f>
        <v>-</v>
      </c>
    </row>
    <row r="426" spans="1:6" hidden="1" x14ac:dyDescent="0.3">
      <c r="A426" s="1" t="s">
        <v>2963</v>
      </c>
      <c r="B426" s="1" t="s">
        <v>1183</v>
      </c>
      <c r="C426" s="1" t="s">
        <v>1184</v>
      </c>
      <c r="D426" s="1" t="s">
        <v>1185</v>
      </c>
      <c r="E426" s="1" t="s">
        <v>1186</v>
      </c>
      <c r="F426" s="7" t="str">
        <f>IFERROR(INDEX(测试!H:H,MATCH(E426,测试!A:A,0)),1)</f>
        <v>-</v>
      </c>
    </row>
    <row r="427" spans="1:6" hidden="1" x14ac:dyDescent="0.3">
      <c r="A427" s="1" t="s">
        <v>2963</v>
      </c>
      <c r="B427" s="1" t="s">
        <v>1187</v>
      </c>
      <c r="C427" s="1" t="s">
        <v>1188</v>
      </c>
      <c r="D427" s="1" t="s">
        <v>1189</v>
      </c>
      <c r="E427" s="1" t="s">
        <v>1190</v>
      </c>
      <c r="F427" s="7" t="str">
        <f>IFERROR(INDEX(测试!H:H,MATCH(E427,测试!A:A,0)),1)</f>
        <v>-</v>
      </c>
    </row>
    <row r="428" spans="1:6" hidden="1" x14ac:dyDescent="0.3">
      <c r="A428" s="1" t="s">
        <v>2963</v>
      </c>
      <c r="B428" s="1" t="s">
        <v>1191</v>
      </c>
      <c r="C428" s="1" t="s">
        <v>1192</v>
      </c>
      <c r="D428" s="1" t="s">
        <v>1193</v>
      </c>
      <c r="E428" s="1" t="s">
        <v>1194</v>
      </c>
      <c r="F428" s="7" t="str">
        <f>IFERROR(INDEX(测试!H:H,MATCH(E428,测试!A:A,0)),1)</f>
        <v>-</v>
      </c>
    </row>
    <row r="429" spans="1:6" hidden="1" x14ac:dyDescent="0.3">
      <c r="A429" s="1" t="s">
        <v>2963</v>
      </c>
      <c r="B429" s="1" t="s">
        <v>1195</v>
      </c>
      <c r="C429" s="1" t="s">
        <v>1196</v>
      </c>
      <c r="D429" s="1" t="s">
        <v>1197</v>
      </c>
      <c r="E429" s="1" t="s">
        <v>1198</v>
      </c>
      <c r="F429" s="7" t="str">
        <f>IFERROR(INDEX(测试!H:H,MATCH(E429,测试!A:A,0)),1)</f>
        <v>-</v>
      </c>
    </row>
    <row r="430" spans="1:6" hidden="1" x14ac:dyDescent="0.3">
      <c r="A430" s="1" t="s">
        <v>2963</v>
      </c>
      <c r="B430" s="1" t="s">
        <v>1199</v>
      </c>
      <c r="C430" s="1" t="s">
        <v>1200</v>
      </c>
      <c r="D430" s="1" t="s">
        <v>1201</v>
      </c>
      <c r="E430" s="1" t="s">
        <v>1202</v>
      </c>
      <c r="F430" s="7" t="str">
        <f>IFERROR(INDEX(测试!H:H,MATCH(E430,测试!A:A,0)),1)</f>
        <v>-</v>
      </c>
    </row>
    <row r="431" spans="1:6" hidden="1" x14ac:dyDescent="0.3">
      <c r="A431" s="1" t="s">
        <v>2963</v>
      </c>
      <c r="B431" s="1" t="s">
        <v>1203</v>
      </c>
      <c r="C431" s="1" t="s">
        <v>1204</v>
      </c>
      <c r="D431" s="1" t="s">
        <v>1205</v>
      </c>
      <c r="E431" s="1" t="s">
        <v>1206</v>
      </c>
      <c r="F431" s="7" t="str">
        <f>IFERROR(INDEX(测试!H:H,MATCH(E431,测试!A:A,0)),1)</f>
        <v>-</v>
      </c>
    </row>
    <row r="432" spans="1:6" hidden="1" x14ac:dyDescent="0.3">
      <c r="A432" s="1" t="s">
        <v>2963</v>
      </c>
      <c r="B432" s="1" t="s">
        <v>1207</v>
      </c>
      <c r="C432" s="1" t="s">
        <v>1208</v>
      </c>
      <c r="D432" s="1" t="s">
        <v>1209</v>
      </c>
      <c r="E432" s="1" t="s">
        <v>1210</v>
      </c>
      <c r="F432" s="7" t="str">
        <f>IFERROR(INDEX(测试!H:H,MATCH(E432,测试!A:A,0)),1)</f>
        <v>-</v>
      </c>
    </row>
    <row r="433" spans="1:6" hidden="1" x14ac:dyDescent="0.3">
      <c r="A433" s="1" t="s">
        <v>2963</v>
      </c>
      <c r="B433" s="1" t="s">
        <v>1211</v>
      </c>
      <c r="C433" s="1" t="s">
        <v>1212</v>
      </c>
      <c r="D433" s="1" t="s">
        <v>1213</v>
      </c>
      <c r="E433" s="1" t="s">
        <v>1214</v>
      </c>
      <c r="F433" s="7" t="str">
        <f>IFERROR(INDEX(测试!H:H,MATCH(E433,测试!A:A,0)),1)</f>
        <v>-</v>
      </c>
    </row>
    <row r="434" spans="1:6" hidden="1" x14ac:dyDescent="0.3">
      <c r="A434" s="1" t="s">
        <v>2963</v>
      </c>
      <c r="B434" s="1" t="s">
        <v>1215</v>
      </c>
      <c r="C434" s="1" t="s">
        <v>1216</v>
      </c>
      <c r="D434" s="1" t="s">
        <v>1217</v>
      </c>
      <c r="E434" s="14" t="s">
        <v>3032</v>
      </c>
      <c r="F434" s="7" t="str">
        <f>IFERROR(INDEX(测试!H:H,MATCH(E434,测试!A:A,0)),1)</f>
        <v>-</v>
      </c>
    </row>
    <row r="435" spans="1:6" hidden="1" x14ac:dyDescent="0.3">
      <c r="A435" s="1" t="s">
        <v>2963</v>
      </c>
      <c r="B435" s="1" t="s">
        <v>1218</v>
      </c>
      <c r="C435" s="1" t="s">
        <v>1219</v>
      </c>
      <c r="D435" s="1" t="s">
        <v>1220</v>
      </c>
      <c r="E435" s="14" t="s">
        <v>3031</v>
      </c>
      <c r="F435" s="7" t="str">
        <f>IFERROR(INDEX(测试!H:H,MATCH(E435,测试!A:A,0)),1)</f>
        <v>-</v>
      </c>
    </row>
    <row r="436" spans="1:6" hidden="1" x14ac:dyDescent="0.3">
      <c r="A436" s="1" t="s">
        <v>2963</v>
      </c>
      <c r="B436" s="1" t="s">
        <v>1221</v>
      </c>
      <c r="C436" s="1" t="s">
        <v>1222</v>
      </c>
      <c r="D436" s="1" t="s">
        <v>1223</v>
      </c>
      <c r="E436" s="1" t="s">
        <v>1224</v>
      </c>
      <c r="F436" s="7" t="str">
        <f>IFERROR(INDEX(测试!H:H,MATCH(E436,测试!A:A,0)),1)</f>
        <v>-</v>
      </c>
    </row>
    <row r="437" spans="1:6" hidden="1" x14ac:dyDescent="0.3">
      <c r="A437" s="1" t="s">
        <v>2963</v>
      </c>
      <c r="B437" s="1" t="s">
        <v>1225</v>
      </c>
      <c r="C437" s="1" t="s">
        <v>1226</v>
      </c>
      <c r="D437" s="1" t="s">
        <v>1227</v>
      </c>
      <c r="E437" s="1" t="s">
        <v>1228</v>
      </c>
      <c r="F437" s="7" t="str">
        <f>IFERROR(INDEX(测试!H:H,MATCH(E437,测试!A:A,0)),1)</f>
        <v>-</v>
      </c>
    </row>
    <row r="438" spans="1:6" hidden="1" x14ac:dyDescent="0.3">
      <c r="A438" s="1" t="s">
        <v>2963</v>
      </c>
      <c r="B438" s="1" t="s">
        <v>1229</v>
      </c>
      <c r="C438" s="1" t="s">
        <v>1230</v>
      </c>
      <c r="D438" s="1" t="s">
        <v>1231</v>
      </c>
      <c r="E438" s="1" t="s">
        <v>1232</v>
      </c>
      <c r="F438" s="7" t="str">
        <f>IFERROR(INDEX(测试!H:H,MATCH(E438,测试!A:A,0)),1)</f>
        <v>-</v>
      </c>
    </row>
    <row r="439" spans="1:6" hidden="1" x14ac:dyDescent="0.3">
      <c r="A439" s="1" t="s">
        <v>2963</v>
      </c>
      <c r="B439" s="1" t="s">
        <v>1233</v>
      </c>
      <c r="C439" s="1" t="s">
        <v>1234</v>
      </c>
      <c r="D439" s="1" t="s">
        <v>1235</v>
      </c>
      <c r="E439" s="1" t="s">
        <v>1236</v>
      </c>
      <c r="F439" s="7" t="str">
        <f>IFERROR(INDEX(测试!H:H,MATCH(E439,测试!A:A,0)),1)</f>
        <v>-</v>
      </c>
    </row>
    <row r="440" spans="1:6" hidden="1" x14ac:dyDescent="0.3">
      <c r="A440" s="1" t="s">
        <v>2963</v>
      </c>
      <c r="B440" s="1" t="s">
        <v>1237</v>
      </c>
      <c r="C440" s="1" t="s">
        <v>1238</v>
      </c>
      <c r="D440" s="1" t="s">
        <v>1239</v>
      </c>
      <c r="E440" s="1" t="s">
        <v>1240</v>
      </c>
      <c r="F440" s="7" t="str">
        <f>IFERROR(INDEX(测试!H:H,MATCH(E440,测试!A:A,0)),1)</f>
        <v>-</v>
      </c>
    </row>
    <row r="441" spans="1:6" hidden="1" x14ac:dyDescent="0.3">
      <c r="A441" s="1" t="s">
        <v>2963</v>
      </c>
      <c r="B441" s="1" t="s">
        <v>1241</v>
      </c>
      <c r="C441" s="1" t="s">
        <v>1242</v>
      </c>
      <c r="D441" s="1" t="s">
        <v>1243</v>
      </c>
      <c r="E441" s="1" t="s">
        <v>1244</v>
      </c>
      <c r="F441" s="7" t="str">
        <f>IFERROR(INDEX(测试!H:H,MATCH(E441,测试!A:A,0)),1)</f>
        <v>-</v>
      </c>
    </row>
    <row r="442" spans="1:6" hidden="1" x14ac:dyDescent="0.3">
      <c r="A442" s="1" t="s">
        <v>2963</v>
      </c>
      <c r="B442" s="1" t="s">
        <v>1245</v>
      </c>
      <c r="C442" s="1" t="s">
        <v>1246</v>
      </c>
      <c r="D442" s="1" t="s">
        <v>1247</v>
      </c>
      <c r="E442" s="1" t="s">
        <v>1248</v>
      </c>
      <c r="F442" s="7" t="str">
        <f>IFERROR(INDEX(测试!H:H,MATCH(E442,测试!A:A,0)),1)</f>
        <v>-</v>
      </c>
    </row>
    <row r="443" spans="1:6" hidden="1" x14ac:dyDescent="0.3">
      <c r="A443" s="1" t="s">
        <v>2963</v>
      </c>
      <c r="B443" s="1" t="s">
        <v>1249</v>
      </c>
      <c r="C443" s="1" t="s">
        <v>1250</v>
      </c>
      <c r="D443" s="1" t="s">
        <v>1251</v>
      </c>
      <c r="E443" s="1" t="s">
        <v>1252</v>
      </c>
      <c r="F443" s="7" t="str">
        <f>IFERROR(INDEX(测试!H:H,MATCH(E443,测试!A:A,0)),1)</f>
        <v>-</v>
      </c>
    </row>
    <row r="444" spans="1:6" hidden="1" x14ac:dyDescent="0.3">
      <c r="A444" s="1" t="s">
        <v>2963</v>
      </c>
      <c r="B444" s="1" t="s">
        <v>1253</v>
      </c>
      <c r="C444" s="1" t="s">
        <v>1254</v>
      </c>
      <c r="D444" s="1" t="s">
        <v>1255</v>
      </c>
      <c r="E444" s="1" t="s">
        <v>1256</v>
      </c>
      <c r="F444" s="7" t="str">
        <f>IFERROR(INDEX(测试!H:H,MATCH(E444,测试!A:A,0)),1)</f>
        <v>-</v>
      </c>
    </row>
    <row r="445" spans="1:6" hidden="1" x14ac:dyDescent="0.3">
      <c r="A445" s="1" t="s">
        <v>2963</v>
      </c>
      <c r="B445" s="1" t="s">
        <v>1257</v>
      </c>
      <c r="C445" s="1" t="s">
        <v>1258</v>
      </c>
      <c r="D445" s="1" t="s">
        <v>1259</v>
      </c>
      <c r="E445" s="1" t="s">
        <v>1260</v>
      </c>
      <c r="F445" s="7" t="str">
        <f>IFERROR(INDEX(测试!H:H,MATCH(E445,测试!A:A,0)),1)</f>
        <v>-</v>
      </c>
    </row>
    <row r="446" spans="1:6" hidden="1" x14ac:dyDescent="0.3">
      <c r="A446" s="1" t="s">
        <v>2963</v>
      </c>
      <c r="B446" s="1" t="s">
        <v>1261</v>
      </c>
      <c r="C446" s="1" t="s">
        <v>1262</v>
      </c>
      <c r="D446" s="1" t="s">
        <v>1263</v>
      </c>
      <c r="E446" s="1" t="s">
        <v>1264</v>
      </c>
      <c r="F446" s="7" t="str">
        <f>IFERROR(INDEX(测试!H:H,MATCH(E446,测试!A:A,0)),1)</f>
        <v>-</v>
      </c>
    </row>
    <row r="447" spans="1:6" hidden="1" x14ac:dyDescent="0.3">
      <c r="A447" s="1" t="s">
        <v>2963</v>
      </c>
      <c r="B447" s="1" t="s">
        <v>1265</v>
      </c>
      <c r="C447" s="1" t="s">
        <v>1266</v>
      </c>
      <c r="D447" s="1" t="s">
        <v>1267</v>
      </c>
      <c r="E447" s="1" t="s">
        <v>1268</v>
      </c>
      <c r="F447" s="7" t="str">
        <f>IFERROR(INDEX(测试!H:H,MATCH(E447,测试!A:A,0)),1)</f>
        <v>-</v>
      </c>
    </row>
    <row r="448" spans="1:6" hidden="1" x14ac:dyDescent="0.3">
      <c r="A448" s="1" t="s">
        <v>2963</v>
      </c>
      <c r="B448" s="1" t="s">
        <v>1269</v>
      </c>
      <c r="C448" s="1" t="s">
        <v>1270</v>
      </c>
      <c r="D448" s="1" t="s">
        <v>1271</v>
      </c>
      <c r="E448" s="1" t="s">
        <v>1272</v>
      </c>
      <c r="F448" s="7" t="str">
        <f>IFERROR(INDEX(测试!H:H,MATCH(E448,测试!A:A,0)),1)</f>
        <v>-</v>
      </c>
    </row>
    <row r="449" spans="1:6" hidden="1" x14ac:dyDescent="0.3">
      <c r="A449" s="1" t="s">
        <v>2963</v>
      </c>
      <c r="B449" s="1" t="s">
        <v>1273</v>
      </c>
      <c r="C449" s="1" t="s">
        <v>1274</v>
      </c>
      <c r="D449" s="1" t="s">
        <v>1275</v>
      </c>
      <c r="E449" s="1" t="s">
        <v>1276</v>
      </c>
      <c r="F449" s="7" t="str">
        <f>IFERROR(INDEX(测试!H:H,MATCH(E449,测试!A:A,0)),1)</f>
        <v>-</v>
      </c>
    </row>
    <row r="450" spans="1:6" hidden="1" x14ac:dyDescent="0.3">
      <c r="A450" s="1" t="s">
        <v>2963</v>
      </c>
      <c r="B450" s="1" t="s">
        <v>1277</v>
      </c>
      <c r="C450" s="1" t="s">
        <v>1278</v>
      </c>
      <c r="D450" s="1" t="s">
        <v>1279</v>
      </c>
      <c r="E450" s="1" t="s">
        <v>1280</v>
      </c>
      <c r="F450" s="7" t="str">
        <f>IFERROR(INDEX(测试!H:H,MATCH(E450,测试!A:A,0)),1)</f>
        <v>-</v>
      </c>
    </row>
    <row r="451" spans="1:6" hidden="1" x14ac:dyDescent="0.3">
      <c r="A451" s="1" t="s">
        <v>2963</v>
      </c>
      <c r="B451" s="1" t="s">
        <v>1281</v>
      </c>
      <c r="C451" s="1" t="s">
        <v>1282</v>
      </c>
      <c r="D451" s="1" t="s">
        <v>1283</v>
      </c>
      <c r="E451" s="1" t="s">
        <v>1284</v>
      </c>
      <c r="F451" s="7" t="str">
        <f>IFERROR(INDEX(测试!H:H,MATCH(E451,测试!A:A,0)),1)</f>
        <v>-</v>
      </c>
    </row>
    <row r="452" spans="1:6" hidden="1" x14ac:dyDescent="0.3">
      <c r="A452" s="1" t="s">
        <v>2963</v>
      </c>
      <c r="B452" s="1" t="s">
        <v>1285</v>
      </c>
      <c r="C452" s="1" t="s">
        <v>1286</v>
      </c>
      <c r="D452" s="1" t="s">
        <v>1287</v>
      </c>
      <c r="E452" s="1" t="s">
        <v>1288</v>
      </c>
      <c r="F452" s="7" t="str">
        <f>IFERROR(INDEX(测试!H:H,MATCH(E452,测试!A:A,0)),1)</f>
        <v>-</v>
      </c>
    </row>
    <row r="453" spans="1:6" hidden="1" x14ac:dyDescent="0.3">
      <c r="A453" s="1" t="s">
        <v>2963</v>
      </c>
      <c r="B453" s="1" t="s">
        <v>1289</v>
      </c>
      <c r="C453" s="1" t="s">
        <v>1290</v>
      </c>
      <c r="D453" s="1" t="s">
        <v>1291</v>
      </c>
      <c r="E453" s="1" t="s">
        <v>1292</v>
      </c>
      <c r="F453" s="7" t="str">
        <f>IFERROR(INDEX(测试!H:H,MATCH(E453,测试!A:A,0)),1)</f>
        <v>-</v>
      </c>
    </row>
    <row r="454" spans="1:6" hidden="1" x14ac:dyDescent="0.3">
      <c r="A454" s="1" t="s">
        <v>2963</v>
      </c>
      <c r="B454" s="1" t="s">
        <v>1293</v>
      </c>
      <c r="C454" s="1" t="s">
        <v>1294</v>
      </c>
      <c r="D454" s="1" t="s">
        <v>1295</v>
      </c>
      <c r="E454" s="1" t="s">
        <v>1296</v>
      </c>
      <c r="F454" s="7" t="str">
        <f>IFERROR(INDEX(测试!H:H,MATCH(E454,测试!A:A,0)),1)</f>
        <v>-</v>
      </c>
    </row>
    <row r="455" spans="1:6" hidden="1" x14ac:dyDescent="0.3">
      <c r="A455" s="1" t="s">
        <v>2963</v>
      </c>
      <c r="B455" s="1" t="s">
        <v>1297</v>
      </c>
      <c r="C455" s="1" t="s">
        <v>1298</v>
      </c>
      <c r="D455" s="1" t="s">
        <v>1299</v>
      </c>
      <c r="E455" s="1" t="s">
        <v>1300</v>
      </c>
      <c r="F455" s="7" t="str">
        <f>IFERROR(INDEX(测试!H:H,MATCH(E455,测试!A:A,0)),1)</f>
        <v>-</v>
      </c>
    </row>
    <row r="456" spans="1:6" hidden="1" x14ac:dyDescent="0.3">
      <c r="A456" s="1" t="s">
        <v>2963</v>
      </c>
      <c r="B456" s="1" t="s">
        <v>1301</v>
      </c>
      <c r="C456" s="1" t="s">
        <v>1302</v>
      </c>
      <c r="D456" s="1" t="s">
        <v>1303</v>
      </c>
      <c r="E456" s="1" t="s">
        <v>1304</v>
      </c>
      <c r="F456" s="7" t="str">
        <f>IFERROR(INDEX(测试!H:H,MATCH(E456,测试!A:A,0)),1)</f>
        <v>-</v>
      </c>
    </row>
    <row r="457" spans="1:6" hidden="1" x14ac:dyDescent="0.3">
      <c r="A457" s="1" t="s">
        <v>2963</v>
      </c>
      <c r="B457" s="1" t="s">
        <v>1305</v>
      </c>
      <c r="C457" s="1" t="s">
        <v>1306</v>
      </c>
      <c r="D457" s="1" t="s">
        <v>1307</v>
      </c>
      <c r="E457" s="1" t="s">
        <v>1308</v>
      </c>
      <c r="F457" s="7" t="str">
        <f>IFERROR(INDEX(测试!H:H,MATCH(E457,测试!A:A,0)),1)</f>
        <v>-</v>
      </c>
    </row>
    <row r="458" spans="1:6" hidden="1" x14ac:dyDescent="0.3">
      <c r="A458" s="1" t="s">
        <v>2963</v>
      </c>
      <c r="B458" s="1" t="s">
        <v>1309</v>
      </c>
      <c r="C458" s="1" t="s">
        <v>1310</v>
      </c>
      <c r="D458" s="1" t="s">
        <v>1311</v>
      </c>
      <c r="E458" s="1" t="s">
        <v>1312</v>
      </c>
      <c r="F458" s="7" t="str">
        <f>IFERROR(INDEX(测试!H:H,MATCH(E458,测试!A:A,0)),1)</f>
        <v>-</v>
      </c>
    </row>
    <row r="459" spans="1:6" hidden="1" x14ac:dyDescent="0.3">
      <c r="A459" s="1" t="s">
        <v>2963</v>
      </c>
      <c r="B459" s="1" t="s">
        <v>1313</v>
      </c>
      <c r="C459" s="1" t="s">
        <v>1314</v>
      </c>
      <c r="D459" s="1" t="s">
        <v>1315</v>
      </c>
      <c r="E459" s="1" t="s">
        <v>1316</v>
      </c>
      <c r="F459" s="7" t="str">
        <f>IFERROR(INDEX(测试!H:H,MATCH(E459,测试!A:A,0)),1)</f>
        <v>-</v>
      </c>
    </row>
    <row r="460" spans="1:6" hidden="1" x14ac:dyDescent="0.3">
      <c r="A460" s="1" t="s">
        <v>2963</v>
      </c>
      <c r="B460" s="1" t="s">
        <v>1317</v>
      </c>
      <c r="C460" s="1" t="s">
        <v>1318</v>
      </c>
      <c r="D460" s="1" t="s">
        <v>1319</v>
      </c>
      <c r="E460" s="1" t="s">
        <v>1320</v>
      </c>
      <c r="F460" s="7" t="str">
        <f>IFERROR(INDEX(测试!H:H,MATCH(E460,测试!A:A,0)),1)</f>
        <v>-</v>
      </c>
    </row>
    <row r="461" spans="1:6" hidden="1" x14ac:dyDescent="0.3">
      <c r="A461" s="1" t="s">
        <v>2963</v>
      </c>
      <c r="B461" s="1" t="s">
        <v>1321</v>
      </c>
      <c r="C461" s="1" t="s">
        <v>1322</v>
      </c>
      <c r="D461" s="1" t="s">
        <v>1323</v>
      </c>
      <c r="E461" s="1" t="s">
        <v>1324</v>
      </c>
      <c r="F461" s="7" t="str">
        <f>IFERROR(INDEX(测试!H:H,MATCH(E461,测试!A:A,0)),1)</f>
        <v>-</v>
      </c>
    </row>
    <row r="462" spans="1:6" hidden="1" x14ac:dyDescent="0.3">
      <c r="A462" s="1" t="s">
        <v>2963</v>
      </c>
      <c r="B462" s="1" t="s">
        <v>1325</v>
      </c>
      <c r="C462" s="1" t="s">
        <v>1326</v>
      </c>
      <c r="D462" s="1" t="s">
        <v>1327</v>
      </c>
      <c r="E462" s="1" t="s">
        <v>1328</v>
      </c>
      <c r="F462" s="7" t="str">
        <f>IFERROR(INDEX(测试!H:H,MATCH(E462,测试!A:A,0)),1)</f>
        <v>-</v>
      </c>
    </row>
    <row r="463" spans="1:6" hidden="1" x14ac:dyDescent="0.3">
      <c r="A463" s="1" t="s">
        <v>2963</v>
      </c>
      <c r="B463" s="1" t="s">
        <v>1329</v>
      </c>
      <c r="C463" s="1" t="s">
        <v>1330</v>
      </c>
      <c r="D463" s="1" t="s">
        <v>1331</v>
      </c>
      <c r="E463" s="1" t="s">
        <v>1332</v>
      </c>
      <c r="F463" s="7" t="str">
        <f>IFERROR(INDEX(测试!H:H,MATCH(E463,测试!A:A,0)),1)</f>
        <v>-</v>
      </c>
    </row>
    <row r="464" spans="1:6" hidden="1" x14ac:dyDescent="0.3">
      <c r="A464" s="1" t="s">
        <v>2962</v>
      </c>
      <c r="B464" s="1" t="s">
        <v>1100</v>
      </c>
      <c r="C464" s="1" t="s">
        <v>11</v>
      </c>
      <c r="D464" s="1" t="s">
        <v>12</v>
      </c>
      <c r="E464" s="1" t="s">
        <v>1101</v>
      </c>
      <c r="F464" s="7" t="str">
        <f>IFERROR(INDEX(测试!H:H,MATCH(E464,测试!A:A,0)),1)</f>
        <v>文件名错误</v>
      </c>
    </row>
    <row r="465" spans="1:6" hidden="1" x14ac:dyDescent="0.3">
      <c r="A465" s="1" t="s">
        <v>2962</v>
      </c>
      <c r="B465" s="1" t="s">
        <v>1102</v>
      </c>
      <c r="C465" s="1" t="s">
        <v>13</v>
      </c>
      <c r="D465" s="1" t="s">
        <v>1103</v>
      </c>
      <c r="E465" s="1" t="s">
        <v>1104</v>
      </c>
      <c r="F465" s="7" t="str">
        <f>IFERROR(INDEX(测试!H:H,MATCH(E465,测试!A:A,0)),1)</f>
        <v>文件名错误</v>
      </c>
    </row>
    <row r="466" spans="1:6" hidden="1" x14ac:dyDescent="0.3">
      <c r="A466" s="1" t="s">
        <v>2962</v>
      </c>
      <c r="B466" s="1" t="s">
        <v>1105</v>
      </c>
      <c r="C466" s="1" t="s">
        <v>14</v>
      </c>
      <c r="D466" s="1" t="s">
        <v>1106</v>
      </c>
      <c r="E466" s="1" t="s">
        <v>1107</v>
      </c>
      <c r="F466" s="7" t="str">
        <f>IFERROR(INDEX(测试!H:H,MATCH(E466,测试!A:A,0)),1)</f>
        <v>-</v>
      </c>
    </row>
    <row r="467" spans="1:6" hidden="1" x14ac:dyDescent="0.3">
      <c r="A467" s="1" t="s">
        <v>2962</v>
      </c>
      <c r="B467" s="1" t="s">
        <v>1108</v>
      </c>
      <c r="C467" s="1" t="s">
        <v>15</v>
      </c>
      <c r="D467" s="1" t="s">
        <v>1109</v>
      </c>
      <c r="E467" s="1" t="s">
        <v>1110</v>
      </c>
      <c r="F467" s="7" t="str">
        <f>IFERROR(INDEX(测试!H:H,MATCH(E467,测试!A:A,0)),1)</f>
        <v>-</v>
      </c>
    </row>
    <row r="468" spans="1:6" hidden="1" x14ac:dyDescent="0.3">
      <c r="A468" s="6" t="s">
        <v>2962</v>
      </c>
      <c r="B468" s="20" t="s">
        <v>3878</v>
      </c>
      <c r="C468" s="6" t="s">
        <v>16</v>
      </c>
      <c r="D468" s="6" t="s">
        <v>1111</v>
      </c>
      <c r="E468" s="6" t="s">
        <v>1112</v>
      </c>
      <c r="F468" s="7" t="str">
        <f>IFERROR(INDEX(测试!H:H,MATCH(E468,测试!A:A,0)),1)</f>
        <v>-</v>
      </c>
    </row>
    <row r="469" spans="1:6" hidden="1" x14ac:dyDescent="0.3">
      <c r="A469" s="1" t="s">
        <v>2962</v>
      </c>
      <c r="B469" s="1" t="s">
        <v>1113</v>
      </c>
      <c r="C469" s="1" t="s">
        <v>17</v>
      </c>
      <c r="D469" s="1" t="s">
        <v>1114</v>
      </c>
      <c r="E469" s="1" t="s">
        <v>1115</v>
      </c>
      <c r="F469" s="7" t="str">
        <f>IFERROR(INDEX(测试!H:H,MATCH(E469,测试!A:A,0)),1)</f>
        <v>-</v>
      </c>
    </row>
    <row r="470" spans="1:6" hidden="1" x14ac:dyDescent="0.3">
      <c r="A470" s="1" t="s">
        <v>2962</v>
      </c>
      <c r="B470" s="1" t="s">
        <v>1116</v>
      </c>
      <c r="C470" s="1" t="s">
        <v>18</v>
      </c>
      <c r="D470" s="1" t="s">
        <v>1117</v>
      </c>
      <c r="E470" s="1" t="s">
        <v>1118</v>
      </c>
      <c r="F470" s="7" t="str">
        <f>IFERROR(INDEX(测试!H:H,MATCH(E470,测试!A:A,0)),1)</f>
        <v>-</v>
      </c>
    </row>
    <row r="471" spans="1:6" hidden="1" x14ac:dyDescent="0.3">
      <c r="A471" s="1" t="s">
        <v>2962</v>
      </c>
      <c r="B471" s="1" t="s">
        <v>1119</v>
      </c>
      <c r="C471" s="1" t="s">
        <v>19</v>
      </c>
      <c r="D471" s="1" t="s">
        <v>20</v>
      </c>
      <c r="E471" s="1" t="s">
        <v>1120</v>
      </c>
      <c r="F471" s="7" t="str">
        <f>IFERROR(INDEX(测试!H:H,MATCH(E471,测试!A:A,0)),1)</f>
        <v>-</v>
      </c>
    </row>
    <row r="472" spans="1:6" hidden="1" x14ac:dyDescent="0.3">
      <c r="A472" s="1" t="s">
        <v>2962</v>
      </c>
      <c r="B472" s="1" t="s">
        <v>1121</v>
      </c>
      <c r="C472" s="1" t="s">
        <v>21</v>
      </c>
      <c r="D472" s="1" t="s">
        <v>22</v>
      </c>
      <c r="E472" s="1" t="s">
        <v>1122</v>
      </c>
      <c r="F472" s="7" t="str">
        <f>IFERROR(INDEX(测试!H:H,MATCH(E472,测试!A:A,0)),1)</f>
        <v>-</v>
      </c>
    </row>
    <row r="473" spans="1:6" hidden="1" x14ac:dyDescent="0.3">
      <c r="A473" s="1" t="s">
        <v>2962</v>
      </c>
      <c r="B473" s="1" t="s">
        <v>1123</v>
      </c>
      <c r="C473" s="1" t="s">
        <v>23</v>
      </c>
      <c r="D473" s="1" t="s">
        <v>24</v>
      </c>
      <c r="E473" s="1" t="s">
        <v>1124</v>
      </c>
      <c r="F473" s="7" t="str">
        <f>IFERROR(INDEX(测试!H:H,MATCH(E473,测试!A:A,0)),1)</f>
        <v>-</v>
      </c>
    </row>
    <row r="474" spans="1:6" hidden="1" x14ac:dyDescent="0.3">
      <c r="A474" s="1" t="s">
        <v>2962</v>
      </c>
      <c r="B474" s="1" t="s">
        <v>1125</v>
      </c>
      <c r="C474" s="1" t="s">
        <v>25</v>
      </c>
      <c r="D474" s="1" t="s">
        <v>26</v>
      </c>
      <c r="E474" s="1" t="s">
        <v>1126</v>
      </c>
      <c r="F474" s="7" t="str">
        <f>IFERROR(INDEX(测试!H:H,MATCH(E474,测试!A:A,0)),1)</f>
        <v>-</v>
      </c>
    </row>
    <row r="475" spans="1:6" hidden="1" x14ac:dyDescent="0.3">
      <c r="A475" s="1" t="s">
        <v>2962</v>
      </c>
      <c r="B475" s="1" t="s">
        <v>1127</v>
      </c>
      <c r="C475" s="1" t="s">
        <v>27</v>
      </c>
      <c r="D475" s="1" t="s">
        <v>28</v>
      </c>
      <c r="E475" s="1" t="s">
        <v>1128</v>
      </c>
      <c r="F475" s="7" t="str">
        <f>IFERROR(INDEX(测试!H:H,MATCH(E475,测试!A:A,0)),1)</f>
        <v>-</v>
      </c>
    </row>
    <row r="476" spans="1:6" hidden="1" x14ac:dyDescent="0.3">
      <c r="A476" s="1" t="s">
        <v>2962</v>
      </c>
      <c r="B476" s="1" t="s">
        <v>1129</v>
      </c>
      <c r="C476" s="1" t="s">
        <v>29</v>
      </c>
      <c r="D476" s="1" t="s">
        <v>30</v>
      </c>
      <c r="E476" s="14" t="s">
        <v>3030</v>
      </c>
      <c r="F476" s="7" t="str">
        <f>IFERROR(INDEX(测试!H:H,MATCH(E476,测试!A:A,0)),1)</f>
        <v>-</v>
      </c>
    </row>
    <row r="477" spans="1:6" hidden="1" x14ac:dyDescent="0.3">
      <c r="A477" s="1" t="s">
        <v>2962</v>
      </c>
      <c r="B477" s="1" t="s">
        <v>1130</v>
      </c>
      <c r="C477" s="1" t="s">
        <v>31</v>
      </c>
      <c r="D477" s="1" t="s">
        <v>32</v>
      </c>
      <c r="E477" s="1" t="s">
        <v>1131</v>
      </c>
      <c r="F477" s="7" t="str">
        <f>IFERROR(INDEX(测试!H:H,MATCH(E477,测试!A:A,0)),1)</f>
        <v>-</v>
      </c>
    </row>
    <row r="478" spans="1:6" hidden="1" x14ac:dyDescent="0.3">
      <c r="A478" s="1" t="s">
        <v>2962</v>
      </c>
      <c r="B478" s="1" t="s">
        <v>1132</v>
      </c>
      <c r="C478" s="1" t="s">
        <v>33</v>
      </c>
      <c r="D478" s="1" t="s">
        <v>34</v>
      </c>
      <c r="E478" s="14" t="s">
        <v>3029</v>
      </c>
      <c r="F478" s="7" t="str">
        <f>IFERROR(INDEX(测试!H:H,MATCH(E478,测试!A:A,0)),1)</f>
        <v>-</v>
      </c>
    </row>
    <row r="479" spans="1:6" hidden="1" x14ac:dyDescent="0.3">
      <c r="A479" s="1" t="s">
        <v>2962</v>
      </c>
      <c r="B479" s="1" t="s">
        <v>1133</v>
      </c>
      <c r="C479" s="1" t="s">
        <v>35</v>
      </c>
      <c r="D479" s="1" t="s">
        <v>36</v>
      </c>
      <c r="E479" s="1" t="s">
        <v>1134</v>
      </c>
      <c r="F479" s="7" t="str">
        <f>IFERROR(INDEX(测试!H:H,MATCH(E479,测试!A:A,0)),1)</f>
        <v>-</v>
      </c>
    </row>
    <row r="480" spans="1:6" hidden="1" x14ac:dyDescent="0.3">
      <c r="A480" s="1" t="s">
        <v>2961</v>
      </c>
      <c r="B480" s="1" t="s">
        <v>1096</v>
      </c>
      <c r="C480" s="1" t="s">
        <v>1097</v>
      </c>
      <c r="D480" s="1" t="s">
        <v>1098</v>
      </c>
      <c r="E480" s="1" t="s">
        <v>1099</v>
      </c>
      <c r="F480" s="7" t="str">
        <f>IFERROR(INDEX(测试!H:H,MATCH(E480,测试!A:A,0)),1)</f>
        <v>-</v>
      </c>
    </row>
    <row r="481" spans="1:6" hidden="1" x14ac:dyDescent="0.3">
      <c r="A481" s="1" t="s">
        <v>2960</v>
      </c>
      <c r="B481" s="1" t="s">
        <v>1092</v>
      </c>
      <c r="C481" s="1" t="s">
        <v>1093</v>
      </c>
      <c r="D481" s="1" t="s">
        <v>1094</v>
      </c>
      <c r="E481" s="1" t="s">
        <v>1095</v>
      </c>
      <c r="F481" s="7" t="str">
        <f>IFERROR(INDEX(测试!H:H,MATCH(E481,测试!A:A,0)),1)</f>
        <v>文件名错误</v>
      </c>
    </row>
    <row r="482" spans="1:6" hidden="1" x14ac:dyDescent="0.3">
      <c r="A482" s="1" t="s">
        <v>2959</v>
      </c>
      <c r="B482" s="1" t="s">
        <v>1084</v>
      </c>
      <c r="C482" s="1" t="s">
        <v>1085</v>
      </c>
      <c r="D482" s="1" t="s">
        <v>1086</v>
      </c>
      <c r="E482" s="1" t="s">
        <v>1087</v>
      </c>
      <c r="F482" s="7" t="str">
        <f>IFERROR(INDEX(测试!H:H,MATCH(E482,测试!A:A,0)),1)</f>
        <v>-</v>
      </c>
    </row>
    <row r="483" spans="1:6" hidden="1" x14ac:dyDescent="0.3">
      <c r="A483" s="14" t="s">
        <v>3845</v>
      </c>
      <c r="B483" s="1" t="s">
        <v>1088</v>
      </c>
      <c r="C483" s="1" t="s">
        <v>1089</v>
      </c>
      <c r="D483" s="1" t="s">
        <v>1090</v>
      </c>
      <c r="E483" s="1" t="s">
        <v>1091</v>
      </c>
      <c r="F483" s="7" t="str">
        <f>IFERROR(INDEX(测试!H:H,MATCH(E483,测试!A:A,0)),1)</f>
        <v>-</v>
      </c>
    </row>
    <row r="484" spans="1:6" x14ac:dyDescent="0.3">
      <c r="A484" s="1" t="s">
        <v>2958</v>
      </c>
      <c r="B484" s="1" t="s">
        <v>1068</v>
      </c>
      <c r="C484" s="1" t="s">
        <v>1069</v>
      </c>
      <c r="D484" s="1" t="s">
        <v>1070</v>
      </c>
      <c r="E484" s="1" t="s">
        <v>1071</v>
      </c>
      <c r="F484" s="7" t="str">
        <f>IFERROR(INDEX(测试!H:H,MATCH(E484,测试!A:A,0)),1)</f>
        <v>文件名错误</v>
      </c>
    </row>
    <row r="485" spans="1:6" x14ac:dyDescent="0.3">
      <c r="A485" s="1" t="s">
        <v>2958</v>
      </c>
      <c r="B485" s="1" t="s">
        <v>1072</v>
      </c>
      <c r="C485" s="1" t="s">
        <v>1073</v>
      </c>
      <c r="D485" s="1" t="s">
        <v>1074</v>
      </c>
      <c r="E485" s="1" t="s">
        <v>1075</v>
      </c>
      <c r="F485" s="7" t="str">
        <f>IFERROR(INDEX(测试!H:H,MATCH(E485,测试!A:A,0)),1)</f>
        <v>文件名错误</v>
      </c>
    </row>
    <row r="486" spans="1:6" x14ac:dyDescent="0.3">
      <c r="A486" s="1" t="s">
        <v>2958</v>
      </c>
      <c r="B486" s="1" t="s">
        <v>1076</v>
      </c>
      <c r="C486" s="1" t="s">
        <v>1077</v>
      </c>
      <c r="D486" s="1" t="s">
        <v>1078</v>
      </c>
      <c r="E486" s="1" t="s">
        <v>1079</v>
      </c>
      <c r="F486" s="7" t="str">
        <f>IFERROR(INDEX(测试!H:H,MATCH(E486,测试!A:A,0)),1)</f>
        <v>文件名错误</v>
      </c>
    </row>
    <row r="487" spans="1:6" x14ac:dyDescent="0.3">
      <c r="A487" s="1" t="s">
        <v>2958</v>
      </c>
      <c r="B487" s="1" t="s">
        <v>1080</v>
      </c>
      <c r="C487" s="1" t="s">
        <v>1081</v>
      </c>
      <c r="D487" s="1" t="s">
        <v>1082</v>
      </c>
      <c r="E487" s="1" t="s">
        <v>1083</v>
      </c>
      <c r="F487" s="7" t="str">
        <f>IFERROR(INDEX(测试!H:H,MATCH(E487,测试!A:A,0)),1)</f>
        <v>文件名错误</v>
      </c>
    </row>
    <row r="488" spans="1:6" hidden="1" x14ac:dyDescent="0.3">
      <c r="A488" s="14" t="s">
        <v>3821</v>
      </c>
      <c r="B488" s="1" t="s">
        <v>844</v>
      </c>
      <c r="C488" s="1" t="s">
        <v>42</v>
      </c>
      <c r="D488" s="1" t="s">
        <v>43</v>
      </c>
      <c r="E488" s="1" t="s">
        <v>845</v>
      </c>
      <c r="F488" s="7" t="str">
        <f>IFERROR(INDEX(测试!H:H,MATCH(E488,测试!A:A,0)),1)</f>
        <v>-</v>
      </c>
    </row>
    <row r="489" spans="1:6" hidden="1" x14ac:dyDescent="0.3">
      <c r="A489" s="14" t="s">
        <v>3821</v>
      </c>
      <c r="B489" s="1" t="s">
        <v>846</v>
      </c>
      <c r="C489" s="1" t="s">
        <v>46</v>
      </c>
      <c r="D489" s="1" t="s">
        <v>47</v>
      </c>
      <c r="E489" s="1" t="s">
        <v>847</v>
      </c>
      <c r="F489" s="7" t="str">
        <f>IFERROR(INDEX(测试!H:H,MATCH(E489,测试!A:A,0)),1)</f>
        <v>-</v>
      </c>
    </row>
    <row r="490" spans="1:6" hidden="1" x14ac:dyDescent="0.3">
      <c r="A490" s="14" t="s">
        <v>3821</v>
      </c>
      <c r="B490" s="1" t="s">
        <v>848</v>
      </c>
      <c r="C490" s="1" t="s">
        <v>50</v>
      </c>
      <c r="D490" s="1" t="s">
        <v>51</v>
      </c>
      <c r="E490" s="1" t="s">
        <v>849</v>
      </c>
      <c r="F490" s="7" t="str">
        <f>IFERROR(INDEX(测试!H:H,MATCH(E490,测试!A:A,0)),1)</f>
        <v>-</v>
      </c>
    </row>
    <row r="491" spans="1:6" hidden="1" x14ac:dyDescent="0.3">
      <c r="A491" s="6" t="s">
        <v>3821</v>
      </c>
      <c r="B491" s="6" t="s">
        <v>850</v>
      </c>
      <c r="C491" s="6" t="s">
        <v>54</v>
      </c>
      <c r="D491" s="6" t="s">
        <v>55</v>
      </c>
      <c r="E491" s="6" t="s">
        <v>851</v>
      </c>
      <c r="F491" s="7" t="str">
        <f>IFERROR(INDEX(测试!H:H,MATCH(E491,测试!A:A,0)),1)</f>
        <v>-</v>
      </c>
    </row>
    <row r="492" spans="1:6" hidden="1" x14ac:dyDescent="0.3">
      <c r="A492" s="14" t="s">
        <v>3821</v>
      </c>
      <c r="B492" s="1" t="s">
        <v>852</v>
      </c>
      <c r="C492" s="1" t="s">
        <v>58</v>
      </c>
      <c r="D492" s="1" t="s">
        <v>59</v>
      </c>
      <c r="E492" s="14" t="s">
        <v>3028</v>
      </c>
      <c r="F492" s="7" t="str">
        <f>IFERROR(INDEX(测试!H:H,MATCH(E492,测试!A:A,0)),1)</f>
        <v>-</v>
      </c>
    </row>
    <row r="493" spans="1:6" hidden="1" x14ac:dyDescent="0.3">
      <c r="A493" s="14" t="s">
        <v>3821</v>
      </c>
      <c r="B493" s="1" t="s">
        <v>853</v>
      </c>
      <c r="C493" s="1" t="s">
        <v>62</v>
      </c>
      <c r="D493" s="1" t="s">
        <v>63</v>
      </c>
      <c r="E493" s="1" t="s">
        <v>854</v>
      </c>
      <c r="F493" s="7" t="str">
        <f>IFERROR(INDEX(测试!H:H,MATCH(E493,测试!A:A,0)),1)</f>
        <v>-</v>
      </c>
    </row>
    <row r="494" spans="1:6" hidden="1" x14ac:dyDescent="0.3">
      <c r="A494" s="14" t="s">
        <v>3821</v>
      </c>
      <c r="B494" s="1" t="s">
        <v>855</v>
      </c>
      <c r="C494" s="1" t="s">
        <v>66</v>
      </c>
      <c r="D494" s="1" t="s">
        <v>67</v>
      </c>
      <c r="E494" s="1" t="s">
        <v>856</v>
      </c>
      <c r="F494" s="7" t="str">
        <f>IFERROR(INDEX(测试!H:H,MATCH(E494,测试!A:A,0)),1)</f>
        <v>-</v>
      </c>
    </row>
    <row r="495" spans="1:6" hidden="1" x14ac:dyDescent="0.3">
      <c r="A495" s="14" t="s">
        <v>3821</v>
      </c>
      <c r="B495" s="1" t="s">
        <v>857</v>
      </c>
      <c r="C495" s="1" t="s">
        <v>70</v>
      </c>
      <c r="D495" s="1" t="s">
        <v>71</v>
      </c>
      <c r="E495" s="1" t="s">
        <v>858</v>
      </c>
      <c r="F495" s="7" t="str">
        <f>IFERROR(INDEX(测试!H:H,MATCH(E495,测试!A:A,0)),1)</f>
        <v>-</v>
      </c>
    </row>
    <row r="496" spans="1:6" hidden="1" x14ac:dyDescent="0.3">
      <c r="A496" s="14" t="s">
        <v>3821</v>
      </c>
      <c r="B496" s="1" t="s">
        <v>859</v>
      </c>
      <c r="C496" s="1" t="s">
        <v>74</v>
      </c>
      <c r="D496" s="1" t="s">
        <v>75</v>
      </c>
      <c r="E496" s="1" t="s">
        <v>860</v>
      </c>
      <c r="F496" s="7" t="str">
        <f>IFERROR(INDEX(测试!H:H,MATCH(E496,测试!A:A,0)),1)</f>
        <v>-</v>
      </c>
    </row>
    <row r="497" spans="1:6" hidden="1" x14ac:dyDescent="0.3">
      <c r="A497" s="14" t="s">
        <v>3821</v>
      </c>
      <c r="B497" s="1" t="s">
        <v>861</v>
      </c>
      <c r="C497" s="1" t="s">
        <v>78</v>
      </c>
      <c r="D497" s="1" t="s">
        <v>79</v>
      </c>
      <c r="E497" s="14" t="s">
        <v>3027</v>
      </c>
      <c r="F497" s="7" t="str">
        <f>IFERROR(INDEX(测试!H:H,MATCH(E497,测试!A:A,0)),1)</f>
        <v>-</v>
      </c>
    </row>
    <row r="498" spans="1:6" hidden="1" x14ac:dyDescent="0.3">
      <c r="A498" s="14" t="s">
        <v>3821</v>
      </c>
      <c r="B498" s="1" t="s">
        <v>862</v>
      </c>
      <c r="C498" s="1" t="s">
        <v>82</v>
      </c>
      <c r="D498" s="1" t="s">
        <v>83</v>
      </c>
      <c r="E498" s="1" t="s">
        <v>863</v>
      </c>
      <c r="F498" s="7" t="str">
        <f>IFERROR(INDEX(测试!H:H,MATCH(E498,测试!A:A,0)),1)</f>
        <v>-</v>
      </c>
    </row>
    <row r="499" spans="1:6" hidden="1" x14ac:dyDescent="0.3">
      <c r="A499" s="14" t="s">
        <v>3821</v>
      </c>
      <c r="B499" s="1" t="s">
        <v>864</v>
      </c>
      <c r="C499" s="1" t="s">
        <v>86</v>
      </c>
      <c r="D499" s="1" t="s">
        <v>87</v>
      </c>
      <c r="E499" s="1" t="s">
        <v>865</v>
      </c>
      <c r="F499" s="7" t="str">
        <f>IFERROR(INDEX(测试!H:H,MATCH(E499,测试!A:A,0)),1)</f>
        <v>-</v>
      </c>
    </row>
    <row r="500" spans="1:6" hidden="1" x14ac:dyDescent="0.3">
      <c r="A500" s="14" t="s">
        <v>3821</v>
      </c>
      <c r="B500" s="1" t="s">
        <v>866</v>
      </c>
      <c r="C500" s="1" t="s">
        <v>90</v>
      </c>
      <c r="D500" s="1" t="s">
        <v>91</v>
      </c>
      <c r="E500" s="1" t="s">
        <v>867</v>
      </c>
      <c r="F500" s="7" t="str">
        <f>IFERROR(INDEX(测试!H:H,MATCH(E500,测试!A:A,0)),1)</f>
        <v>-</v>
      </c>
    </row>
    <row r="501" spans="1:6" hidden="1" x14ac:dyDescent="0.3">
      <c r="A501" s="14" t="s">
        <v>3821</v>
      </c>
      <c r="B501" s="1" t="s">
        <v>868</v>
      </c>
      <c r="C501" s="1" t="s">
        <v>94</v>
      </c>
      <c r="D501" s="1" t="s">
        <v>95</v>
      </c>
      <c r="E501" s="1" t="s">
        <v>869</v>
      </c>
      <c r="F501" s="7" t="str">
        <f>IFERROR(INDEX(测试!H:H,MATCH(E501,测试!A:A,0)),1)</f>
        <v>-</v>
      </c>
    </row>
    <row r="502" spans="1:6" hidden="1" x14ac:dyDescent="0.3">
      <c r="A502" s="14" t="s">
        <v>3821</v>
      </c>
      <c r="B502" s="1" t="s">
        <v>870</v>
      </c>
      <c r="C502" s="1" t="s">
        <v>98</v>
      </c>
      <c r="D502" s="1" t="s">
        <v>99</v>
      </c>
      <c r="E502" s="14" t="s">
        <v>3026</v>
      </c>
      <c r="F502" s="7" t="str">
        <f>IFERROR(INDEX(测试!H:H,MATCH(E502,测试!A:A,0)),1)</f>
        <v>-</v>
      </c>
    </row>
    <row r="503" spans="1:6" hidden="1" x14ac:dyDescent="0.3">
      <c r="A503" s="14" t="s">
        <v>3821</v>
      </c>
      <c r="B503" s="1" t="s">
        <v>871</v>
      </c>
      <c r="C503" s="1" t="s">
        <v>102</v>
      </c>
      <c r="D503" s="1" t="s">
        <v>103</v>
      </c>
      <c r="E503" s="1" t="s">
        <v>872</v>
      </c>
      <c r="F503" s="7" t="str">
        <f>IFERROR(INDEX(测试!H:H,MATCH(E503,测试!A:A,0)),1)</f>
        <v>-</v>
      </c>
    </row>
    <row r="504" spans="1:6" hidden="1" x14ac:dyDescent="0.3">
      <c r="A504" s="14" t="s">
        <v>3821</v>
      </c>
      <c r="B504" s="1" t="s">
        <v>873</v>
      </c>
      <c r="C504" s="1" t="s">
        <v>106</v>
      </c>
      <c r="D504" s="1" t="s">
        <v>107</v>
      </c>
      <c r="E504" s="14" t="s">
        <v>3025</v>
      </c>
      <c r="F504" s="7" t="str">
        <f>IFERROR(INDEX(测试!H:H,MATCH(E504,测试!A:A,0)),1)</f>
        <v>-</v>
      </c>
    </row>
    <row r="505" spans="1:6" hidden="1" x14ac:dyDescent="0.3">
      <c r="A505" s="14" t="s">
        <v>3821</v>
      </c>
      <c r="B505" s="1" t="s">
        <v>874</v>
      </c>
      <c r="C505" s="1" t="s">
        <v>110</v>
      </c>
      <c r="D505" s="1" t="s">
        <v>111</v>
      </c>
      <c r="E505" s="1" t="s">
        <v>875</v>
      </c>
      <c r="F505" s="7" t="str">
        <f>IFERROR(INDEX(测试!H:H,MATCH(E505,测试!A:A,0)),1)</f>
        <v>-</v>
      </c>
    </row>
    <row r="506" spans="1:6" hidden="1" x14ac:dyDescent="0.3">
      <c r="A506" s="14" t="s">
        <v>3821</v>
      </c>
      <c r="B506" s="1" t="s">
        <v>876</v>
      </c>
      <c r="C506" s="1" t="s">
        <v>114</v>
      </c>
      <c r="D506" s="1" t="s">
        <v>115</v>
      </c>
      <c r="E506" s="1" t="s">
        <v>877</v>
      </c>
      <c r="F506" s="7" t="str">
        <f>IFERROR(INDEX(测试!H:H,MATCH(E506,测试!A:A,0)),1)</f>
        <v>-</v>
      </c>
    </row>
    <row r="507" spans="1:6" hidden="1" x14ac:dyDescent="0.3">
      <c r="A507" s="14" t="s">
        <v>3821</v>
      </c>
      <c r="B507" s="1" t="s">
        <v>878</v>
      </c>
      <c r="C507" s="1" t="s">
        <v>118</v>
      </c>
      <c r="D507" s="1" t="s">
        <v>119</v>
      </c>
      <c r="E507" s="1" t="s">
        <v>879</v>
      </c>
      <c r="F507" s="7" t="str">
        <f>IFERROR(INDEX(测试!H:H,MATCH(E507,测试!A:A,0)),1)</f>
        <v>-</v>
      </c>
    </row>
    <row r="508" spans="1:6" hidden="1" x14ac:dyDescent="0.3">
      <c r="A508" s="14" t="s">
        <v>3821</v>
      </c>
      <c r="B508" s="1" t="s">
        <v>880</v>
      </c>
      <c r="C508" s="1" t="s">
        <v>122</v>
      </c>
      <c r="D508" s="1" t="s">
        <v>123</v>
      </c>
      <c r="E508" s="1" t="s">
        <v>881</v>
      </c>
      <c r="F508" s="7" t="str">
        <f>IFERROR(INDEX(测试!H:H,MATCH(E508,测试!A:A,0)),1)</f>
        <v>-</v>
      </c>
    </row>
    <row r="509" spans="1:6" hidden="1" x14ac:dyDescent="0.3">
      <c r="A509" s="14" t="s">
        <v>3821</v>
      </c>
      <c r="B509" s="1" t="s">
        <v>882</v>
      </c>
      <c r="C509" s="1" t="s">
        <v>126</v>
      </c>
      <c r="D509" s="1" t="s">
        <v>127</v>
      </c>
      <c r="E509" s="14" t="s">
        <v>3024</v>
      </c>
      <c r="F509" s="7" t="str">
        <f>IFERROR(INDEX(测试!H:H,MATCH(E509,测试!A:A,0)),1)</f>
        <v>-</v>
      </c>
    </row>
    <row r="510" spans="1:6" hidden="1" x14ac:dyDescent="0.3">
      <c r="A510" s="14" t="s">
        <v>3821</v>
      </c>
      <c r="B510" s="1" t="s">
        <v>883</v>
      </c>
      <c r="C510" s="1" t="s">
        <v>130</v>
      </c>
      <c r="D510" s="1" t="s">
        <v>131</v>
      </c>
      <c r="E510" s="1" t="s">
        <v>884</v>
      </c>
      <c r="F510" s="7" t="str">
        <f>IFERROR(INDEX(测试!H:H,MATCH(E510,测试!A:A,0)),1)</f>
        <v>-</v>
      </c>
    </row>
    <row r="511" spans="1:6" hidden="1" x14ac:dyDescent="0.3">
      <c r="A511" s="14" t="s">
        <v>3821</v>
      </c>
      <c r="B511" s="1" t="s">
        <v>885</v>
      </c>
      <c r="C511" s="1" t="s">
        <v>134</v>
      </c>
      <c r="D511" s="1" t="s">
        <v>135</v>
      </c>
      <c r="E511" s="1" t="s">
        <v>886</v>
      </c>
      <c r="F511" s="7" t="str">
        <f>IFERROR(INDEX(测试!H:H,MATCH(E511,测试!A:A,0)),1)</f>
        <v>-</v>
      </c>
    </row>
    <row r="512" spans="1:6" hidden="1" x14ac:dyDescent="0.3">
      <c r="A512" s="14" t="s">
        <v>3821</v>
      </c>
      <c r="B512" s="1" t="s">
        <v>887</v>
      </c>
      <c r="C512" s="1" t="s">
        <v>138</v>
      </c>
      <c r="D512" s="1" t="s">
        <v>139</v>
      </c>
      <c r="E512" s="1" t="s">
        <v>888</v>
      </c>
      <c r="F512" s="7" t="str">
        <f>IFERROR(INDEX(测试!H:H,MATCH(E512,测试!A:A,0)),1)</f>
        <v>-</v>
      </c>
    </row>
    <row r="513" spans="1:6" hidden="1" x14ac:dyDescent="0.3">
      <c r="A513" s="14" t="s">
        <v>3821</v>
      </c>
      <c r="B513" s="1" t="s">
        <v>889</v>
      </c>
      <c r="C513" s="1" t="s">
        <v>142</v>
      </c>
      <c r="D513" s="1" t="s">
        <v>143</v>
      </c>
      <c r="E513" s="1" t="s">
        <v>890</v>
      </c>
      <c r="F513" s="7" t="str">
        <f>IFERROR(INDEX(测试!H:H,MATCH(E513,测试!A:A,0)),1)</f>
        <v>-</v>
      </c>
    </row>
    <row r="514" spans="1:6" hidden="1" x14ac:dyDescent="0.3">
      <c r="A514" s="14" t="s">
        <v>3821</v>
      </c>
      <c r="B514" s="1" t="s">
        <v>891</v>
      </c>
      <c r="C514" s="1" t="s">
        <v>146</v>
      </c>
      <c r="D514" s="1" t="s">
        <v>147</v>
      </c>
      <c r="E514" s="1" t="s">
        <v>892</v>
      </c>
      <c r="F514" s="7" t="str">
        <f>IFERROR(INDEX(测试!H:H,MATCH(E514,测试!A:A,0)),1)</f>
        <v>-</v>
      </c>
    </row>
    <row r="515" spans="1:6" hidden="1" x14ac:dyDescent="0.3">
      <c r="A515" s="14" t="s">
        <v>3821</v>
      </c>
      <c r="B515" s="1" t="s">
        <v>893</v>
      </c>
      <c r="C515" s="1" t="s">
        <v>150</v>
      </c>
      <c r="D515" s="1" t="s">
        <v>151</v>
      </c>
      <c r="E515" s="1" t="s">
        <v>894</v>
      </c>
      <c r="F515" s="7" t="str">
        <f>IFERROR(INDEX(测试!H:H,MATCH(E515,测试!A:A,0)),1)</f>
        <v>-</v>
      </c>
    </row>
    <row r="516" spans="1:6" hidden="1" x14ac:dyDescent="0.3">
      <c r="A516" s="14" t="s">
        <v>3821</v>
      </c>
      <c r="B516" s="1" t="s">
        <v>895</v>
      </c>
      <c r="C516" s="1" t="s">
        <v>154</v>
      </c>
      <c r="D516" s="1" t="s">
        <v>155</v>
      </c>
      <c r="E516" s="1" t="s">
        <v>896</v>
      </c>
      <c r="F516" s="7" t="str">
        <f>IFERROR(INDEX(测试!H:H,MATCH(E516,测试!A:A,0)),1)</f>
        <v>-</v>
      </c>
    </row>
    <row r="517" spans="1:6" hidden="1" x14ac:dyDescent="0.3">
      <c r="A517" s="14" t="s">
        <v>3821</v>
      </c>
      <c r="B517" s="1" t="s">
        <v>897</v>
      </c>
      <c r="C517" s="1" t="s">
        <v>158</v>
      </c>
      <c r="D517" s="1" t="s">
        <v>159</v>
      </c>
      <c r="E517" s="1" t="s">
        <v>898</v>
      </c>
      <c r="F517" s="7" t="str">
        <f>IFERROR(INDEX(测试!H:H,MATCH(E517,测试!A:A,0)),1)</f>
        <v>-</v>
      </c>
    </row>
    <row r="518" spans="1:6" hidden="1" x14ac:dyDescent="0.3">
      <c r="A518" s="14" t="s">
        <v>3821</v>
      </c>
      <c r="B518" s="1" t="s">
        <v>899</v>
      </c>
      <c r="C518" s="1" t="s">
        <v>162</v>
      </c>
      <c r="D518" s="1" t="s">
        <v>163</v>
      </c>
      <c r="E518" s="1" t="s">
        <v>900</v>
      </c>
      <c r="F518" s="7" t="str">
        <f>IFERROR(INDEX(测试!H:H,MATCH(E518,测试!A:A,0)),1)</f>
        <v>-</v>
      </c>
    </row>
    <row r="519" spans="1:6" hidden="1" x14ac:dyDescent="0.3">
      <c r="A519" s="14" t="s">
        <v>3821</v>
      </c>
      <c r="B519" s="1" t="s">
        <v>901</v>
      </c>
      <c r="C519" s="1" t="s">
        <v>166</v>
      </c>
      <c r="D519" s="1" t="s">
        <v>167</v>
      </c>
      <c r="E519" s="1" t="s">
        <v>902</v>
      </c>
      <c r="F519" s="7" t="str">
        <f>IFERROR(INDEX(测试!H:H,MATCH(E519,测试!A:A,0)),1)</f>
        <v>-</v>
      </c>
    </row>
    <row r="520" spans="1:6" hidden="1" x14ac:dyDescent="0.3">
      <c r="A520" s="14" t="s">
        <v>3821</v>
      </c>
      <c r="B520" s="1" t="s">
        <v>903</v>
      </c>
      <c r="C520" s="1" t="s">
        <v>170</v>
      </c>
      <c r="D520" s="1" t="s">
        <v>171</v>
      </c>
      <c r="E520" s="1" t="s">
        <v>904</v>
      </c>
      <c r="F520" s="7" t="str">
        <f>IFERROR(INDEX(测试!H:H,MATCH(E520,测试!A:A,0)),1)</f>
        <v>-</v>
      </c>
    </row>
    <row r="521" spans="1:6" hidden="1" x14ac:dyDescent="0.3">
      <c r="A521" s="14" t="s">
        <v>3821</v>
      </c>
      <c r="B521" s="1" t="s">
        <v>905</v>
      </c>
      <c r="C521" s="1" t="s">
        <v>174</v>
      </c>
      <c r="D521" s="1" t="s">
        <v>175</v>
      </c>
      <c r="E521" s="14" t="s">
        <v>3023</v>
      </c>
      <c r="F521" s="7" t="str">
        <f>IFERROR(INDEX(测试!H:H,MATCH(E521,测试!A:A,0)),1)</f>
        <v>-</v>
      </c>
    </row>
    <row r="522" spans="1:6" hidden="1" x14ac:dyDescent="0.3">
      <c r="A522" s="14" t="s">
        <v>3821</v>
      </c>
      <c r="B522" s="1" t="s">
        <v>906</v>
      </c>
      <c r="C522" s="1" t="s">
        <v>178</v>
      </c>
      <c r="D522" s="1" t="s">
        <v>179</v>
      </c>
      <c r="E522" s="1" t="s">
        <v>907</v>
      </c>
      <c r="F522" s="7" t="str">
        <f>IFERROR(INDEX(测试!H:H,MATCH(E522,测试!A:A,0)),1)</f>
        <v>-</v>
      </c>
    </row>
    <row r="523" spans="1:6" hidden="1" x14ac:dyDescent="0.3">
      <c r="A523" s="14" t="s">
        <v>3821</v>
      </c>
      <c r="B523" s="1" t="s">
        <v>908</v>
      </c>
      <c r="C523" s="1" t="s">
        <v>182</v>
      </c>
      <c r="D523" s="1" t="s">
        <v>183</v>
      </c>
      <c r="E523" s="1" t="s">
        <v>909</v>
      </c>
      <c r="F523" s="7" t="str">
        <f>IFERROR(INDEX(测试!H:H,MATCH(E523,测试!A:A,0)),1)</f>
        <v>-</v>
      </c>
    </row>
    <row r="524" spans="1:6" hidden="1" x14ac:dyDescent="0.3">
      <c r="A524" s="14" t="s">
        <v>3821</v>
      </c>
      <c r="B524" s="1" t="s">
        <v>910</v>
      </c>
      <c r="C524" s="1" t="s">
        <v>186</v>
      </c>
      <c r="D524" s="1" t="s">
        <v>187</v>
      </c>
      <c r="E524" s="1" t="s">
        <v>911</v>
      </c>
      <c r="F524" s="7" t="str">
        <f>IFERROR(INDEX(测试!H:H,MATCH(E524,测试!A:A,0)),1)</f>
        <v>-</v>
      </c>
    </row>
    <row r="525" spans="1:6" hidden="1" x14ac:dyDescent="0.3">
      <c r="A525" s="14" t="s">
        <v>3821</v>
      </c>
      <c r="B525" s="1" t="s">
        <v>912</v>
      </c>
      <c r="C525" s="1" t="s">
        <v>190</v>
      </c>
      <c r="D525" s="1" t="s">
        <v>191</v>
      </c>
      <c r="E525" s="1" t="s">
        <v>913</v>
      </c>
      <c r="F525" s="7" t="str">
        <f>IFERROR(INDEX(测试!H:H,MATCH(E525,测试!A:A,0)),1)</f>
        <v>-</v>
      </c>
    </row>
    <row r="526" spans="1:6" hidden="1" x14ac:dyDescent="0.3">
      <c r="A526" s="14" t="s">
        <v>3821</v>
      </c>
      <c r="B526" s="1" t="s">
        <v>914</v>
      </c>
      <c r="C526" s="1" t="s">
        <v>194</v>
      </c>
      <c r="D526" s="1" t="s">
        <v>195</v>
      </c>
      <c r="E526" s="1" t="s">
        <v>915</v>
      </c>
      <c r="F526" s="7" t="str">
        <f>IFERROR(INDEX(测试!H:H,MATCH(E526,测试!A:A,0)),1)</f>
        <v>-</v>
      </c>
    </row>
    <row r="527" spans="1:6" hidden="1" x14ac:dyDescent="0.3">
      <c r="A527" s="14" t="s">
        <v>3821</v>
      </c>
      <c r="B527" s="1" t="s">
        <v>916</v>
      </c>
      <c r="C527" s="1" t="s">
        <v>198</v>
      </c>
      <c r="D527" s="1" t="s">
        <v>199</v>
      </c>
      <c r="E527" s="1" t="s">
        <v>917</v>
      </c>
      <c r="F527" s="7" t="str">
        <f>IFERROR(INDEX(测试!H:H,MATCH(E527,测试!A:A,0)),1)</f>
        <v>-</v>
      </c>
    </row>
    <row r="528" spans="1:6" hidden="1" x14ac:dyDescent="0.3">
      <c r="A528" s="14" t="s">
        <v>3821</v>
      </c>
      <c r="B528" s="1" t="s">
        <v>918</v>
      </c>
      <c r="C528" s="1" t="s">
        <v>201</v>
      </c>
      <c r="D528" s="1" t="s">
        <v>202</v>
      </c>
      <c r="E528" s="1" t="s">
        <v>919</v>
      </c>
      <c r="F528" s="7" t="str">
        <f>IFERROR(INDEX(测试!H:H,MATCH(E528,测试!A:A,0)),1)</f>
        <v>-</v>
      </c>
    </row>
    <row r="529" spans="1:6" hidden="1" x14ac:dyDescent="0.3">
      <c r="A529" s="14" t="s">
        <v>3821</v>
      </c>
      <c r="B529" s="1" t="s">
        <v>920</v>
      </c>
      <c r="C529" s="1" t="s">
        <v>205</v>
      </c>
      <c r="D529" s="1" t="s">
        <v>206</v>
      </c>
      <c r="E529" s="1" t="s">
        <v>921</v>
      </c>
      <c r="F529" s="7" t="str">
        <f>IFERROR(INDEX(测试!H:H,MATCH(E529,测试!A:A,0)),1)</f>
        <v>-</v>
      </c>
    </row>
    <row r="530" spans="1:6" hidden="1" x14ac:dyDescent="0.3">
      <c r="A530" s="14" t="s">
        <v>3821</v>
      </c>
      <c r="B530" s="1" t="s">
        <v>922</v>
      </c>
      <c r="C530" s="1" t="s">
        <v>208</v>
      </c>
      <c r="D530" s="1" t="s">
        <v>209</v>
      </c>
      <c r="E530" s="1" t="s">
        <v>923</v>
      </c>
      <c r="F530" s="7" t="str">
        <f>IFERROR(INDEX(测试!H:H,MATCH(E530,测试!A:A,0)),1)</f>
        <v>-</v>
      </c>
    </row>
    <row r="531" spans="1:6" hidden="1" x14ac:dyDescent="0.3">
      <c r="A531" s="14" t="s">
        <v>3821</v>
      </c>
      <c r="B531" s="1" t="s">
        <v>924</v>
      </c>
      <c r="C531" s="1" t="s">
        <v>212</v>
      </c>
      <c r="D531" s="1" t="s">
        <v>213</v>
      </c>
      <c r="E531" s="1" t="s">
        <v>925</v>
      </c>
      <c r="F531" s="7" t="str">
        <f>IFERROR(INDEX(测试!H:H,MATCH(E531,测试!A:A,0)),1)</f>
        <v>-</v>
      </c>
    </row>
    <row r="532" spans="1:6" hidden="1" x14ac:dyDescent="0.3">
      <c r="A532" s="14" t="s">
        <v>3821</v>
      </c>
      <c r="B532" s="1" t="s">
        <v>926</v>
      </c>
      <c r="C532" s="1" t="s">
        <v>216</v>
      </c>
      <c r="D532" s="1" t="s">
        <v>217</v>
      </c>
      <c r="E532" s="1" t="s">
        <v>927</v>
      </c>
      <c r="F532" s="7" t="str">
        <f>IFERROR(INDEX(测试!H:H,MATCH(E532,测试!A:A,0)),1)</f>
        <v>-</v>
      </c>
    </row>
    <row r="533" spans="1:6" hidden="1" x14ac:dyDescent="0.3">
      <c r="A533" s="14" t="s">
        <v>3821</v>
      </c>
      <c r="B533" s="1" t="s">
        <v>928</v>
      </c>
      <c r="C533" s="1" t="s">
        <v>220</v>
      </c>
      <c r="D533" s="1" t="s">
        <v>221</v>
      </c>
      <c r="E533" s="1" t="s">
        <v>929</v>
      </c>
      <c r="F533" s="7" t="str">
        <f>IFERROR(INDEX(测试!H:H,MATCH(E533,测试!A:A,0)),1)</f>
        <v>-</v>
      </c>
    </row>
    <row r="534" spans="1:6" hidden="1" x14ac:dyDescent="0.3">
      <c r="A534" s="14" t="s">
        <v>3821</v>
      </c>
      <c r="B534" s="1" t="s">
        <v>930</v>
      </c>
      <c r="C534" s="1" t="s">
        <v>224</v>
      </c>
      <c r="D534" s="1" t="s">
        <v>225</v>
      </c>
      <c r="E534" s="1" t="s">
        <v>931</v>
      </c>
      <c r="F534" s="7" t="str">
        <f>IFERROR(INDEX(测试!H:H,MATCH(E534,测试!A:A,0)),1)</f>
        <v>-</v>
      </c>
    </row>
    <row r="535" spans="1:6" hidden="1" x14ac:dyDescent="0.3">
      <c r="A535" s="14" t="s">
        <v>3821</v>
      </c>
      <c r="B535" s="1" t="s">
        <v>932</v>
      </c>
      <c r="C535" s="1" t="s">
        <v>228</v>
      </c>
      <c r="D535" s="1" t="s">
        <v>229</v>
      </c>
      <c r="E535" s="1" t="s">
        <v>933</v>
      </c>
      <c r="F535" s="7" t="str">
        <f>IFERROR(INDEX(测试!H:H,MATCH(E535,测试!A:A,0)),1)</f>
        <v>-</v>
      </c>
    </row>
    <row r="536" spans="1:6" hidden="1" x14ac:dyDescent="0.3">
      <c r="A536" s="14" t="s">
        <v>3821</v>
      </c>
      <c r="B536" s="1" t="s">
        <v>934</v>
      </c>
      <c r="C536" s="1" t="s">
        <v>232</v>
      </c>
      <c r="D536" s="1" t="s">
        <v>233</v>
      </c>
      <c r="E536" s="1" t="s">
        <v>935</v>
      </c>
      <c r="F536" s="7" t="str">
        <f>IFERROR(INDEX(测试!H:H,MATCH(E536,测试!A:A,0)),1)</f>
        <v>-</v>
      </c>
    </row>
    <row r="537" spans="1:6" hidden="1" x14ac:dyDescent="0.3">
      <c r="A537" s="14" t="s">
        <v>3821</v>
      </c>
      <c r="B537" s="1" t="s">
        <v>936</v>
      </c>
      <c r="C537" s="1" t="s">
        <v>236</v>
      </c>
      <c r="D537" s="1" t="s">
        <v>237</v>
      </c>
      <c r="E537" s="1" t="s">
        <v>937</v>
      </c>
      <c r="F537" s="7" t="str">
        <f>IFERROR(INDEX(测试!H:H,MATCH(E537,测试!A:A,0)),1)</f>
        <v>-</v>
      </c>
    </row>
    <row r="538" spans="1:6" hidden="1" x14ac:dyDescent="0.3">
      <c r="A538" s="14" t="s">
        <v>3821</v>
      </c>
      <c r="B538" s="1" t="s">
        <v>938</v>
      </c>
      <c r="C538" s="1" t="s">
        <v>240</v>
      </c>
      <c r="D538" s="1" t="s">
        <v>241</v>
      </c>
      <c r="E538" s="1" t="s">
        <v>939</v>
      </c>
      <c r="F538" s="7" t="str">
        <f>IFERROR(INDEX(测试!H:H,MATCH(E538,测试!A:A,0)),1)</f>
        <v>-</v>
      </c>
    </row>
    <row r="539" spans="1:6" hidden="1" x14ac:dyDescent="0.3">
      <c r="A539" s="14" t="s">
        <v>3821</v>
      </c>
      <c r="B539" s="1" t="s">
        <v>940</v>
      </c>
      <c r="C539" s="1" t="s">
        <v>244</v>
      </c>
      <c r="D539" s="1" t="s">
        <v>245</v>
      </c>
      <c r="E539" s="1" t="s">
        <v>941</v>
      </c>
      <c r="F539" s="7" t="str">
        <f>IFERROR(INDEX(测试!H:H,MATCH(E539,测试!A:A,0)),1)</f>
        <v>-</v>
      </c>
    </row>
    <row r="540" spans="1:6" hidden="1" x14ac:dyDescent="0.3">
      <c r="A540" s="14" t="s">
        <v>3821</v>
      </c>
      <c r="B540" s="1" t="s">
        <v>942</v>
      </c>
      <c r="C540" s="1" t="s">
        <v>248</v>
      </c>
      <c r="D540" s="1" t="s">
        <v>249</v>
      </c>
      <c r="E540" s="1" t="s">
        <v>943</v>
      </c>
      <c r="F540" s="7" t="str">
        <f>IFERROR(INDEX(测试!H:H,MATCH(E540,测试!A:A,0)),1)</f>
        <v>-</v>
      </c>
    </row>
    <row r="541" spans="1:6" hidden="1" x14ac:dyDescent="0.3">
      <c r="A541" s="14" t="s">
        <v>3821</v>
      </c>
      <c r="B541" s="1" t="s">
        <v>944</v>
      </c>
      <c r="C541" s="1" t="s">
        <v>252</v>
      </c>
      <c r="D541" s="1" t="s">
        <v>253</v>
      </c>
      <c r="E541" s="1" t="s">
        <v>945</v>
      </c>
      <c r="F541" s="7" t="str">
        <f>IFERROR(INDEX(测试!H:H,MATCH(E541,测试!A:A,0)),1)</f>
        <v>-</v>
      </c>
    </row>
    <row r="542" spans="1:6" hidden="1" x14ac:dyDescent="0.3">
      <c r="A542" s="14" t="s">
        <v>3821</v>
      </c>
      <c r="B542" s="1" t="s">
        <v>946</v>
      </c>
      <c r="C542" s="1" t="s">
        <v>256</v>
      </c>
      <c r="D542" s="1" t="s">
        <v>257</v>
      </c>
      <c r="E542" s="1" t="s">
        <v>947</v>
      </c>
      <c r="F542" s="7" t="str">
        <f>IFERROR(INDEX(测试!H:H,MATCH(E542,测试!A:A,0)),1)</f>
        <v>-</v>
      </c>
    </row>
    <row r="543" spans="1:6" hidden="1" x14ac:dyDescent="0.3">
      <c r="A543" s="14" t="s">
        <v>3821</v>
      </c>
      <c r="B543" s="1" t="s">
        <v>948</v>
      </c>
      <c r="C543" s="1" t="s">
        <v>260</v>
      </c>
      <c r="D543" s="1" t="s">
        <v>261</v>
      </c>
      <c r="E543" s="1" t="s">
        <v>949</v>
      </c>
      <c r="F543" s="7" t="str">
        <f>IFERROR(INDEX(测试!H:H,MATCH(E543,测试!A:A,0)),1)</f>
        <v>-</v>
      </c>
    </row>
    <row r="544" spans="1:6" hidden="1" x14ac:dyDescent="0.3">
      <c r="A544" s="14" t="s">
        <v>3821</v>
      </c>
      <c r="B544" s="1" t="s">
        <v>950</v>
      </c>
      <c r="C544" s="1" t="s">
        <v>264</v>
      </c>
      <c r="D544" s="1" t="s">
        <v>265</v>
      </c>
      <c r="E544" s="1" t="s">
        <v>951</v>
      </c>
      <c r="F544" s="7" t="str">
        <f>IFERROR(INDEX(测试!H:H,MATCH(E544,测试!A:A,0)),1)</f>
        <v>-</v>
      </c>
    </row>
    <row r="545" spans="1:6" hidden="1" x14ac:dyDescent="0.3">
      <c r="A545" s="14" t="s">
        <v>3821</v>
      </c>
      <c r="B545" s="1" t="s">
        <v>952</v>
      </c>
      <c r="C545" s="1" t="s">
        <v>268</v>
      </c>
      <c r="D545" s="1" t="s">
        <v>269</v>
      </c>
      <c r="E545" s="1" t="s">
        <v>953</v>
      </c>
      <c r="F545" s="7" t="str">
        <f>IFERROR(INDEX(测试!H:H,MATCH(E545,测试!A:A,0)),1)</f>
        <v>-</v>
      </c>
    </row>
    <row r="546" spans="1:6" hidden="1" x14ac:dyDescent="0.3">
      <c r="A546" s="14" t="s">
        <v>3821</v>
      </c>
      <c r="B546" s="1" t="s">
        <v>954</v>
      </c>
      <c r="C546" s="1" t="s">
        <v>272</v>
      </c>
      <c r="D546" s="1" t="s">
        <v>273</v>
      </c>
      <c r="E546" s="1" t="s">
        <v>955</v>
      </c>
      <c r="F546" s="7" t="str">
        <f>IFERROR(INDEX(测试!H:H,MATCH(E546,测试!A:A,0)),1)</f>
        <v>-</v>
      </c>
    </row>
    <row r="547" spans="1:6" hidden="1" x14ac:dyDescent="0.3">
      <c r="A547" s="14" t="s">
        <v>3821</v>
      </c>
      <c r="B547" s="1" t="s">
        <v>956</v>
      </c>
      <c r="C547" s="1" t="s">
        <v>276</v>
      </c>
      <c r="D547" s="1" t="s">
        <v>277</v>
      </c>
      <c r="E547" s="1" t="s">
        <v>957</v>
      </c>
      <c r="F547" s="7" t="str">
        <f>IFERROR(INDEX(测试!H:H,MATCH(E547,测试!A:A,0)),1)</f>
        <v>-</v>
      </c>
    </row>
    <row r="548" spans="1:6" hidden="1" x14ac:dyDescent="0.3">
      <c r="A548" s="14" t="s">
        <v>3821</v>
      </c>
      <c r="B548" s="1" t="s">
        <v>958</v>
      </c>
      <c r="C548" s="1" t="s">
        <v>280</v>
      </c>
      <c r="D548" s="1" t="s">
        <v>281</v>
      </c>
      <c r="E548" s="1" t="s">
        <v>959</v>
      </c>
      <c r="F548" s="7" t="str">
        <f>IFERROR(INDEX(测试!H:H,MATCH(E548,测试!A:A,0)),1)</f>
        <v>-</v>
      </c>
    </row>
    <row r="549" spans="1:6" hidden="1" x14ac:dyDescent="0.3">
      <c r="A549" s="14" t="s">
        <v>3821</v>
      </c>
      <c r="B549" s="1" t="s">
        <v>960</v>
      </c>
      <c r="C549" s="1" t="s">
        <v>284</v>
      </c>
      <c r="D549" s="1" t="s">
        <v>285</v>
      </c>
      <c r="E549" s="1" t="s">
        <v>961</v>
      </c>
      <c r="F549" s="7" t="str">
        <f>IFERROR(INDEX(测试!H:H,MATCH(E549,测试!A:A,0)),1)</f>
        <v>-</v>
      </c>
    </row>
    <row r="550" spans="1:6" hidden="1" x14ac:dyDescent="0.3">
      <c r="A550" s="14" t="s">
        <v>3821</v>
      </c>
      <c r="B550" s="1" t="s">
        <v>962</v>
      </c>
      <c r="C550" s="1" t="s">
        <v>288</v>
      </c>
      <c r="D550" s="1" t="s">
        <v>289</v>
      </c>
      <c r="E550" s="1" t="s">
        <v>963</v>
      </c>
      <c r="F550" s="7" t="str">
        <f>IFERROR(INDEX(测试!H:H,MATCH(E550,测试!A:A,0)),1)</f>
        <v>-</v>
      </c>
    </row>
    <row r="551" spans="1:6" hidden="1" x14ac:dyDescent="0.3">
      <c r="A551" s="14" t="s">
        <v>3821</v>
      </c>
      <c r="B551" s="1" t="s">
        <v>964</v>
      </c>
      <c r="C551" s="1" t="s">
        <v>292</v>
      </c>
      <c r="D551" s="1" t="s">
        <v>293</v>
      </c>
      <c r="E551" s="1" t="s">
        <v>965</v>
      </c>
      <c r="F551" s="7" t="str">
        <f>IFERROR(INDEX(测试!H:H,MATCH(E551,测试!A:A,0)),1)</f>
        <v>-</v>
      </c>
    </row>
    <row r="552" spans="1:6" hidden="1" x14ac:dyDescent="0.3">
      <c r="A552" s="14" t="s">
        <v>3821</v>
      </c>
      <c r="B552" s="1" t="s">
        <v>966</v>
      </c>
      <c r="C552" s="1" t="s">
        <v>296</v>
      </c>
      <c r="D552" s="1" t="s">
        <v>297</v>
      </c>
      <c r="E552" s="1" t="s">
        <v>967</v>
      </c>
      <c r="F552" s="7" t="str">
        <f>IFERROR(INDEX(测试!H:H,MATCH(E552,测试!A:A,0)),1)</f>
        <v>-</v>
      </c>
    </row>
    <row r="553" spans="1:6" hidden="1" x14ac:dyDescent="0.3">
      <c r="A553" s="14" t="s">
        <v>3821</v>
      </c>
      <c r="B553" s="1" t="s">
        <v>968</v>
      </c>
      <c r="C553" s="1" t="s">
        <v>300</v>
      </c>
      <c r="D553" s="1" t="s">
        <v>301</v>
      </c>
      <c r="E553" s="1" t="s">
        <v>969</v>
      </c>
      <c r="F553" s="7" t="str">
        <f>IFERROR(INDEX(测试!H:H,MATCH(E553,测试!A:A,0)),1)</f>
        <v>-</v>
      </c>
    </row>
    <row r="554" spans="1:6" hidden="1" x14ac:dyDescent="0.3">
      <c r="A554" s="14" t="s">
        <v>3821</v>
      </c>
      <c r="B554" s="1" t="s">
        <v>970</v>
      </c>
      <c r="C554" s="1" t="s">
        <v>304</v>
      </c>
      <c r="D554" s="1" t="s">
        <v>305</v>
      </c>
      <c r="E554" s="1" t="s">
        <v>971</v>
      </c>
      <c r="F554" s="7" t="str">
        <f>IFERROR(INDEX(测试!H:H,MATCH(E554,测试!A:A,0)),1)</f>
        <v>-</v>
      </c>
    </row>
    <row r="555" spans="1:6" hidden="1" x14ac:dyDescent="0.3">
      <c r="A555" s="14" t="s">
        <v>3821</v>
      </c>
      <c r="B555" s="1" t="s">
        <v>972</v>
      </c>
      <c r="C555" s="1" t="s">
        <v>308</v>
      </c>
      <c r="D555" s="1" t="s">
        <v>309</v>
      </c>
      <c r="E555" s="1" t="s">
        <v>973</v>
      </c>
      <c r="F555" s="7" t="str">
        <f>IFERROR(INDEX(测试!H:H,MATCH(E555,测试!A:A,0)),1)</f>
        <v>-</v>
      </c>
    </row>
    <row r="556" spans="1:6" hidden="1" x14ac:dyDescent="0.3">
      <c r="A556" s="14" t="s">
        <v>3821</v>
      </c>
      <c r="B556" s="1" t="s">
        <v>974</v>
      </c>
      <c r="C556" s="1" t="s">
        <v>312</v>
      </c>
      <c r="D556" s="1" t="s">
        <v>313</v>
      </c>
      <c r="E556" s="1" t="s">
        <v>975</v>
      </c>
      <c r="F556" s="7" t="str">
        <f>IFERROR(INDEX(测试!H:H,MATCH(E556,测试!A:A,0)),1)</f>
        <v>-</v>
      </c>
    </row>
    <row r="557" spans="1:6" hidden="1" x14ac:dyDescent="0.3">
      <c r="A557" s="14" t="s">
        <v>3821</v>
      </c>
      <c r="B557" s="1" t="s">
        <v>976</v>
      </c>
      <c r="C557" s="1" t="s">
        <v>316</v>
      </c>
      <c r="D557" s="1" t="s">
        <v>317</v>
      </c>
      <c r="E557" s="1" t="s">
        <v>977</v>
      </c>
      <c r="F557" s="7" t="str">
        <f>IFERROR(INDEX(测试!H:H,MATCH(E557,测试!A:A,0)),1)</f>
        <v>-</v>
      </c>
    </row>
    <row r="558" spans="1:6" hidden="1" x14ac:dyDescent="0.3">
      <c r="A558" s="14" t="s">
        <v>3821</v>
      </c>
      <c r="B558" s="1" t="s">
        <v>978</v>
      </c>
      <c r="C558" s="1" t="s">
        <v>320</v>
      </c>
      <c r="D558" s="1" t="s">
        <v>321</v>
      </c>
      <c r="E558" s="1" t="s">
        <v>979</v>
      </c>
      <c r="F558" s="7" t="str">
        <f>IFERROR(INDEX(测试!H:H,MATCH(E558,测试!A:A,0)),1)</f>
        <v>-</v>
      </c>
    </row>
    <row r="559" spans="1:6" hidden="1" x14ac:dyDescent="0.3">
      <c r="A559" s="14" t="s">
        <v>3821</v>
      </c>
      <c r="B559" s="1" t="s">
        <v>980</v>
      </c>
      <c r="C559" s="1" t="s">
        <v>324</v>
      </c>
      <c r="D559" s="1" t="s">
        <v>325</v>
      </c>
      <c r="E559" s="1" t="s">
        <v>981</v>
      </c>
      <c r="F559" s="7" t="str">
        <f>IFERROR(INDEX(测试!H:H,MATCH(E559,测试!A:A,0)),1)</f>
        <v>-</v>
      </c>
    </row>
    <row r="560" spans="1:6" hidden="1" x14ac:dyDescent="0.3">
      <c r="A560" s="14" t="s">
        <v>3821</v>
      </c>
      <c r="B560" s="1" t="s">
        <v>982</v>
      </c>
      <c r="C560" s="1" t="s">
        <v>328</v>
      </c>
      <c r="D560" s="1" t="s">
        <v>329</v>
      </c>
      <c r="E560" s="1" t="s">
        <v>983</v>
      </c>
      <c r="F560" s="7" t="str">
        <f>IFERROR(INDEX(测试!H:H,MATCH(E560,测试!A:A,0)),1)</f>
        <v>-</v>
      </c>
    </row>
    <row r="561" spans="1:6" hidden="1" x14ac:dyDescent="0.3">
      <c r="A561" s="14" t="s">
        <v>3821</v>
      </c>
      <c r="B561" s="1" t="s">
        <v>984</v>
      </c>
      <c r="C561" s="1" t="s">
        <v>332</v>
      </c>
      <c r="D561" s="1" t="s">
        <v>333</v>
      </c>
      <c r="E561" s="1" t="s">
        <v>985</v>
      </c>
      <c r="F561" s="7" t="str">
        <f>IFERROR(INDEX(测试!H:H,MATCH(E561,测试!A:A,0)),1)</f>
        <v>-</v>
      </c>
    </row>
    <row r="562" spans="1:6" hidden="1" x14ac:dyDescent="0.3">
      <c r="A562" s="14" t="s">
        <v>3821</v>
      </c>
      <c r="B562" s="1" t="s">
        <v>986</v>
      </c>
      <c r="C562" s="1" t="s">
        <v>336</v>
      </c>
      <c r="D562" s="1" t="s">
        <v>337</v>
      </c>
      <c r="E562" s="1" t="s">
        <v>987</v>
      </c>
      <c r="F562" s="7" t="str">
        <f>IFERROR(INDEX(测试!H:H,MATCH(E562,测试!A:A,0)),1)</f>
        <v>-</v>
      </c>
    </row>
    <row r="563" spans="1:6" hidden="1" x14ac:dyDescent="0.3">
      <c r="A563" s="14" t="s">
        <v>3821</v>
      </c>
      <c r="B563" s="1" t="s">
        <v>988</v>
      </c>
      <c r="C563" s="1" t="s">
        <v>340</v>
      </c>
      <c r="D563" s="1" t="s">
        <v>341</v>
      </c>
      <c r="E563" s="1" t="s">
        <v>989</v>
      </c>
      <c r="F563" s="7" t="str">
        <f>IFERROR(INDEX(测试!H:H,MATCH(E563,测试!A:A,0)),1)</f>
        <v>-</v>
      </c>
    </row>
    <row r="564" spans="1:6" hidden="1" x14ac:dyDescent="0.3">
      <c r="A564" s="14" t="s">
        <v>3821</v>
      </c>
      <c r="B564" s="1" t="s">
        <v>990</v>
      </c>
      <c r="C564" s="1" t="s">
        <v>344</v>
      </c>
      <c r="D564" s="1" t="s">
        <v>345</v>
      </c>
      <c r="E564" s="1" t="s">
        <v>991</v>
      </c>
      <c r="F564" s="7" t="str">
        <f>IFERROR(INDEX(测试!H:H,MATCH(E564,测试!A:A,0)),1)</f>
        <v>-</v>
      </c>
    </row>
    <row r="565" spans="1:6" hidden="1" x14ac:dyDescent="0.3">
      <c r="A565" s="14" t="s">
        <v>3821</v>
      </c>
      <c r="B565" s="1" t="s">
        <v>992</v>
      </c>
      <c r="C565" s="1" t="s">
        <v>348</v>
      </c>
      <c r="D565" s="1" t="s">
        <v>349</v>
      </c>
      <c r="E565" s="1" t="s">
        <v>993</v>
      </c>
      <c r="F565" s="7" t="str">
        <f>IFERROR(INDEX(测试!H:H,MATCH(E565,测试!A:A,0)),1)</f>
        <v>-</v>
      </c>
    </row>
    <row r="566" spans="1:6" hidden="1" x14ac:dyDescent="0.3">
      <c r="A566" s="14" t="s">
        <v>3821</v>
      </c>
      <c r="B566" s="1" t="s">
        <v>994</v>
      </c>
      <c r="C566" s="1" t="s">
        <v>352</v>
      </c>
      <c r="D566" s="1" t="s">
        <v>353</v>
      </c>
      <c r="E566" s="1" t="s">
        <v>995</v>
      </c>
      <c r="F566" s="7" t="str">
        <f>IFERROR(INDEX(测试!H:H,MATCH(E566,测试!A:A,0)),1)</f>
        <v>-</v>
      </c>
    </row>
    <row r="567" spans="1:6" hidden="1" x14ac:dyDescent="0.3">
      <c r="A567" s="14" t="s">
        <v>3821</v>
      </c>
      <c r="B567" s="1" t="s">
        <v>996</v>
      </c>
      <c r="C567" s="1" t="s">
        <v>356</v>
      </c>
      <c r="D567" s="1" t="s">
        <v>357</v>
      </c>
      <c r="E567" s="1" t="s">
        <v>997</v>
      </c>
      <c r="F567" s="7" t="str">
        <f>IFERROR(INDEX(测试!H:H,MATCH(E567,测试!A:A,0)),1)</f>
        <v>-</v>
      </c>
    </row>
    <row r="568" spans="1:6" hidden="1" x14ac:dyDescent="0.3">
      <c r="A568" s="14" t="s">
        <v>3821</v>
      </c>
      <c r="B568" s="1" t="s">
        <v>998</v>
      </c>
      <c r="C568" s="1" t="s">
        <v>360</v>
      </c>
      <c r="D568" s="1" t="s">
        <v>361</v>
      </c>
      <c r="E568" s="1" t="s">
        <v>999</v>
      </c>
      <c r="F568" s="7" t="str">
        <f>IFERROR(INDEX(测试!H:H,MATCH(E568,测试!A:A,0)),1)</f>
        <v>-</v>
      </c>
    </row>
    <row r="569" spans="1:6" hidden="1" x14ac:dyDescent="0.3">
      <c r="A569" s="14" t="s">
        <v>3821</v>
      </c>
      <c r="B569" s="1" t="s">
        <v>1000</v>
      </c>
      <c r="C569" s="1" t="s">
        <v>364</v>
      </c>
      <c r="D569" s="1" t="s">
        <v>365</v>
      </c>
      <c r="E569" s="1" t="s">
        <v>1001</v>
      </c>
      <c r="F569" s="7" t="str">
        <f>IFERROR(INDEX(测试!H:H,MATCH(E569,测试!A:A,0)),1)</f>
        <v>-</v>
      </c>
    </row>
    <row r="570" spans="1:6" hidden="1" x14ac:dyDescent="0.3">
      <c r="A570" s="14" t="s">
        <v>3821</v>
      </c>
      <c r="B570" s="1" t="s">
        <v>1002</v>
      </c>
      <c r="C570" s="1" t="s">
        <v>368</v>
      </c>
      <c r="D570" s="1" t="s">
        <v>369</v>
      </c>
      <c r="E570" s="14" t="s">
        <v>3022</v>
      </c>
      <c r="F570" s="7" t="str">
        <f>IFERROR(INDEX(测试!H:H,MATCH(E570,测试!A:A,0)),1)</f>
        <v>-</v>
      </c>
    </row>
    <row r="571" spans="1:6" hidden="1" x14ac:dyDescent="0.3">
      <c r="A571" s="14" t="s">
        <v>3821</v>
      </c>
      <c r="B571" s="1" t="s">
        <v>1003</v>
      </c>
      <c r="C571" s="1" t="s">
        <v>372</v>
      </c>
      <c r="D571" s="1" t="s">
        <v>373</v>
      </c>
      <c r="E571" s="1" t="s">
        <v>1004</v>
      </c>
      <c r="F571" s="7" t="str">
        <f>IFERROR(INDEX(测试!H:H,MATCH(E571,测试!A:A,0)),1)</f>
        <v>-</v>
      </c>
    </row>
    <row r="572" spans="1:6" hidden="1" x14ac:dyDescent="0.3">
      <c r="A572" s="14" t="s">
        <v>3821</v>
      </c>
      <c r="B572" s="1" t="s">
        <v>1005</v>
      </c>
      <c r="C572" s="1" t="s">
        <v>376</v>
      </c>
      <c r="D572" s="1" t="s">
        <v>377</v>
      </c>
      <c r="E572" s="1" t="s">
        <v>1006</v>
      </c>
      <c r="F572" s="7" t="str">
        <f>IFERROR(INDEX(测试!H:H,MATCH(E572,测试!A:A,0)),1)</f>
        <v>-</v>
      </c>
    </row>
    <row r="573" spans="1:6" hidden="1" x14ac:dyDescent="0.3">
      <c r="A573" s="14" t="s">
        <v>3821</v>
      </c>
      <c r="B573" s="1" t="s">
        <v>1007</v>
      </c>
      <c r="C573" s="1" t="s">
        <v>380</v>
      </c>
      <c r="D573" s="1" t="s">
        <v>381</v>
      </c>
      <c r="E573" s="1" t="s">
        <v>1008</v>
      </c>
      <c r="F573" s="7" t="str">
        <f>IFERROR(INDEX(测试!H:H,MATCH(E573,测试!A:A,0)),1)</f>
        <v>-</v>
      </c>
    </row>
    <row r="574" spans="1:6" hidden="1" x14ac:dyDescent="0.3">
      <c r="A574" s="14" t="s">
        <v>3821</v>
      </c>
      <c r="B574" s="1" t="s">
        <v>1009</v>
      </c>
      <c r="C574" s="1" t="s">
        <v>384</v>
      </c>
      <c r="D574" s="1" t="s">
        <v>385</v>
      </c>
      <c r="E574" s="1" t="s">
        <v>1010</v>
      </c>
      <c r="F574" s="7" t="str">
        <f>IFERROR(INDEX(测试!H:H,MATCH(E574,测试!A:A,0)),1)</f>
        <v>-</v>
      </c>
    </row>
    <row r="575" spans="1:6" hidden="1" x14ac:dyDescent="0.3">
      <c r="A575" s="14" t="s">
        <v>3821</v>
      </c>
      <c r="B575" s="1" t="s">
        <v>1011</v>
      </c>
      <c r="C575" s="1" t="s">
        <v>388</v>
      </c>
      <c r="D575" s="1" t="s">
        <v>389</v>
      </c>
      <c r="E575" s="1" t="s">
        <v>1012</v>
      </c>
      <c r="F575" s="7" t="str">
        <f>IFERROR(INDEX(测试!H:H,MATCH(E575,测试!A:A,0)),1)</f>
        <v>-</v>
      </c>
    </row>
    <row r="576" spans="1:6" hidden="1" x14ac:dyDescent="0.3">
      <c r="A576" s="14" t="s">
        <v>3821</v>
      </c>
      <c r="B576" s="1" t="s">
        <v>1013</v>
      </c>
      <c r="C576" s="1" t="s">
        <v>392</v>
      </c>
      <c r="D576" s="1" t="s">
        <v>393</v>
      </c>
      <c r="E576" s="1" t="s">
        <v>1014</v>
      </c>
      <c r="F576" s="7" t="str">
        <f>IFERROR(INDEX(测试!H:H,MATCH(E576,测试!A:A,0)),1)</f>
        <v>-</v>
      </c>
    </row>
    <row r="577" spans="1:6" hidden="1" x14ac:dyDescent="0.3">
      <c r="A577" s="14" t="s">
        <v>3821</v>
      </c>
      <c r="B577" s="1" t="s">
        <v>1015</v>
      </c>
      <c r="C577" s="1" t="s">
        <v>396</v>
      </c>
      <c r="D577" s="1" t="s">
        <v>397</v>
      </c>
      <c r="E577" s="1" t="s">
        <v>1016</v>
      </c>
      <c r="F577" s="7" t="str">
        <f>IFERROR(INDEX(测试!H:H,MATCH(E577,测试!A:A,0)),1)</f>
        <v>-</v>
      </c>
    </row>
    <row r="578" spans="1:6" hidden="1" x14ac:dyDescent="0.3">
      <c r="A578" s="1" t="s">
        <v>2957</v>
      </c>
      <c r="B578" s="1" t="s">
        <v>1061</v>
      </c>
      <c r="C578" s="1" t="s">
        <v>10</v>
      </c>
      <c r="D578" s="1" t="s">
        <v>1062</v>
      </c>
      <c r="E578" s="1" t="s">
        <v>1063</v>
      </c>
      <c r="F578" s="7" t="str">
        <f>IFERROR(INDEX(测试!H:H,MATCH(E578,测试!A:A,0)),1)</f>
        <v>-</v>
      </c>
    </row>
    <row r="579" spans="1:6" hidden="1" x14ac:dyDescent="0.3">
      <c r="A579" s="1" t="s">
        <v>2957</v>
      </c>
      <c r="B579" s="1" t="s">
        <v>1064</v>
      </c>
      <c r="C579" s="1" t="s">
        <v>1065</v>
      </c>
      <c r="D579" s="1" t="s">
        <v>1066</v>
      </c>
      <c r="E579" s="1" t="s">
        <v>1067</v>
      </c>
      <c r="F579" s="7" t="str">
        <f>IFERROR(INDEX(测试!H:H,MATCH(E579,测试!A:A,0)),1)</f>
        <v>-</v>
      </c>
    </row>
    <row r="580" spans="1:6" hidden="1" x14ac:dyDescent="0.3">
      <c r="A580" s="1" t="s">
        <v>2956</v>
      </c>
      <c r="B580" s="1" t="s">
        <v>1017</v>
      </c>
      <c r="C580" s="1" t="s">
        <v>2</v>
      </c>
      <c r="D580" s="1" t="s">
        <v>3</v>
      </c>
      <c r="E580" s="1" t="s">
        <v>1018</v>
      </c>
      <c r="F580" s="7" t="str">
        <f>IFERROR(INDEX(测试!H:H,MATCH(E580,测试!A:A,0)),1)</f>
        <v>-</v>
      </c>
    </row>
    <row r="581" spans="1:6" hidden="1" x14ac:dyDescent="0.3">
      <c r="A581" s="1" t="s">
        <v>2956</v>
      </c>
      <c r="B581" s="1" t="s">
        <v>1019</v>
      </c>
      <c r="C581" s="1" t="s">
        <v>4</v>
      </c>
      <c r="D581" s="1" t="s">
        <v>5</v>
      </c>
      <c r="E581" s="1" t="s">
        <v>1020</v>
      </c>
      <c r="F581" s="7" t="str">
        <f>IFERROR(INDEX(测试!H:H,MATCH(E581,测试!A:A,0)),1)</f>
        <v>-</v>
      </c>
    </row>
    <row r="582" spans="1:6" hidden="1" x14ac:dyDescent="0.3">
      <c r="A582" s="1" t="s">
        <v>2956</v>
      </c>
      <c r="B582" s="1" t="s">
        <v>1021</v>
      </c>
      <c r="C582" s="1" t="s">
        <v>6</v>
      </c>
      <c r="D582" s="1" t="s">
        <v>7</v>
      </c>
      <c r="E582" s="1" t="s">
        <v>1022</v>
      </c>
      <c r="F582" s="7" t="str">
        <f>IFERROR(INDEX(测试!H:H,MATCH(E582,测试!A:A,0)),1)</f>
        <v>-</v>
      </c>
    </row>
    <row r="583" spans="1:6" hidden="1" x14ac:dyDescent="0.3">
      <c r="A583" s="1" t="s">
        <v>2956</v>
      </c>
      <c r="B583" s="1" t="s">
        <v>1023</v>
      </c>
      <c r="C583" s="1" t="s">
        <v>8</v>
      </c>
      <c r="D583" s="1" t="s">
        <v>9</v>
      </c>
      <c r="E583" s="1" t="s">
        <v>1024</v>
      </c>
      <c r="F583" s="7" t="str">
        <f>IFERROR(INDEX(测试!H:H,MATCH(E583,测试!A:A,0)),1)</f>
        <v>-</v>
      </c>
    </row>
    <row r="584" spans="1:6" hidden="1" x14ac:dyDescent="0.3">
      <c r="A584" s="1" t="s">
        <v>2956</v>
      </c>
      <c r="B584" s="1" t="s">
        <v>1025</v>
      </c>
      <c r="C584" s="1" t="s">
        <v>408</v>
      </c>
      <c r="D584" s="1" t="s">
        <v>409</v>
      </c>
      <c r="E584" s="1" t="s">
        <v>1026</v>
      </c>
      <c r="F584" s="7" t="str">
        <f>IFERROR(INDEX(测试!H:H,MATCH(E584,测试!A:A,0)),1)</f>
        <v>-</v>
      </c>
    </row>
    <row r="585" spans="1:6" hidden="1" x14ac:dyDescent="0.3">
      <c r="A585" s="1" t="s">
        <v>2956</v>
      </c>
      <c r="B585" s="1" t="s">
        <v>1027</v>
      </c>
      <c r="C585" s="1" t="s">
        <v>412</v>
      </c>
      <c r="D585" s="1" t="s">
        <v>413</v>
      </c>
      <c r="E585" s="1" t="s">
        <v>1028</v>
      </c>
      <c r="F585" s="7" t="str">
        <f>IFERROR(INDEX(测试!H:H,MATCH(E585,测试!A:A,0)),1)</f>
        <v>-</v>
      </c>
    </row>
    <row r="586" spans="1:6" hidden="1" x14ac:dyDescent="0.3">
      <c r="A586" s="1" t="s">
        <v>2956</v>
      </c>
      <c r="B586" s="1" t="s">
        <v>1029</v>
      </c>
      <c r="C586" s="1" t="s">
        <v>416</v>
      </c>
      <c r="D586" s="1" t="s">
        <v>1030</v>
      </c>
      <c r="E586" s="1" t="s">
        <v>1031</v>
      </c>
      <c r="F586" s="7" t="str">
        <f>IFERROR(INDEX(测试!H:H,MATCH(E586,测试!A:A,0)),1)</f>
        <v>-</v>
      </c>
    </row>
    <row r="587" spans="1:6" hidden="1" x14ac:dyDescent="0.3">
      <c r="A587" s="1" t="s">
        <v>2956</v>
      </c>
      <c r="B587" s="1" t="s">
        <v>1032</v>
      </c>
      <c r="C587" s="1" t="s">
        <v>420</v>
      </c>
      <c r="D587" s="1" t="s">
        <v>1033</v>
      </c>
      <c r="E587" s="14" t="s">
        <v>3021</v>
      </c>
      <c r="F587" s="7" t="str">
        <f>IFERROR(INDEX(测试!H:H,MATCH(E587,测试!A:A,0)),1)</f>
        <v>-</v>
      </c>
    </row>
    <row r="588" spans="1:6" hidden="1" x14ac:dyDescent="0.3">
      <c r="A588" s="1" t="s">
        <v>2956</v>
      </c>
      <c r="B588" s="1" t="s">
        <v>1034</v>
      </c>
      <c r="C588" s="1" t="s">
        <v>1035</v>
      </c>
      <c r="D588" s="1" t="s">
        <v>1036</v>
      </c>
      <c r="E588" s="14" t="s">
        <v>3004</v>
      </c>
      <c r="F588" s="7" t="str">
        <f>IFERROR(INDEX(测试!H:H,MATCH(E588,测试!A:A,0)),1)</f>
        <v>-</v>
      </c>
    </row>
    <row r="589" spans="1:6" hidden="1" x14ac:dyDescent="0.3">
      <c r="A589" s="1" t="s">
        <v>2956</v>
      </c>
      <c r="B589" s="1" t="s">
        <v>1037</v>
      </c>
      <c r="C589" s="1" t="s">
        <v>1038</v>
      </c>
      <c r="D589" s="1" t="s">
        <v>1039</v>
      </c>
      <c r="E589" s="1" t="s">
        <v>1040</v>
      </c>
      <c r="F589" s="7" t="str">
        <f>IFERROR(INDEX(测试!H:H,MATCH(E589,测试!A:A,0)),1)</f>
        <v>-</v>
      </c>
    </row>
    <row r="590" spans="1:6" hidden="1" x14ac:dyDescent="0.3">
      <c r="A590" s="1" t="s">
        <v>2956</v>
      </c>
      <c r="B590" s="1" t="s">
        <v>1041</v>
      </c>
      <c r="C590" s="1" t="s">
        <v>1042</v>
      </c>
      <c r="D590" s="1" t="s">
        <v>1043</v>
      </c>
      <c r="E590" s="1" t="s">
        <v>1044</v>
      </c>
      <c r="F590" s="7" t="str">
        <f>IFERROR(INDEX(测试!H:H,MATCH(E590,测试!A:A,0)),1)</f>
        <v>-</v>
      </c>
    </row>
    <row r="591" spans="1:6" hidden="1" x14ac:dyDescent="0.3">
      <c r="A591" s="1" t="s">
        <v>2956</v>
      </c>
      <c r="B591" s="1" t="s">
        <v>1045</v>
      </c>
      <c r="C591" s="1" t="s">
        <v>1046</v>
      </c>
      <c r="D591" s="1" t="s">
        <v>1047</v>
      </c>
      <c r="E591" s="1" t="s">
        <v>1048</v>
      </c>
      <c r="F591" s="7" t="str">
        <f>IFERROR(INDEX(测试!H:H,MATCH(E591,测试!A:A,0)),1)</f>
        <v>-</v>
      </c>
    </row>
    <row r="592" spans="1:6" hidden="1" x14ac:dyDescent="0.3">
      <c r="A592" s="1" t="s">
        <v>2956</v>
      </c>
      <c r="B592" s="1" t="s">
        <v>1049</v>
      </c>
      <c r="C592" s="1" t="s">
        <v>1050</v>
      </c>
      <c r="D592" s="1" t="s">
        <v>1051</v>
      </c>
      <c r="E592" s="1" t="s">
        <v>1052</v>
      </c>
      <c r="F592" s="7" t="str">
        <f>IFERROR(INDEX(测试!H:H,MATCH(E592,测试!A:A,0)),1)</f>
        <v>-</v>
      </c>
    </row>
    <row r="593" spans="1:6" hidden="1" x14ac:dyDescent="0.3">
      <c r="A593" s="1" t="s">
        <v>2956</v>
      </c>
      <c r="B593" s="1" t="s">
        <v>1053</v>
      </c>
      <c r="C593" s="1" t="s">
        <v>1054</v>
      </c>
      <c r="D593" s="1" t="s">
        <v>1055</v>
      </c>
      <c r="E593" s="1" t="s">
        <v>1056</v>
      </c>
      <c r="F593" s="7" t="str">
        <f>IFERROR(INDEX(测试!H:H,MATCH(E593,测试!A:A,0)),1)</f>
        <v>-</v>
      </c>
    </row>
    <row r="594" spans="1:6" hidden="1" x14ac:dyDescent="0.3">
      <c r="A594" s="1" t="s">
        <v>2956</v>
      </c>
      <c r="B594" s="1" t="s">
        <v>1057</v>
      </c>
      <c r="C594" s="1" t="s">
        <v>1058</v>
      </c>
      <c r="D594" s="1" t="s">
        <v>1059</v>
      </c>
      <c r="E594" s="1" t="s">
        <v>1060</v>
      </c>
      <c r="F594" s="7" t="str">
        <f>IFERROR(INDEX(测试!H:H,MATCH(E594,测试!A:A,0)),1)</f>
        <v>-</v>
      </c>
    </row>
    <row r="595" spans="1:6" hidden="1" x14ac:dyDescent="0.3">
      <c r="A595" s="1" t="s">
        <v>2954</v>
      </c>
      <c r="B595" s="1" t="s">
        <v>820</v>
      </c>
      <c r="C595" s="1" t="s">
        <v>821</v>
      </c>
      <c r="D595" s="1" t="s">
        <v>822</v>
      </c>
      <c r="E595" s="1" t="s">
        <v>823</v>
      </c>
      <c r="F595" s="7" t="str">
        <f>IFERROR(INDEX(测试!H:H,MATCH(E595,测试!A:A,0)),1)</f>
        <v>-</v>
      </c>
    </row>
    <row r="596" spans="1:6" hidden="1" x14ac:dyDescent="0.3">
      <c r="A596" s="1" t="s">
        <v>2954</v>
      </c>
      <c r="B596" s="1" t="s">
        <v>824</v>
      </c>
      <c r="C596" s="1" t="s">
        <v>825</v>
      </c>
      <c r="D596" s="1" t="s">
        <v>826</v>
      </c>
      <c r="E596" s="1" t="s">
        <v>827</v>
      </c>
      <c r="F596" s="7" t="str">
        <f>IFERROR(INDEX(测试!H:H,MATCH(E596,测试!A:A,0)),1)</f>
        <v>-</v>
      </c>
    </row>
    <row r="597" spans="1:6" hidden="1" x14ac:dyDescent="0.3">
      <c r="A597" s="1" t="s">
        <v>2954</v>
      </c>
      <c r="B597" s="1" t="s">
        <v>828</v>
      </c>
      <c r="C597" s="1" t="s">
        <v>829</v>
      </c>
      <c r="D597" s="1" t="s">
        <v>830</v>
      </c>
      <c r="E597" s="1" t="s">
        <v>831</v>
      </c>
      <c r="F597" s="7" t="str">
        <f>IFERROR(INDEX(测试!H:H,MATCH(E597,测试!A:A,0)),1)</f>
        <v>文件名错误</v>
      </c>
    </row>
    <row r="598" spans="1:6" hidden="1" x14ac:dyDescent="0.3">
      <c r="A598" s="1" t="s">
        <v>2954</v>
      </c>
      <c r="B598" s="1" t="s">
        <v>832</v>
      </c>
      <c r="C598" s="1" t="s">
        <v>833</v>
      </c>
      <c r="D598" s="1" t="s">
        <v>834</v>
      </c>
      <c r="E598" s="1" t="s">
        <v>835</v>
      </c>
      <c r="F598" s="7" t="str">
        <f>IFERROR(INDEX(测试!H:H,MATCH(E598,测试!A:A,0)),1)</f>
        <v>-</v>
      </c>
    </row>
    <row r="599" spans="1:6" hidden="1" x14ac:dyDescent="0.3">
      <c r="A599" s="1" t="s">
        <v>2954</v>
      </c>
      <c r="B599" s="1" t="s">
        <v>836</v>
      </c>
      <c r="C599" s="1" t="s">
        <v>837</v>
      </c>
      <c r="D599" s="1" t="s">
        <v>838</v>
      </c>
      <c r="E599" s="1" t="s">
        <v>839</v>
      </c>
      <c r="F599" s="7" t="str">
        <f>IFERROR(INDEX(测试!H:H,MATCH(E599,测试!A:A,0)),1)</f>
        <v>-</v>
      </c>
    </row>
    <row r="600" spans="1:6" hidden="1" x14ac:dyDescent="0.3">
      <c r="A600" s="1" t="s">
        <v>2954</v>
      </c>
      <c r="B600" s="1" t="s">
        <v>840</v>
      </c>
      <c r="C600" s="1" t="s">
        <v>841</v>
      </c>
      <c r="D600" s="1" t="s">
        <v>842</v>
      </c>
      <c r="E600" s="1" t="s">
        <v>843</v>
      </c>
      <c r="F600" s="7" t="str">
        <f>IFERROR(INDEX(测试!H:H,MATCH(E600,测试!A:A,0)),1)</f>
        <v>-</v>
      </c>
    </row>
    <row r="601" spans="1:6" hidden="1" x14ac:dyDescent="0.3">
      <c r="A601" s="1" t="s">
        <v>2953</v>
      </c>
      <c r="B601" s="1" t="s">
        <v>816</v>
      </c>
      <c r="C601" s="1" t="s">
        <v>817</v>
      </c>
      <c r="D601" s="1" t="s">
        <v>818</v>
      </c>
      <c r="E601" s="1" t="s">
        <v>819</v>
      </c>
      <c r="F601" s="7" t="str">
        <f>IFERROR(INDEX(测试!H:H,MATCH(E601,测试!A:A,0)),1)</f>
        <v>-</v>
      </c>
    </row>
    <row r="602" spans="1:6" hidden="1" x14ac:dyDescent="0.3">
      <c r="A602" s="1" t="s">
        <v>2952</v>
      </c>
      <c r="B602" s="1" t="s">
        <v>812</v>
      </c>
      <c r="C602" s="1" t="s">
        <v>813</v>
      </c>
      <c r="D602" s="1" t="s">
        <v>814</v>
      </c>
      <c r="E602" s="1" t="s">
        <v>815</v>
      </c>
      <c r="F602" s="7" t="str">
        <f>IFERROR(INDEX(测试!H:H,MATCH(E602,测试!A:A,0)),1)</f>
        <v>-</v>
      </c>
    </row>
    <row r="603" spans="1:6" hidden="1" x14ac:dyDescent="0.3">
      <c r="A603" s="1" t="s">
        <v>2973</v>
      </c>
      <c r="B603" s="1" t="s">
        <v>423</v>
      </c>
      <c r="C603" s="1" t="s">
        <v>424</v>
      </c>
      <c r="D603" s="1" t="s">
        <v>425</v>
      </c>
      <c r="E603" s="1" t="s">
        <v>426</v>
      </c>
      <c r="F603" s="7" t="str">
        <f>IFERROR(INDEX(测试!H:H,MATCH(E603,测试!A:A,0)),1)</f>
        <v>-</v>
      </c>
    </row>
    <row r="604" spans="1:6" hidden="1" x14ac:dyDescent="0.3">
      <c r="A604" s="1" t="s">
        <v>2973</v>
      </c>
      <c r="B604" s="1" t="s">
        <v>427</v>
      </c>
      <c r="C604" s="1" t="s">
        <v>424</v>
      </c>
      <c r="D604" s="1" t="s">
        <v>428</v>
      </c>
      <c r="E604" s="1" t="s">
        <v>429</v>
      </c>
      <c r="F604" s="7" t="str">
        <f>IFERROR(INDEX(测试!H:H,MATCH(E604,测试!A:A,0)),1)</f>
        <v>-</v>
      </c>
    </row>
    <row r="605" spans="1:6" hidden="1" x14ac:dyDescent="0.3">
      <c r="A605" s="1" t="s">
        <v>2973</v>
      </c>
      <c r="B605" s="1" t="s">
        <v>430</v>
      </c>
      <c r="C605" s="1" t="s">
        <v>424</v>
      </c>
      <c r="D605" s="1" t="s">
        <v>428</v>
      </c>
      <c r="E605" s="1" t="s">
        <v>431</v>
      </c>
      <c r="F605" s="7" t="str">
        <f>IFERROR(INDEX(测试!H:H,MATCH(E605,测试!A:A,0)),1)</f>
        <v>-</v>
      </c>
    </row>
    <row r="606" spans="1:6" hidden="1" x14ac:dyDescent="0.3">
      <c r="A606" s="1" t="s">
        <v>2973</v>
      </c>
      <c r="B606" s="1" t="s">
        <v>432</v>
      </c>
      <c r="C606" s="1" t="s">
        <v>424</v>
      </c>
      <c r="D606" s="1" t="s">
        <v>428</v>
      </c>
      <c r="E606" s="1" t="s">
        <v>433</v>
      </c>
      <c r="F606" s="7" t="str">
        <f>IFERROR(INDEX(测试!H:H,MATCH(E606,测试!A:A,0)),1)</f>
        <v>-</v>
      </c>
    </row>
    <row r="607" spans="1:6" hidden="1" x14ac:dyDescent="0.3">
      <c r="A607" s="1" t="s">
        <v>2973</v>
      </c>
      <c r="B607" s="1" t="s">
        <v>434</v>
      </c>
      <c r="C607" s="1" t="s">
        <v>424</v>
      </c>
      <c r="D607" s="1" t="s">
        <v>428</v>
      </c>
      <c r="E607" s="1" t="s">
        <v>435</v>
      </c>
      <c r="F607" s="7" t="str">
        <f>IFERROR(INDEX(测试!H:H,MATCH(E607,测试!A:A,0)),1)</f>
        <v>-</v>
      </c>
    </row>
    <row r="608" spans="1:6" hidden="1" x14ac:dyDescent="0.3">
      <c r="A608" s="1" t="s">
        <v>2973</v>
      </c>
      <c r="B608" s="1" t="s">
        <v>436</v>
      </c>
      <c r="C608" s="1" t="s">
        <v>424</v>
      </c>
      <c r="D608" s="1" t="s">
        <v>428</v>
      </c>
      <c r="E608" s="1" t="s">
        <v>437</v>
      </c>
      <c r="F608" s="7" t="str">
        <f>IFERROR(INDEX(测试!H:H,MATCH(E608,测试!A:A,0)),1)</f>
        <v>-</v>
      </c>
    </row>
    <row r="609" spans="1:6" hidden="1" x14ac:dyDescent="0.3">
      <c r="A609" s="1" t="s">
        <v>3828</v>
      </c>
      <c r="B609" s="1" t="s">
        <v>41</v>
      </c>
      <c r="C609" s="1" t="s">
        <v>42</v>
      </c>
      <c r="D609" s="1" t="s">
        <v>43</v>
      </c>
      <c r="E609" s="1" t="s">
        <v>44</v>
      </c>
      <c r="F609" s="7" t="str">
        <f>IFERROR(INDEX(测试!H:H,MATCH(E609,测试!A:A,0)),1)</f>
        <v>-</v>
      </c>
    </row>
    <row r="610" spans="1:6" hidden="1" x14ac:dyDescent="0.3">
      <c r="A610" s="1" t="s">
        <v>3828</v>
      </c>
      <c r="B610" s="1" t="s">
        <v>45</v>
      </c>
      <c r="C610" s="1" t="s">
        <v>46</v>
      </c>
      <c r="D610" s="1" t="s">
        <v>47</v>
      </c>
      <c r="E610" s="1" t="s">
        <v>48</v>
      </c>
      <c r="F610" s="7" t="str">
        <f>IFERROR(INDEX(测试!H:H,MATCH(E610,测试!A:A,0)),1)</f>
        <v>-</v>
      </c>
    </row>
    <row r="611" spans="1:6" hidden="1" x14ac:dyDescent="0.3">
      <c r="A611" s="1" t="s">
        <v>3828</v>
      </c>
      <c r="B611" s="1" t="s">
        <v>49</v>
      </c>
      <c r="C611" s="1" t="s">
        <v>50</v>
      </c>
      <c r="D611" s="1" t="s">
        <v>51</v>
      </c>
      <c r="E611" s="1" t="s">
        <v>52</v>
      </c>
      <c r="F611" s="7" t="str">
        <f>IFERROR(INDEX(测试!H:H,MATCH(E611,测试!A:A,0)),1)</f>
        <v>-</v>
      </c>
    </row>
    <row r="612" spans="1:6" hidden="1" x14ac:dyDescent="0.3">
      <c r="A612" s="6" t="s">
        <v>3828</v>
      </c>
      <c r="B612" s="6" t="s">
        <v>53</v>
      </c>
      <c r="C612" s="6" t="s">
        <v>54</v>
      </c>
      <c r="D612" s="6" t="s">
        <v>55</v>
      </c>
      <c r="E612" s="6" t="s">
        <v>56</v>
      </c>
      <c r="F612" s="7" t="str">
        <f>IFERROR(INDEX(测试!H:H,MATCH(E612,测试!A:A,0)),1)</f>
        <v>文件名错误</v>
      </c>
    </row>
    <row r="613" spans="1:6" hidden="1" x14ac:dyDescent="0.3">
      <c r="A613" s="1" t="s">
        <v>3828</v>
      </c>
      <c r="B613" s="1" t="s">
        <v>57</v>
      </c>
      <c r="C613" s="1" t="s">
        <v>58</v>
      </c>
      <c r="D613" s="1" t="s">
        <v>59</v>
      </c>
      <c r="E613" s="1" t="s">
        <v>60</v>
      </c>
      <c r="F613" s="7" t="str">
        <f>IFERROR(INDEX(测试!H:H,MATCH(E613,测试!A:A,0)),1)</f>
        <v>-</v>
      </c>
    </row>
    <row r="614" spans="1:6" hidden="1" x14ac:dyDescent="0.3">
      <c r="A614" s="1" t="s">
        <v>3828</v>
      </c>
      <c r="B614" s="1" t="s">
        <v>61</v>
      </c>
      <c r="C614" s="1" t="s">
        <v>62</v>
      </c>
      <c r="D614" s="1" t="s">
        <v>63</v>
      </c>
      <c r="E614" s="1" t="s">
        <v>64</v>
      </c>
      <c r="F614" s="7" t="str">
        <f>IFERROR(INDEX(测试!H:H,MATCH(E614,测试!A:A,0)),1)</f>
        <v>-</v>
      </c>
    </row>
    <row r="615" spans="1:6" hidden="1" x14ac:dyDescent="0.3">
      <c r="A615" s="1" t="s">
        <v>3828</v>
      </c>
      <c r="B615" s="1" t="s">
        <v>65</v>
      </c>
      <c r="C615" s="1" t="s">
        <v>66</v>
      </c>
      <c r="D615" s="1" t="s">
        <v>67</v>
      </c>
      <c r="E615" s="1" t="s">
        <v>68</v>
      </c>
      <c r="F615" s="7" t="str">
        <f>IFERROR(INDEX(测试!H:H,MATCH(E615,测试!A:A,0)),1)</f>
        <v>-</v>
      </c>
    </row>
    <row r="616" spans="1:6" hidden="1" x14ac:dyDescent="0.3">
      <c r="A616" s="1" t="s">
        <v>3828</v>
      </c>
      <c r="B616" s="1" t="s">
        <v>69</v>
      </c>
      <c r="C616" s="1" t="s">
        <v>70</v>
      </c>
      <c r="D616" s="1" t="s">
        <v>71</v>
      </c>
      <c r="E616" s="1" t="s">
        <v>72</v>
      </c>
      <c r="F616" s="7" t="str">
        <f>IFERROR(INDEX(测试!H:H,MATCH(E616,测试!A:A,0)),1)</f>
        <v>-</v>
      </c>
    </row>
    <row r="617" spans="1:6" hidden="1" x14ac:dyDescent="0.3">
      <c r="A617" s="1" t="s">
        <v>3828</v>
      </c>
      <c r="B617" s="1" t="s">
        <v>73</v>
      </c>
      <c r="C617" s="1" t="s">
        <v>74</v>
      </c>
      <c r="D617" s="1" t="s">
        <v>75</v>
      </c>
      <c r="E617" s="1" t="s">
        <v>76</v>
      </c>
      <c r="F617" s="7" t="str">
        <f>IFERROR(INDEX(测试!H:H,MATCH(E617,测试!A:A,0)),1)</f>
        <v>-</v>
      </c>
    </row>
    <row r="618" spans="1:6" hidden="1" x14ac:dyDescent="0.3">
      <c r="A618" s="1" t="s">
        <v>3828</v>
      </c>
      <c r="B618" s="1" t="s">
        <v>77</v>
      </c>
      <c r="C618" s="1" t="s">
        <v>78</v>
      </c>
      <c r="D618" s="1" t="s">
        <v>79</v>
      </c>
      <c r="E618" s="1" t="s">
        <v>80</v>
      </c>
      <c r="F618" s="7" t="str">
        <f>IFERROR(INDEX(测试!H:H,MATCH(E618,测试!A:A,0)),1)</f>
        <v>-</v>
      </c>
    </row>
    <row r="619" spans="1:6" hidden="1" x14ac:dyDescent="0.3">
      <c r="A619" s="1" t="s">
        <v>3828</v>
      </c>
      <c r="B619" s="1" t="s">
        <v>81</v>
      </c>
      <c r="C619" s="1" t="s">
        <v>82</v>
      </c>
      <c r="D619" s="1" t="s">
        <v>83</v>
      </c>
      <c r="E619" s="1" t="s">
        <v>84</v>
      </c>
      <c r="F619" s="7" t="str">
        <f>IFERROR(INDEX(测试!H:H,MATCH(E619,测试!A:A,0)),1)</f>
        <v>-</v>
      </c>
    </row>
    <row r="620" spans="1:6" hidden="1" x14ac:dyDescent="0.3">
      <c r="A620" s="1" t="s">
        <v>3828</v>
      </c>
      <c r="B620" s="1" t="s">
        <v>85</v>
      </c>
      <c r="C620" s="1" t="s">
        <v>86</v>
      </c>
      <c r="D620" s="1" t="s">
        <v>87</v>
      </c>
      <c r="E620" s="1" t="s">
        <v>88</v>
      </c>
      <c r="F620" s="7" t="str">
        <f>IFERROR(INDEX(测试!H:H,MATCH(E620,测试!A:A,0)),1)</f>
        <v>-</v>
      </c>
    </row>
    <row r="621" spans="1:6" hidden="1" x14ac:dyDescent="0.3">
      <c r="A621" s="1" t="s">
        <v>3828</v>
      </c>
      <c r="B621" s="1" t="s">
        <v>89</v>
      </c>
      <c r="C621" s="1" t="s">
        <v>90</v>
      </c>
      <c r="D621" s="1" t="s">
        <v>91</v>
      </c>
      <c r="E621" s="1" t="s">
        <v>92</v>
      </c>
      <c r="F621" s="7" t="str">
        <f>IFERROR(INDEX(测试!H:H,MATCH(E621,测试!A:A,0)),1)</f>
        <v>-</v>
      </c>
    </row>
    <row r="622" spans="1:6" hidden="1" x14ac:dyDescent="0.3">
      <c r="A622" s="1" t="s">
        <v>3828</v>
      </c>
      <c r="B622" s="1" t="s">
        <v>93</v>
      </c>
      <c r="C622" s="1" t="s">
        <v>94</v>
      </c>
      <c r="D622" s="1" t="s">
        <v>95</v>
      </c>
      <c r="E622" s="1" t="s">
        <v>96</v>
      </c>
      <c r="F622" s="7" t="str">
        <f>IFERROR(INDEX(测试!H:H,MATCH(E622,测试!A:A,0)),1)</f>
        <v>-</v>
      </c>
    </row>
    <row r="623" spans="1:6" hidden="1" x14ac:dyDescent="0.3">
      <c r="A623" s="1" t="s">
        <v>3828</v>
      </c>
      <c r="B623" s="1" t="s">
        <v>97</v>
      </c>
      <c r="C623" s="1" t="s">
        <v>98</v>
      </c>
      <c r="D623" s="1" t="s">
        <v>99</v>
      </c>
      <c r="E623" s="1" t="s">
        <v>100</v>
      </c>
      <c r="F623" s="7" t="str">
        <f>IFERROR(INDEX(测试!H:H,MATCH(E623,测试!A:A,0)),1)</f>
        <v>-</v>
      </c>
    </row>
    <row r="624" spans="1:6" hidden="1" x14ac:dyDescent="0.3">
      <c r="A624" s="1" t="s">
        <v>3828</v>
      </c>
      <c r="B624" s="1" t="s">
        <v>101</v>
      </c>
      <c r="C624" s="1" t="s">
        <v>102</v>
      </c>
      <c r="D624" s="1" t="s">
        <v>103</v>
      </c>
      <c r="E624" s="1" t="s">
        <v>104</v>
      </c>
      <c r="F624" s="7" t="str">
        <f>IFERROR(INDEX(测试!H:H,MATCH(E624,测试!A:A,0)),1)</f>
        <v>-</v>
      </c>
    </row>
    <row r="625" spans="1:6" hidden="1" x14ac:dyDescent="0.3">
      <c r="A625" s="1" t="s">
        <v>3828</v>
      </c>
      <c r="B625" s="1" t="s">
        <v>105</v>
      </c>
      <c r="C625" s="1" t="s">
        <v>106</v>
      </c>
      <c r="D625" s="1" t="s">
        <v>107</v>
      </c>
      <c r="E625" s="1" t="s">
        <v>108</v>
      </c>
      <c r="F625" s="7" t="str">
        <f>IFERROR(INDEX(测试!H:H,MATCH(E625,测试!A:A,0)),1)</f>
        <v>-</v>
      </c>
    </row>
    <row r="626" spans="1:6" hidden="1" x14ac:dyDescent="0.3">
      <c r="A626" s="1" t="s">
        <v>3828</v>
      </c>
      <c r="B626" s="1" t="s">
        <v>109</v>
      </c>
      <c r="C626" s="1" t="s">
        <v>110</v>
      </c>
      <c r="D626" s="1" t="s">
        <v>111</v>
      </c>
      <c r="E626" s="1" t="s">
        <v>112</v>
      </c>
      <c r="F626" s="7" t="str">
        <f>IFERROR(INDEX(测试!H:H,MATCH(E626,测试!A:A,0)),1)</f>
        <v>-</v>
      </c>
    </row>
    <row r="627" spans="1:6" hidden="1" x14ac:dyDescent="0.3">
      <c r="A627" s="1" t="s">
        <v>3828</v>
      </c>
      <c r="B627" s="1" t="s">
        <v>113</v>
      </c>
      <c r="C627" s="1" t="s">
        <v>114</v>
      </c>
      <c r="D627" s="1" t="s">
        <v>115</v>
      </c>
      <c r="E627" s="1" t="s">
        <v>116</v>
      </c>
      <c r="F627" s="7" t="str">
        <f>IFERROR(INDEX(测试!H:H,MATCH(E627,测试!A:A,0)),1)</f>
        <v>-</v>
      </c>
    </row>
    <row r="628" spans="1:6" hidden="1" x14ac:dyDescent="0.3">
      <c r="A628" s="1" t="s">
        <v>3828</v>
      </c>
      <c r="B628" s="1" t="s">
        <v>117</v>
      </c>
      <c r="C628" s="1" t="s">
        <v>118</v>
      </c>
      <c r="D628" s="1" t="s">
        <v>119</v>
      </c>
      <c r="E628" s="1" t="s">
        <v>120</v>
      </c>
      <c r="F628" s="7" t="str">
        <f>IFERROR(INDEX(测试!H:H,MATCH(E628,测试!A:A,0)),1)</f>
        <v>-</v>
      </c>
    </row>
    <row r="629" spans="1:6" hidden="1" x14ac:dyDescent="0.3">
      <c r="A629" s="1" t="s">
        <v>3828</v>
      </c>
      <c r="B629" s="1" t="s">
        <v>121</v>
      </c>
      <c r="C629" s="1" t="s">
        <v>122</v>
      </c>
      <c r="D629" s="1" t="s">
        <v>123</v>
      </c>
      <c r="E629" s="1" t="s">
        <v>124</v>
      </c>
      <c r="F629" s="7" t="str">
        <f>IFERROR(INDEX(测试!H:H,MATCH(E629,测试!A:A,0)),1)</f>
        <v>-</v>
      </c>
    </row>
    <row r="630" spans="1:6" hidden="1" x14ac:dyDescent="0.3">
      <c r="A630" s="1" t="s">
        <v>3828</v>
      </c>
      <c r="B630" s="1" t="s">
        <v>125</v>
      </c>
      <c r="C630" s="1" t="s">
        <v>126</v>
      </c>
      <c r="D630" s="1" t="s">
        <v>127</v>
      </c>
      <c r="E630" s="1" t="s">
        <v>128</v>
      </c>
      <c r="F630" s="7" t="str">
        <f>IFERROR(INDEX(测试!H:H,MATCH(E630,测试!A:A,0)),1)</f>
        <v>-</v>
      </c>
    </row>
    <row r="631" spans="1:6" hidden="1" x14ac:dyDescent="0.3">
      <c r="A631" s="1" t="s">
        <v>3828</v>
      </c>
      <c r="B631" s="1" t="s">
        <v>129</v>
      </c>
      <c r="C631" s="1" t="s">
        <v>130</v>
      </c>
      <c r="D631" s="1" t="s">
        <v>131</v>
      </c>
      <c r="E631" s="1" t="s">
        <v>132</v>
      </c>
      <c r="F631" s="7" t="str">
        <f>IFERROR(INDEX(测试!H:H,MATCH(E631,测试!A:A,0)),1)</f>
        <v>-</v>
      </c>
    </row>
    <row r="632" spans="1:6" hidden="1" x14ac:dyDescent="0.3">
      <c r="A632" s="1" t="s">
        <v>3828</v>
      </c>
      <c r="B632" s="1" t="s">
        <v>133</v>
      </c>
      <c r="C632" s="1" t="s">
        <v>134</v>
      </c>
      <c r="D632" s="1" t="s">
        <v>135</v>
      </c>
      <c r="E632" s="1" t="s">
        <v>136</v>
      </c>
      <c r="F632" s="7" t="str">
        <f>IFERROR(INDEX(测试!H:H,MATCH(E632,测试!A:A,0)),1)</f>
        <v>-</v>
      </c>
    </row>
    <row r="633" spans="1:6" hidden="1" x14ac:dyDescent="0.3">
      <c r="A633" s="1" t="s">
        <v>3828</v>
      </c>
      <c r="B633" s="1" t="s">
        <v>137</v>
      </c>
      <c r="C633" s="1" t="s">
        <v>138</v>
      </c>
      <c r="D633" s="1" t="s">
        <v>139</v>
      </c>
      <c r="E633" s="1" t="s">
        <v>140</v>
      </c>
      <c r="F633" s="7" t="str">
        <f>IFERROR(INDEX(测试!H:H,MATCH(E633,测试!A:A,0)),1)</f>
        <v>-</v>
      </c>
    </row>
    <row r="634" spans="1:6" hidden="1" x14ac:dyDescent="0.3">
      <c r="A634" s="1" t="s">
        <v>3828</v>
      </c>
      <c r="B634" s="1" t="s">
        <v>141</v>
      </c>
      <c r="C634" s="1" t="s">
        <v>142</v>
      </c>
      <c r="D634" s="1" t="s">
        <v>143</v>
      </c>
      <c r="E634" s="1" t="s">
        <v>144</v>
      </c>
      <c r="F634" s="7" t="str">
        <f>IFERROR(INDEX(测试!H:H,MATCH(E634,测试!A:A,0)),1)</f>
        <v>-</v>
      </c>
    </row>
    <row r="635" spans="1:6" hidden="1" x14ac:dyDescent="0.3">
      <c r="A635" s="1" t="s">
        <v>3828</v>
      </c>
      <c r="B635" s="1" t="s">
        <v>145</v>
      </c>
      <c r="C635" s="1" t="s">
        <v>146</v>
      </c>
      <c r="D635" s="1" t="s">
        <v>147</v>
      </c>
      <c r="E635" s="1" t="s">
        <v>148</v>
      </c>
      <c r="F635" s="7" t="str">
        <f>IFERROR(INDEX(测试!H:H,MATCH(E635,测试!A:A,0)),1)</f>
        <v>-</v>
      </c>
    </row>
    <row r="636" spans="1:6" hidden="1" x14ac:dyDescent="0.3">
      <c r="A636" s="1" t="s">
        <v>3828</v>
      </c>
      <c r="B636" s="1" t="s">
        <v>149</v>
      </c>
      <c r="C636" s="1" t="s">
        <v>150</v>
      </c>
      <c r="D636" s="1" t="s">
        <v>151</v>
      </c>
      <c r="E636" s="1" t="s">
        <v>152</v>
      </c>
      <c r="F636" s="7" t="str">
        <f>IFERROR(INDEX(测试!H:H,MATCH(E636,测试!A:A,0)),1)</f>
        <v>-</v>
      </c>
    </row>
    <row r="637" spans="1:6" hidden="1" x14ac:dyDescent="0.3">
      <c r="A637" s="1" t="s">
        <v>3828</v>
      </c>
      <c r="B637" s="1" t="s">
        <v>153</v>
      </c>
      <c r="C637" s="1" t="s">
        <v>154</v>
      </c>
      <c r="D637" s="1" t="s">
        <v>155</v>
      </c>
      <c r="E637" s="1" t="s">
        <v>156</v>
      </c>
      <c r="F637" s="7" t="str">
        <f>IFERROR(INDEX(测试!H:H,MATCH(E637,测试!A:A,0)),1)</f>
        <v>-</v>
      </c>
    </row>
    <row r="638" spans="1:6" hidden="1" x14ac:dyDescent="0.3">
      <c r="A638" s="1" t="s">
        <v>3828</v>
      </c>
      <c r="B638" s="1" t="s">
        <v>157</v>
      </c>
      <c r="C638" s="1" t="s">
        <v>158</v>
      </c>
      <c r="D638" s="1" t="s">
        <v>159</v>
      </c>
      <c r="E638" s="1" t="s">
        <v>160</v>
      </c>
      <c r="F638" s="7" t="str">
        <f>IFERROR(INDEX(测试!H:H,MATCH(E638,测试!A:A,0)),1)</f>
        <v>-</v>
      </c>
    </row>
    <row r="639" spans="1:6" hidden="1" x14ac:dyDescent="0.3">
      <c r="A639" s="1" t="s">
        <v>3828</v>
      </c>
      <c r="B639" s="1" t="s">
        <v>161</v>
      </c>
      <c r="C639" s="1" t="s">
        <v>162</v>
      </c>
      <c r="D639" s="1" t="s">
        <v>163</v>
      </c>
      <c r="E639" s="1" t="s">
        <v>164</v>
      </c>
      <c r="F639" s="7" t="str">
        <f>IFERROR(INDEX(测试!H:H,MATCH(E639,测试!A:A,0)),1)</f>
        <v>-</v>
      </c>
    </row>
    <row r="640" spans="1:6" hidden="1" x14ac:dyDescent="0.3">
      <c r="A640" s="1" t="s">
        <v>3828</v>
      </c>
      <c r="B640" s="1" t="s">
        <v>165</v>
      </c>
      <c r="C640" s="1" t="s">
        <v>166</v>
      </c>
      <c r="D640" s="1" t="s">
        <v>167</v>
      </c>
      <c r="E640" s="1" t="s">
        <v>168</v>
      </c>
      <c r="F640" s="7" t="str">
        <f>IFERROR(INDEX(测试!H:H,MATCH(E640,测试!A:A,0)),1)</f>
        <v>-</v>
      </c>
    </row>
    <row r="641" spans="1:6" hidden="1" x14ac:dyDescent="0.3">
      <c r="A641" s="1" t="s">
        <v>3828</v>
      </c>
      <c r="B641" s="1" t="s">
        <v>169</v>
      </c>
      <c r="C641" s="1" t="s">
        <v>170</v>
      </c>
      <c r="D641" s="1" t="s">
        <v>171</v>
      </c>
      <c r="E641" s="1" t="s">
        <v>172</v>
      </c>
      <c r="F641" s="7" t="str">
        <f>IFERROR(INDEX(测试!H:H,MATCH(E641,测试!A:A,0)),1)</f>
        <v>-</v>
      </c>
    </row>
    <row r="642" spans="1:6" hidden="1" x14ac:dyDescent="0.3">
      <c r="A642" s="1" t="s">
        <v>3828</v>
      </c>
      <c r="B642" s="1" t="s">
        <v>173</v>
      </c>
      <c r="C642" s="1" t="s">
        <v>174</v>
      </c>
      <c r="D642" s="1" t="s">
        <v>175</v>
      </c>
      <c r="E642" s="1" t="s">
        <v>176</v>
      </c>
      <c r="F642" s="7" t="str">
        <f>IFERROR(INDEX(测试!H:H,MATCH(E642,测试!A:A,0)),1)</f>
        <v>-</v>
      </c>
    </row>
    <row r="643" spans="1:6" hidden="1" x14ac:dyDescent="0.3">
      <c r="A643" s="1" t="s">
        <v>3828</v>
      </c>
      <c r="B643" s="1" t="s">
        <v>177</v>
      </c>
      <c r="C643" s="1" t="s">
        <v>178</v>
      </c>
      <c r="D643" s="1" t="s">
        <v>179</v>
      </c>
      <c r="E643" s="1" t="s">
        <v>180</v>
      </c>
      <c r="F643" s="7" t="str">
        <f>IFERROR(INDEX(测试!H:H,MATCH(E643,测试!A:A,0)),1)</f>
        <v>-</v>
      </c>
    </row>
    <row r="644" spans="1:6" hidden="1" x14ac:dyDescent="0.3">
      <c r="A644" s="1" t="s">
        <v>3828</v>
      </c>
      <c r="B644" s="1" t="s">
        <v>181</v>
      </c>
      <c r="C644" s="1" t="s">
        <v>182</v>
      </c>
      <c r="D644" s="1" t="s">
        <v>183</v>
      </c>
      <c r="E644" s="1" t="s">
        <v>184</v>
      </c>
      <c r="F644" s="7" t="str">
        <f>IFERROR(INDEX(测试!H:H,MATCH(E644,测试!A:A,0)),1)</f>
        <v>-</v>
      </c>
    </row>
    <row r="645" spans="1:6" hidden="1" x14ac:dyDescent="0.3">
      <c r="A645" s="1" t="s">
        <v>3828</v>
      </c>
      <c r="B645" s="1" t="s">
        <v>185</v>
      </c>
      <c r="C645" s="1" t="s">
        <v>186</v>
      </c>
      <c r="D645" s="1" t="s">
        <v>187</v>
      </c>
      <c r="E645" s="1" t="s">
        <v>188</v>
      </c>
      <c r="F645" s="7" t="str">
        <f>IFERROR(INDEX(测试!H:H,MATCH(E645,测试!A:A,0)),1)</f>
        <v>-</v>
      </c>
    </row>
    <row r="646" spans="1:6" hidden="1" x14ac:dyDescent="0.3">
      <c r="A646" s="14" t="s">
        <v>3828</v>
      </c>
      <c r="B646" s="1" t="s">
        <v>189</v>
      </c>
      <c r="C646" s="1" t="s">
        <v>190</v>
      </c>
      <c r="D646" s="1" t="s">
        <v>191</v>
      </c>
      <c r="E646" s="1" t="s">
        <v>192</v>
      </c>
      <c r="F646" s="7" t="str">
        <f>IFERROR(INDEX(测试!H:H,MATCH(E646,测试!A:A,0)),1)</f>
        <v>-</v>
      </c>
    </row>
    <row r="647" spans="1:6" hidden="1" x14ac:dyDescent="0.3">
      <c r="A647" s="1" t="s">
        <v>3828</v>
      </c>
      <c r="B647" s="1" t="s">
        <v>193</v>
      </c>
      <c r="C647" s="1" t="s">
        <v>194</v>
      </c>
      <c r="D647" s="1" t="s">
        <v>195</v>
      </c>
      <c r="E647" s="1" t="s">
        <v>196</v>
      </c>
      <c r="F647" s="7" t="str">
        <f>IFERROR(INDEX(测试!H:H,MATCH(E647,测试!A:A,0)),1)</f>
        <v>-</v>
      </c>
    </row>
    <row r="648" spans="1:6" hidden="1" x14ac:dyDescent="0.3">
      <c r="A648" s="1" t="s">
        <v>3828</v>
      </c>
      <c r="B648" s="1" t="s">
        <v>197</v>
      </c>
      <c r="C648" s="1" t="s">
        <v>198</v>
      </c>
      <c r="D648" s="1" t="s">
        <v>199</v>
      </c>
      <c r="E648" s="14" t="s">
        <v>2995</v>
      </c>
      <c r="F648" s="7" t="str">
        <f>IFERROR(INDEX(测试!H:H,MATCH(E648,测试!A:A,0)),1)</f>
        <v>-</v>
      </c>
    </row>
    <row r="649" spans="1:6" hidden="1" x14ac:dyDescent="0.3">
      <c r="A649" s="1" t="s">
        <v>3828</v>
      </c>
      <c r="B649" s="1" t="s">
        <v>200</v>
      </c>
      <c r="C649" s="1" t="s">
        <v>201</v>
      </c>
      <c r="D649" s="1" t="s">
        <v>202</v>
      </c>
      <c r="E649" s="1" t="s">
        <v>203</v>
      </c>
      <c r="F649" s="7" t="str">
        <f>IFERROR(INDEX(测试!H:H,MATCH(E649,测试!A:A,0)),1)</f>
        <v>-</v>
      </c>
    </row>
    <row r="650" spans="1:6" hidden="1" x14ac:dyDescent="0.3">
      <c r="A650" s="1" t="s">
        <v>3828</v>
      </c>
      <c r="B650" s="1" t="s">
        <v>204</v>
      </c>
      <c r="C650" s="1" t="s">
        <v>205</v>
      </c>
      <c r="D650" s="1" t="s">
        <v>206</v>
      </c>
      <c r="E650" s="14" t="s">
        <v>3003</v>
      </c>
      <c r="F650" s="7" t="str">
        <f>IFERROR(INDEX(测试!H:H,MATCH(E650,测试!A:A,0)),1)</f>
        <v>-</v>
      </c>
    </row>
    <row r="651" spans="1:6" hidden="1" x14ac:dyDescent="0.3">
      <c r="A651" s="1" t="s">
        <v>3828</v>
      </c>
      <c r="B651" s="1" t="s">
        <v>207</v>
      </c>
      <c r="C651" s="1" t="s">
        <v>208</v>
      </c>
      <c r="D651" s="1" t="s">
        <v>209</v>
      </c>
      <c r="E651" s="1" t="s">
        <v>210</v>
      </c>
      <c r="F651" s="7" t="str">
        <f>IFERROR(INDEX(测试!H:H,MATCH(E651,测试!A:A,0)),1)</f>
        <v>-</v>
      </c>
    </row>
    <row r="652" spans="1:6" hidden="1" x14ac:dyDescent="0.3">
      <c r="A652" s="1" t="s">
        <v>3828</v>
      </c>
      <c r="B652" s="1" t="s">
        <v>211</v>
      </c>
      <c r="C652" s="1" t="s">
        <v>212</v>
      </c>
      <c r="D652" s="1" t="s">
        <v>213</v>
      </c>
      <c r="E652" s="1" t="s">
        <v>214</v>
      </c>
      <c r="F652" s="7" t="str">
        <f>IFERROR(INDEX(测试!H:H,MATCH(E652,测试!A:A,0)),1)</f>
        <v>-</v>
      </c>
    </row>
    <row r="653" spans="1:6" hidden="1" x14ac:dyDescent="0.3">
      <c r="A653" s="1" t="s">
        <v>3828</v>
      </c>
      <c r="B653" s="1" t="s">
        <v>215</v>
      </c>
      <c r="C653" s="1" t="s">
        <v>216</v>
      </c>
      <c r="D653" s="1" t="s">
        <v>217</v>
      </c>
      <c r="E653" s="1" t="s">
        <v>218</v>
      </c>
      <c r="F653" s="7" t="str">
        <f>IFERROR(INDEX(测试!H:H,MATCH(E653,测试!A:A,0)),1)</f>
        <v>-</v>
      </c>
    </row>
    <row r="654" spans="1:6" hidden="1" x14ac:dyDescent="0.3">
      <c r="A654" s="1" t="s">
        <v>3828</v>
      </c>
      <c r="B654" s="1" t="s">
        <v>219</v>
      </c>
      <c r="C654" s="1" t="s">
        <v>220</v>
      </c>
      <c r="D654" s="1" t="s">
        <v>221</v>
      </c>
      <c r="E654" s="1" t="s">
        <v>222</v>
      </c>
      <c r="F654" s="7" t="str">
        <f>IFERROR(INDEX(测试!H:H,MATCH(E654,测试!A:A,0)),1)</f>
        <v>-</v>
      </c>
    </row>
    <row r="655" spans="1:6" hidden="1" x14ac:dyDescent="0.3">
      <c r="A655" s="1" t="s">
        <v>3828</v>
      </c>
      <c r="B655" s="1" t="s">
        <v>223</v>
      </c>
      <c r="C655" s="1" t="s">
        <v>224</v>
      </c>
      <c r="D655" s="1" t="s">
        <v>225</v>
      </c>
      <c r="E655" s="1" t="s">
        <v>226</v>
      </c>
      <c r="F655" s="7" t="str">
        <f>IFERROR(INDEX(测试!H:H,MATCH(E655,测试!A:A,0)),1)</f>
        <v>-</v>
      </c>
    </row>
    <row r="656" spans="1:6" hidden="1" x14ac:dyDescent="0.3">
      <c r="A656" s="1" t="s">
        <v>3828</v>
      </c>
      <c r="B656" s="1" t="s">
        <v>227</v>
      </c>
      <c r="C656" s="1" t="s">
        <v>228</v>
      </c>
      <c r="D656" s="1" t="s">
        <v>229</v>
      </c>
      <c r="E656" s="1" t="s">
        <v>230</v>
      </c>
      <c r="F656" s="7" t="str">
        <f>IFERROR(INDEX(测试!H:H,MATCH(E656,测试!A:A,0)),1)</f>
        <v>-</v>
      </c>
    </row>
    <row r="657" spans="1:6" hidden="1" x14ac:dyDescent="0.3">
      <c r="A657" s="1" t="s">
        <v>3828</v>
      </c>
      <c r="B657" s="1" t="s">
        <v>231</v>
      </c>
      <c r="C657" s="1" t="s">
        <v>232</v>
      </c>
      <c r="D657" s="1" t="s">
        <v>233</v>
      </c>
      <c r="E657" s="1" t="s">
        <v>234</v>
      </c>
      <c r="F657" s="7" t="str">
        <f>IFERROR(INDEX(测试!H:H,MATCH(E657,测试!A:A,0)),1)</f>
        <v>-</v>
      </c>
    </row>
    <row r="658" spans="1:6" hidden="1" x14ac:dyDescent="0.3">
      <c r="A658" s="1" t="s">
        <v>3828</v>
      </c>
      <c r="B658" s="1" t="s">
        <v>235</v>
      </c>
      <c r="C658" s="1" t="s">
        <v>236</v>
      </c>
      <c r="D658" s="1" t="s">
        <v>237</v>
      </c>
      <c r="E658" s="1" t="s">
        <v>238</v>
      </c>
      <c r="F658" s="7" t="str">
        <f>IFERROR(INDEX(测试!H:H,MATCH(E658,测试!A:A,0)),1)</f>
        <v>-</v>
      </c>
    </row>
    <row r="659" spans="1:6" hidden="1" x14ac:dyDescent="0.3">
      <c r="A659" s="1" t="s">
        <v>3828</v>
      </c>
      <c r="B659" s="1" t="s">
        <v>239</v>
      </c>
      <c r="C659" s="1" t="s">
        <v>240</v>
      </c>
      <c r="D659" s="1" t="s">
        <v>241</v>
      </c>
      <c r="E659" s="1" t="s">
        <v>242</v>
      </c>
      <c r="F659" s="7" t="str">
        <f>IFERROR(INDEX(测试!H:H,MATCH(E659,测试!A:A,0)),1)</f>
        <v>-</v>
      </c>
    </row>
    <row r="660" spans="1:6" hidden="1" x14ac:dyDescent="0.3">
      <c r="A660" s="1" t="s">
        <v>3828</v>
      </c>
      <c r="B660" s="1" t="s">
        <v>243</v>
      </c>
      <c r="C660" s="1" t="s">
        <v>244</v>
      </c>
      <c r="D660" s="1" t="s">
        <v>245</v>
      </c>
      <c r="E660" s="1" t="s">
        <v>246</v>
      </c>
      <c r="F660" s="7" t="str">
        <f>IFERROR(INDEX(测试!H:H,MATCH(E660,测试!A:A,0)),1)</f>
        <v>-</v>
      </c>
    </row>
    <row r="661" spans="1:6" hidden="1" x14ac:dyDescent="0.3">
      <c r="A661" s="1" t="s">
        <v>3828</v>
      </c>
      <c r="B661" s="1" t="s">
        <v>247</v>
      </c>
      <c r="C661" s="1" t="s">
        <v>248</v>
      </c>
      <c r="D661" s="1" t="s">
        <v>249</v>
      </c>
      <c r="E661" s="1" t="s">
        <v>250</v>
      </c>
      <c r="F661" s="7" t="str">
        <f>IFERROR(INDEX(测试!H:H,MATCH(E661,测试!A:A,0)),1)</f>
        <v>-</v>
      </c>
    </row>
    <row r="662" spans="1:6" hidden="1" x14ac:dyDescent="0.3">
      <c r="A662" s="1" t="s">
        <v>3828</v>
      </c>
      <c r="B662" s="1" t="s">
        <v>251</v>
      </c>
      <c r="C662" s="1" t="s">
        <v>252</v>
      </c>
      <c r="D662" s="1" t="s">
        <v>253</v>
      </c>
      <c r="E662" s="1" t="s">
        <v>254</v>
      </c>
      <c r="F662" s="7" t="str">
        <f>IFERROR(INDEX(测试!H:H,MATCH(E662,测试!A:A,0)),1)</f>
        <v>-</v>
      </c>
    </row>
    <row r="663" spans="1:6" hidden="1" x14ac:dyDescent="0.3">
      <c r="A663" s="1" t="s">
        <v>3828</v>
      </c>
      <c r="B663" s="1" t="s">
        <v>255</v>
      </c>
      <c r="C663" s="1" t="s">
        <v>256</v>
      </c>
      <c r="D663" s="1" t="s">
        <v>257</v>
      </c>
      <c r="E663" s="1" t="s">
        <v>258</v>
      </c>
      <c r="F663" s="7" t="str">
        <f>IFERROR(INDEX(测试!H:H,MATCH(E663,测试!A:A,0)),1)</f>
        <v>-</v>
      </c>
    </row>
    <row r="664" spans="1:6" hidden="1" x14ac:dyDescent="0.3">
      <c r="A664" s="1" t="s">
        <v>3828</v>
      </c>
      <c r="B664" s="1" t="s">
        <v>259</v>
      </c>
      <c r="C664" s="1" t="s">
        <v>260</v>
      </c>
      <c r="D664" s="1" t="s">
        <v>261</v>
      </c>
      <c r="E664" s="1" t="s">
        <v>262</v>
      </c>
      <c r="F664" s="7" t="str">
        <f>IFERROR(INDEX(测试!H:H,MATCH(E664,测试!A:A,0)),1)</f>
        <v>-</v>
      </c>
    </row>
    <row r="665" spans="1:6" hidden="1" x14ac:dyDescent="0.3">
      <c r="A665" s="1" t="s">
        <v>3828</v>
      </c>
      <c r="B665" s="1" t="s">
        <v>263</v>
      </c>
      <c r="C665" s="1" t="s">
        <v>264</v>
      </c>
      <c r="D665" s="1" t="s">
        <v>265</v>
      </c>
      <c r="E665" s="1" t="s">
        <v>266</v>
      </c>
      <c r="F665" s="7" t="str">
        <f>IFERROR(INDEX(测试!H:H,MATCH(E665,测试!A:A,0)),1)</f>
        <v>-</v>
      </c>
    </row>
    <row r="666" spans="1:6" hidden="1" x14ac:dyDescent="0.3">
      <c r="A666" s="1" t="s">
        <v>3828</v>
      </c>
      <c r="B666" s="1" t="s">
        <v>267</v>
      </c>
      <c r="C666" s="1" t="s">
        <v>268</v>
      </c>
      <c r="D666" s="1" t="s">
        <v>269</v>
      </c>
      <c r="E666" s="1" t="s">
        <v>270</v>
      </c>
      <c r="F666" s="7" t="str">
        <f>IFERROR(INDEX(测试!H:H,MATCH(E666,测试!A:A,0)),1)</f>
        <v>-</v>
      </c>
    </row>
    <row r="667" spans="1:6" hidden="1" x14ac:dyDescent="0.3">
      <c r="A667" s="1" t="s">
        <v>3828</v>
      </c>
      <c r="B667" s="1" t="s">
        <v>271</v>
      </c>
      <c r="C667" s="1" t="s">
        <v>272</v>
      </c>
      <c r="D667" s="1" t="s">
        <v>273</v>
      </c>
      <c r="E667" s="1" t="s">
        <v>274</v>
      </c>
      <c r="F667" s="7" t="str">
        <f>IFERROR(INDEX(测试!H:H,MATCH(E667,测试!A:A,0)),1)</f>
        <v>-</v>
      </c>
    </row>
    <row r="668" spans="1:6" hidden="1" x14ac:dyDescent="0.3">
      <c r="A668" s="1" t="s">
        <v>3828</v>
      </c>
      <c r="B668" s="1" t="s">
        <v>275</v>
      </c>
      <c r="C668" s="1" t="s">
        <v>276</v>
      </c>
      <c r="D668" s="1" t="s">
        <v>277</v>
      </c>
      <c r="E668" s="1" t="s">
        <v>278</v>
      </c>
      <c r="F668" s="7" t="str">
        <f>IFERROR(INDEX(测试!H:H,MATCH(E668,测试!A:A,0)),1)</f>
        <v>-</v>
      </c>
    </row>
    <row r="669" spans="1:6" hidden="1" x14ac:dyDescent="0.3">
      <c r="A669" s="1" t="s">
        <v>3828</v>
      </c>
      <c r="B669" s="1" t="s">
        <v>279</v>
      </c>
      <c r="C669" s="1" t="s">
        <v>280</v>
      </c>
      <c r="D669" s="1" t="s">
        <v>281</v>
      </c>
      <c r="E669" s="1" t="s">
        <v>282</v>
      </c>
      <c r="F669" s="7" t="str">
        <f>IFERROR(INDEX(测试!H:H,MATCH(E669,测试!A:A,0)),1)</f>
        <v>-</v>
      </c>
    </row>
    <row r="670" spans="1:6" hidden="1" x14ac:dyDescent="0.3">
      <c r="A670" s="1" t="s">
        <v>3828</v>
      </c>
      <c r="B670" s="1" t="s">
        <v>283</v>
      </c>
      <c r="C670" s="1" t="s">
        <v>284</v>
      </c>
      <c r="D670" s="1" t="s">
        <v>285</v>
      </c>
      <c r="E670" s="1" t="s">
        <v>286</v>
      </c>
      <c r="F670" s="7" t="str">
        <f>IFERROR(INDEX(测试!H:H,MATCH(E670,测试!A:A,0)),1)</f>
        <v>-</v>
      </c>
    </row>
    <row r="671" spans="1:6" hidden="1" x14ac:dyDescent="0.3">
      <c r="A671" s="1" t="s">
        <v>3828</v>
      </c>
      <c r="B671" s="1" t="s">
        <v>287</v>
      </c>
      <c r="C671" s="1" t="s">
        <v>288</v>
      </c>
      <c r="D671" s="1" t="s">
        <v>289</v>
      </c>
      <c r="E671" s="1" t="s">
        <v>290</v>
      </c>
      <c r="F671" s="7" t="str">
        <f>IFERROR(INDEX(测试!H:H,MATCH(E671,测试!A:A,0)),1)</f>
        <v>-</v>
      </c>
    </row>
    <row r="672" spans="1:6" hidden="1" x14ac:dyDescent="0.3">
      <c r="A672" s="1" t="s">
        <v>3828</v>
      </c>
      <c r="B672" s="1" t="s">
        <v>291</v>
      </c>
      <c r="C672" s="1" t="s">
        <v>292</v>
      </c>
      <c r="D672" s="1" t="s">
        <v>293</v>
      </c>
      <c r="E672" s="1" t="s">
        <v>294</v>
      </c>
      <c r="F672" s="7" t="str">
        <f>IFERROR(INDEX(测试!H:H,MATCH(E672,测试!A:A,0)),1)</f>
        <v>-</v>
      </c>
    </row>
    <row r="673" spans="1:6" hidden="1" x14ac:dyDescent="0.3">
      <c r="A673" s="1" t="s">
        <v>3828</v>
      </c>
      <c r="B673" s="1" t="s">
        <v>295</v>
      </c>
      <c r="C673" s="1" t="s">
        <v>296</v>
      </c>
      <c r="D673" s="1" t="s">
        <v>297</v>
      </c>
      <c r="E673" s="1" t="s">
        <v>298</v>
      </c>
      <c r="F673" s="7" t="str">
        <f>IFERROR(INDEX(测试!H:H,MATCH(E673,测试!A:A,0)),1)</f>
        <v>-</v>
      </c>
    </row>
    <row r="674" spans="1:6" hidden="1" x14ac:dyDescent="0.3">
      <c r="A674" s="1" t="s">
        <v>3828</v>
      </c>
      <c r="B674" s="1" t="s">
        <v>299</v>
      </c>
      <c r="C674" s="1" t="s">
        <v>300</v>
      </c>
      <c r="D674" s="1" t="s">
        <v>301</v>
      </c>
      <c r="E674" s="1" t="s">
        <v>302</v>
      </c>
      <c r="F674" s="7" t="str">
        <f>IFERROR(INDEX(测试!H:H,MATCH(E674,测试!A:A,0)),1)</f>
        <v>-</v>
      </c>
    </row>
    <row r="675" spans="1:6" hidden="1" x14ac:dyDescent="0.3">
      <c r="A675" s="1" t="s">
        <v>3828</v>
      </c>
      <c r="B675" s="1" t="s">
        <v>303</v>
      </c>
      <c r="C675" s="1" t="s">
        <v>304</v>
      </c>
      <c r="D675" s="1" t="s">
        <v>305</v>
      </c>
      <c r="E675" s="1" t="s">
        <v>306</v>
      </c>
      <c r="F675" s="7" t="str">
        <f>IFERROR(INDEX(测试!H:H,MATCH(E675,测试!A:A,0)),1)</f>
        <v>-</v>
      </c>
    </row>
    <row r="676" spans="1:6" hidden="1" x14ac:dyDescent="0.3">
      <c r="A676" s="1" t="s">
        <v>3828</v>
      </c>
      <c r="B676" s="1" t="s">
        <v>307</v>
      </c>
      <c r="C676" s="1" t="s">
        <v>308</v>
      </c>
      <c r="D676" s="1" t="s">
        <v>309</v>
      </c>
      <c r="E676" s="1" t="s">
        <v>310</v>
      </c>
      <c r="F676" s="7" t="str">
        <f>IFERROR(INDEX(测试!H:H,MATCH(E676,测试!A:A,0)),1)</f>
        <v>-</v>
      </c>
    </row>
    <row r="677" spans="1:6" hidden="1" x14ac:dyDescent="0.3">
      <c r="A677" s="1" t="s">
        <v>3828</v>
      </c>
      <c r="B677" s="1" t="s">
        <v>311</v>
      </c>
      <c r="C677" s="1" t="s">
        <v>312</v>
      </c>
      <c r="D677" s="1" t="s">
        <v>313</v>
      </c>
      <c r="E677" s="1" t="s">
        <v>314</v>
      </c>
      <c r="F677" s="7" t="str">
        <f>IFERROR(INDEX(测试!H:H,MATCH(E677,测试!A:A,0)),1)</f>
        <v>-</v>
      </c>
    </row>
    <row r="678" spans="1:6" hidden="1" x14ac:dyDescent="0.3">
      <c r="A678" s="1" t="s">
        <v>3828</v>
      </c>
      <c r="B678" s="1" t="s">
        <v>315</v>
      </c>
      <c r="C678" s="1" t="s">
        <v>316</v>
      </c>
      <c r="D678" s="1" t="s">
        <v>317</v>
      </c>
      <c r="E678" s="1" t="s">
        <v>318</v>
      </c>
      <c r="F678" s="7" t="str">
        <f>IFERROR(INDEX(测试!H:H,MATCH(E678,测试!A:A,0)),1)</f>
        <v>-</v>
      </c>
    </row>
    <row r="679" spans="1:6" hidden="1" x14ac:dyDescent="0.3">
      <c r="A679" s="1" t="s">
        <v>3828</v>
      </c>
      <c r="B679" s="1" t="s">
        <v>319</v>
      </c>
      <c r="C679" s="1" t="s">
        <v>320</v>
      </c>
      <c r="D679" s="1" t="s">
        <v>321</v>
      </c>
      <c r="E679" s="1" t="s">
        <v>322</v>
      </c>
      <c r="F679" s="7" t="str">
        <f>IFERROR(INDEX(测试!H:H,MATCH(E679,测试!A:A,0)),1)</f>
        <v>-</v>
      </c>
    </row>
    <row r="680" spans="1:6" hidden="1" x14ac:dyDescent="0.3">
      <c r="A680" s="1" t="s">
        <v>3828</v>
      </c>
      <c r="B680" s="1" t="s">
        <v>323</v>
      </c>
      <c r="C680" s="1" t="s">
        <v>324</v>
      </c>
      <c r="D680" s="1" t="s">
        <v>325</v>
      </c>
      <c r="E680" s="1" t="s">
        <v>326</v>
      </c>
      <c r="F680" s="7" t="str">
        <f>IFERROR(INDEX(测试!H:H,MATCH(E680,测试!A:A,0)),1)</f>
        <v>-</v>
      </c>
    </row>
    <row r="681" spans="1:6" hidden="1" x14ac:dyDescent="0.3">
      <c r="A681" s="1" t="s">
        <v>3828</v>
      </c>
      <c r="B681" s="1" t="s">
        <v>327</v>
      </c>
      <c r="C681" s="1" t="s">
        <v>328</v>
      </c>
      <c r="D681" s="1" t="s">
        <v>329</v>
      </c>
      <c r="E681" s="1" t="s">
        <v>330</v>
      </c>
      <c r="F681" s="7" t="str">
        <f>IFERROR(INDEX(测试!H:H,MATCH(E681,测试!A:A,0)),1)</f>
        <v>-</v>
      </c>
    </row>
    <row r="682" spans="1:6" hidden="1" x14ac:dyDescent="0.3">
      <c r="A682" s="1" t="s">
        <v>3828</v>
      </c>
      <c r="B682" s="1" t="s">
        <v>331</v>
      </c>
      <c r="C682" s="1" t="s">
        <v>332</v>
      </c>
      <c r="D682" s="1" t="s">
        <v>333</v>
      </c>
      <c r="E682" s="1" t="s">
        <v>334</v>
      </c>
      <c r="F682" s="7" t="str">
        <f>IFERROR(INDEX(测试!H:H,MATCH(E682,测试!A:A,0)),1)</f>
        <v>-</v>
      </c>
    </row>
    <row r="683" spans="1:6" hidden="1" x14ac:dyDescent="0.3">
      <c r="A683" s="1" t="s">
        <v>3828</v>
      </c>
      <c r="B683" s="1" t="s">
        <v>335</v>
      </c>
      <c r="C683" s="1" t="s">
        <v>336</v>
      </c>
      <c r="D683" s="1" t="s">
        <v>337</v>
      </c>
      <c r="E683" s="1" t="s">
        <v>338</v>
      </c>
      <c r="F683" s="7" t="str">
        <f>IFERROR(INDEX(测试!H:H,MATCH(E683,测试!A:A,0)),1)</f>
        <v>-</v>
      </c>
    </row>
    <row r="684" spans="1:6" hidden="1" x14ac:dyDescent="0.3">
      <c r="A684" s="1" t="s">
        <v>3828</v>
      </c>
      <c r="B684" s="1" t="s">
        <v>339</v>
      </c>
      <c r="C684" s="1" t="s">
        <v>340</v>
      </c>
      <c r="D684" s="1" t="s">
        <v>341</v>
      </c>
      <c r="E684" s="1" t="s">
        <v>342</v>
      </c>
      <c r="F684" s="7" t="str">
        <f>IFERROR(INDEX(测试!H:H,MATCH(E684,测试!A:A,0)),1)</f>
        <v>-</v>
      </c>
    </row>
    <row r="685" spans="1:6" hidden="1" x14ac:dyDescent="0.3">
      <c r="A685" s="1" t="s">
        <v>3828</v>
      </c>
      <c r="B685" s="1" t="s">
        <v>343</v>
      </c>
      <c r="C685" s="1" t="s">
        <v>344</v>
      </c>
      <c r="D685" s="1" t="s">
        <v>345</v>
      </c>
      <c r="E685" s="1" t="s">
        <v>346</v>
      </c>
      <c r="F685" s="7" t="str">
        <f>IFERROR(INDEX(测试!H:H,MATCH(E685,测试!A:A,0)),1)</f>
        <v>-</v>
      </c>
    </row>
    <row r="686" spans="1:6" hidden="1" x14ac:dyDescent="0.3">
      <c r="A686" s="1" t="s">
        <v>3828</v>
      </c>
      <c r="B686" s="1" t="s">
        <v>347</v>
      </c>
      <c r="C686" s="1" t="s">
        <v>348</v>
      </c>
      <c r="D686" s="1" t="s">
        <v>349</v>
      </c>
      <c r="E686" s="1" t="s">
        <v>350</v>
      </c>
      <c r="F686" s="7" t="str">
        <f>IFERROR(INDEX(测试!H:H,MATCH(E686,测试!A:A,0)),1)</f>
        <v>-</v>
      </c>
    </row>
    <row r="687" spans="1:6" hidden="1" x14ac:dyDescent="0.3">
      <c r="A687" s="1" t="s">
        <v>3828</v>
      </c>
      <c r="B687" s="1" t="s">
        <v>351</v>
      </c>
      <c r="C687" s="1" t="s">
        <v>352</v>
      </c>
      <c r="D687" s="1" t="s">
        <v>353</v>
      </c>
      <c r="E687" s="1" t="s">
        <v>354</v>
      </c>
      <c r="F687" s="7" t="str">
        <f>IFERROR(INDEX(测试!H:H,MATCH(E687,测试!A:A,0)),1)</f>
        <v>-</v>
      </c>
    </row>
    <row r="688" spans="1:6" hidden="1" x14ac:dyDescent="0.3">
      <c r="A688" s="1" t="s">
        <v>3828</v>
      </c>
      <c r="B688" s="1" t="s">
        <v>355</v>
      </c>
      <c r="C688" s="1" t="s">
        <v>356</v>
      </c>
      <c r="D688" s="1" t="s">
        <v>357</v>
      </c>
      <c r="E688" s="1" t="s">
        <v>358</v>
      </c>
      <c r="F688" s="7" t="str">
        <f>IFERROR(INDEX(测试!H:H,MATCH(E688,测试!A:A,0)),1)</f>
        <v>-</v>
      </c>
    </row>
    <row r="689" spans="1:6" hidden="1" x14ac:dyDescent="0.3">
      <c r="A689" s="1" t="s">
        <v>3828</v>
      </c>
      <c r="B689" s="1" t="s">
        <v>359</v>
      </c>
      <c r="C689" s="1" t="s">
        <v>360</v>
      </c>
      <c r="D689" s="1" t="s">
        <v>361</v>
      </c>
      <c r="E689" s="1" t="s">
        <v>362</v>
      </c>
      <c r="F689" s="7" t="str">
        <f>IFERROR(INDEX(测试!H:H,MATCH(E689,测试!A:A,0)),1)</f>
        <v>-</v>
      </c>
    </row>
    <row r="690" spans="1:6" hidden="1" x14ac:dyDescent="0.3">
      <c r="A690" s="1" t="s">
        <v>3828</v>
      </c>
      <c r="B690" s="1" t="s">
        <v>363</v>
      </c>
      <c r="C690" s="1" t="s">
        <v>364</v>
      </c>
      <c r="D690" s="1" t="s">
        <v>365</v>
      </c>
      <c r="E690" s="1" t="s">
        <v>366</v>
      </c>
      <c r="F690" s="7" t="str">
        <f>IFERROR(INDEX(测试!H:H,MATCH(E690,测试!A:A,0)),1)</f>
        <v>-</v>
      </c>
    </row>
    <row r="691" spans="1:6" hidden="1" x14ac:dyDescent="0.3">
      <c r="A691" s="1" t="s">
        <v>3828</v>
      </c>
      <c r="B691" s="1" t="s">
        <v>367</v>
      </c>
      <c r="C691" s="1" t="s">
        <v>368</v>
      </c>
      <c r="D691" s="1" t="s">
        <v>369</v>
      </c>
      <c r="E691" s="1" t="s">
        <v>370</v>
      </c>
      <c r="F691" s="7" t="str">
        <f>IFERROR(INDEX(测试!H:H,MATCH(E691,测试!A:A,0)),1)</f>
        <v>-</v>
      </c>
    </row>
    <row r="692" spans="1:6" hidden="1" x14ac:dyDescent="0.3">
      <c r="A692" s="1" t="s">
        <v>3828</v>
      </c>
      <c r="B692" s="1" t="s">
        <v>371</v>
      </c>
      <c r="C692" s="1" t="s">
        <v>372</v>
      </c>
      <c r="D692" s="1" t="s">
        <v>373</v>
      </c>
      <c r="E692" s="1" t="s">
        <v>374</v>
      </c>
      <c r="F692" s="7" t="str">
        <f>IFERROR(INDEX(测试!H:H,MATCH(E692,测试!A:A,0)),1)</f>
        <v>-</v>
      </c>
    </row>
    <row r="693" spans="1:6" hidden="1" x14ac:dyDescent="0.3">
      <c r="A693" s="1" t="s">
        <v>3828</v>
      </c>
      <c r="B693" s="1" t="s">
        <v>375</v>
      </c>
      <c r="C693" s="1" t="s">
        <v>376</v>
      </c>
      <c r="D693" s="1" t="s">
        <v>377</v>
      </c>
      <c r="E693" s="1" t="s">
        <v>378</v>
      </c>
      <c r="F693" s="7" t="str">
        <f>IFERROR(INDEX(测试!H:H,MATCH(E693,测试!A:A,0)),1)</f>
        <v>-</v>
      </c>
    </row>
    <row r="694" spans="1:6" hidden="1" x14ac:dyDescent="0.3">
      <c r="A694" s="1" t="s">
        <v>3828</v>
      </c>
      <c r="B694" s="1" t="s">
        <v>379</v>
      </c>
      <c r="C694" s="1" t="s">
        <v>380</v>
      </c>
      <c r="D694" s="1" t="s">
        <v>381</v>
      </c>
      <c r="E694" s="1" t="s">
        <v>382</v>
      </c>
      <c r="F694" s="7" t="str">
        <f>IFERROR(INDEX(测试!H:H,MATCH(E694,测试!A:A,0)),1)</f>
        <v>-</v>
      </c>
    </row>
    <row r="695" spans="1:6" hidden="1" x14ac:dyDescent="0.3">
      <c r="A695" s="1" t="s">
        <v>3828</v>
      </c>
      <c r="B695" s="1" t="s">
        <v>383</v>
      </c>
      <c r="C695" s="1" t="s">
        <v>384</v>
      </c>
      <c r="D695" s="1" t="s">
        <v>385</v>
      </c>
      <c r="E695" s="1" t="s">
        <v>386</v>
      </c>
      <c r="F695" s="7" t="str">
        <f>IFERROR(INDEX(测试!H:H,MATCH(E695,测试!A:A,0)),1)</f>
        <v>-</v>
      </c>
    </row>
    <row r="696" spans="1:6" hidden="1" x14ac:dyDescent="0.3">
      <c r="A696" s="1" t="s">
        <v>3828</v>
      </c>
      <c r="B696" s="1" t="s">
        <v>387</v>
      </c>
      <c r="C696" s="1" t="s">
        <v>388</v>
      </c>
      <c r="D696" s="1" t="s">
        <v>389</v>
      </c>
      <c r="E696" s="1" t="s">
        <v>390</v>
      </c>
      <c r="F696" s="7" t="str">
        <f>IFERROR(INDEX(测试!H:H,MATCH(E696,测试!A:A,0)),1)</f>
        <v>-</v>
      </c>
    </row>
    <row r="697" spans="1:6" hidden="1" x14ac:dyDescent="0.3">
      <c r="A697" s="1" t="s">
        <v>3828</v>
      </c>
      <c r="B697" s="1" t="s">
        <v>391</v>
      </c>
      <c r="C697" s="1" t="s">
        <v>392</v>
      </c>
      <c r="D697" s="1" t="s">
        <v>393</v>
      </c>
      <c r="E697" s="1" t="s">
        <v>394</v>
      </c>
      <c r="F697" s="7" t="str">
        <f>IFERROR(INDEX(测试!H:H,MATCH(E697,测试!A:A,0)),1)</f>
        <v>-</v>
      </c>
    </row>
    <row r="698" spans="1:6" hidden="1" x14ac:dyDescent="0.3">
      <c r="A698" s="1" t="s">
        <v>3828</v>
      </c>
      <c r="B698" s="1" t="s">
        <v>395</v>
      </c>
      <c r="C698" s="1" t="s">
        <v>396</v>
      </c>
      <c r="D698" s="1" t="s">
        <v>397</v>
      </c>
      <c r="E698" s="1" t="s">
        <v>398</v>
      </c>
      <c r="F698" s="7" t="str">
        <f>IFERROR(INDEX(测试!H:H,MATCH(E698,测试!A:A,0)),1)</f>
        <v>-</v>
      </c>
    </row>
    <row r="699" spans="1:6" hidden="1" x14ac:dyDescent="0.3">
      <c r="A699" s="1" t="s">
        <v>2972</v>
      </c>
      <c r="B699" s="1" t="s">
        <v>399</v>
      </c>
      <c r="C699" s="1" t="s">
        <v>2</v>
      </c>
      <c r="D699" s="1" t="s">
        <v>3</v>
      </c>
      <c r="E699" s="1" t="s">
        <v>400</v>
      </c>
      <c r="F699" s="7" t="str">
        <f>IFERROR(INDEX(测试!H:H,MATCH(E699,测试!A:A,0)),1)</f>
        <v>-</v>
      </c>
    </row>
    <row r="700" spans="1:6" hidden="1" x14ac:dyDescent="0.3">
      <c r="A700" s="1" t="s">
        <v>2972</v>
      </c>
      <c r="B700" s="1" t="s">
        <v>401</v>
      </c>
      <c r="C700" s="1" t="s">
        <v>4</v>
      </c>
      <c r="D700" s="1" t="s">
        <v>5</v>
      </c>
      <c r="E700" s="1" t="s">
        <v>402</v>
      </c>
      <c r="F700" s="7" t="str">
        <f>IFERROR(INDEX(测试!H:H,MATCH(E700,测试!A:A,0)),1)</f>
        <v>-</v>
      </c>
    </row>
    <row r="701" spans="1:6" hidden="1" x14ac:dyDescent="0.3">
      <c r="A701" s="1" t="s">
        <v>2972</v>
      </c>
      <c r="B701" s="1" t="s">
        <v>403</v>
      </c>
      <c r="C701" s="1" t="s">
        <v>6</v>
      </c>
      <c r="D701" s="1" t="s">
        <v>7</v>
      </c>
      <c r="E701" s="1" t="s">
        <v>404</v>
      </c>
      <c r="F701" s="7" t="str">
        <f>IFERROR(INDEX(测试!H:H,MATCH(E701,测试!A:A,0)),1)</f>
        <v>-</v>
      </c>
    </row>
    <row r="702" spans="1:6" hidden="1" x14ac:dyDescent="0.3">
      <c r="A702" s="1" t="s">
        <v>2972</v>
      </c>
      <c r="B702" s="1" t="s">
        <v>405</v>
      </c>
      <c r="C702" s="1" t="s">
        <v>8</v>
      </c>
      <c r="D702" s="1" t="s">
        <v>9</v>
      </c>
      <c r="E702" s="1" t="s">
        <v>406</v>
      </c>
      <c r="F702" s="7" t="str">
        <f>IFERROR(INDEX(测试!H:H,MATCH(E702,测试!A:A,0)),1)</f>
        <v>-</v>
      </c>
    </row>
    <row r="703" spans="1:6" hidden="1" x14ac:dyDescent="0.3">
      <c r="A703" s="1" t="s">
        <v>2972</v>
      </c>
      <c r="B703" s="1" t="s">
        <v>407</v>
      </c>
      <c r="C703" s="1" t="s">
        <v>408</v>
      </c>
      <c r="D703" s="1" t="s">
        <v>409</v>
      </c>
      <c r="E703" s="1" t="s">
        <v>410</v>
      </c>
      <c r="F703" s="7" t="str">
        <f>IFERROR(INDEX(测试!H:H,MATCH(E703,测试!A:A,0)),1)</f>
        <v>-</v>
      </c>
    </row>
    <row r="704" spans="1:6" hidden="1" x14ac:dyDescent="0.3">
      <c r="A704" s="1" t="s">
        <v>2972</v>
      </c>
      <c r="B704" s="1" t="s">
        <v>411</v>
      </c>
      <c r="C704" s="1" t="s">
        <v>412</v>
      </c>
      <c r="D704" s="1" t="s">
        <v>413</v>
      </c>
      <c r="E704" s="1" t="s">
        <v>414</v>
      </c>
      <c r="F704" s="7" t="str">
        <f>IFERROR(INDEX(测试!H:H,MATCH(E704,测试!A:A,0)),1)</f>
        <v>-</v>
      </c>
    </row>
    <row r="705" spans="1:6" hidden="1" x14ac:dyDescent="0.3">
      <c r="A705" s="1" t="s">
        <v>2972</v>
      </c>
      <c r="B705" s="1" t="s">
        <v>415</v>
      </c>
      <c r="C705" s="1" t="s">
        <v>416</v>
      </c>
      <c r="D705" s="1" t="s">
        <v>417</v>
      </c>
      <c r="E705" s="1" t="s">
        <v>418</v>
      </c>
      <c r="F705" s="7" t="str">
        <f>IFERROR(INDEX(测试!H:H,MATCH(E705,测试!A:A,0)),1)</f>
        <v>-</v>
      </c>
    </row>
    <row r="706" spans="1:6" hidden="1" x14ac:dyDescent="0.3">
      <c r="A706" s="1" t="s">
        <v>2972</v>
      </c>
      <c r="B706" s="1" t="s">
        <v>419</v>
      </c>
      <c r="C706" s="1" t="s">
        <v>420</v>
      </c>
      <c r="D706" s="1" t="s">
        <v>421</v>
      </c>
      <c r="E706" s="1" t="s">
        <v>422</v>
      </c>
      <c r="F706" s="7" t="str">
        <f>IFERROR(INDEX(测试!H:H,MATCH(E706,测试!A:A,0)),1)</f>
        <v>-</v>
      </c>
    </row>
    <row r="707" spans="1:6" hidden="1" x14ac:dyDescent="0.3">
      <c r="A707" s="1" t="s">
        <v>2971</v>
      </c>
      <c r="B707" s="1" t="s">
        <v>37</v>
      </c>
      <c r="C707" s="1" t="s">
        <v>38</v>
      </c>
      <c r="D707" s="1" t="s">
        <v>39</v>
      </c>
      <c r="E707" s="1" t="s">
        <v>40</v>
      </c>
      <c r="F707" s="7" t="str">
        <f>IFERROR(INDEX(测试!H:H,MATCH(E707,测试!A:A,0)),1)</f>
        <v>-</v>
      </c>
    </row>
    <row r="708" spans="1:6" hidden="1" x14ac:dyDescent="0.3">
      <c r="A708" s="1" t="s">
        <v>2951</v>
      </c>
      <c r="B708" s="1" t="s">
        <v>810</v>
      </c>
      <c r="C708" s="1" t="s">
        <v>0</v>
      </c>
      <c r="D708" s="1" t="s">
        <v>1</v>
      </c>
      <c r="E708" s="1" t="s">
        <v>811</v>
      </c>
      <c r="F708" s="7" t="str">
        <f>IFERROR(INDEX(测试!H:H,MATCH(E708,测试!A:A,0)),1)</f>
        <v>-</v>
      </c>
    </row>
    <row r="709" spans="1:6" hidden="1" x14ac:dyDescent="0.3">
      <c r="A709" s="1" t="s">
        <v>2950</v>
      </c>
      <c r="B709" s="1" t="s">
        <v>797</v>
      </c>
      <c r="C709" s="1" t="s">
        <v>798</v>
      </c>
      <c r="D709" s="1" t="s">
        <v>799</v>
      </c>
      <c r="E709" s="1" t="s">
        <v>800</v>
      </c>
      <c r="F709" s="7" t="str">
        <f>IFERROR(INDEX(测试!H:H,MATCH(E709,测试!A:A,0)),1)</f>
        <v>-</v>
      </c>
    </row>
    <row r="710" spans="1:6" hidden="1" x14ac:dyDescent="0.3">
      <c r="A710" s="1" t="s">
        <v>2950</v>
      </c>
      <c r="B710" s="1" t="s">
        <v>801</v>
      </c>
      <c r="C710" s="1" t="s">
        <v>802</v>
      </c>
      <c r="D710" s="1" t="s">
        <v>803</v>
      </c>
      <c r="E710" s="14" t="s">
        <v>3002</v>
      </c>
      <c r="F710" s="7" t="str">
        <f>IFERROR(INDEX(测试!H:H,MATCH(E710,测试!A:A,0)),1)</f>
        <v>-</v>
      </c>
    </row>
    <row r="711" spans="1:6" hidden="1" x14ac:dyDescent="0.3">
      <c r="A711" s="1" t="s">
        <v>2950</v>
      </c>
      <c r="B711" s="1" t="s">
        <v>804</v>
      </c>
      <c r="C711" s="1" t="s">
        <v>798</v>
      </c>
      <c r="D711" s="1" t="s">
        <v>805</v>
      </c>
      <c r="E711" s="1" t="s">
        <v>806</v>
      </c>
      <c r="F711" s="7" t="str">
        <f>IFERROR(INDEX(测试!H:H,MATCH(E711,测试!A:A,0)),1)</f>
        <v>-</v>
      </c>
    </row>
    <row r="712" spans="1:6" hidden="1" x14ac:dyDescent="0.3">
      <c r="A712" s="1" t="s">
        <v>2950</v>
      </c>
      <c r="B712" s="1" t="s">
        <v>807</v>
      </c>
      <c r="C712" s="1" t="s">
        <v>802</v>
      </c>
      <c r="D712" s="1" t="s">
        <v>808</v>
      </c>
      <c r="E712" s="1" t="s">
        <v>809</v>
      </c>
      <c r="F712" s="7" t="str">
        <f>IFERROR(INDEX(测试!H:H,MATCH(E712,测试!A:A,0)),1)</f>
        <v>-</v>
      </c>
    </row>
    <row r="713" spans="1:6" hidden="1" x14ac:dyDescent="0.3">
      <c r="A713" s="1" t="s">
        <v>2949</v>
      </c>
      <c r="B713" s="1" t="s">
        <v>755</v>
      </c>
      <c r="C713" s="1" t="s">
        <v>756</v>
      </c>
      <c r="D713" s="1" t="s">
        <v>757</v>
      </c>
      <c r="E713" s="1" t="s">
        <v>758</v>
      </c>
      <c r="F713" s="7" t="str">
        <f>IFERROR(INDEX(测试!H:H,MATCH(E713,测试!A:A,0)),1)</f>
        <v>文件名错误</v>
      </c>
    </row>
    <row r="714" spans="1:6" hidden="1" x14ac:dyDescent="0.3">
      <c r="A714" s="1" t="s">
        <v>2949</v>
      </c>
      <c r="B714" s="1" t="s">
        <v>759</v>
      </c>
      <c r="C714" s="1" t="s">
        <v>760</v>
      </c>
      <c r="D714" s="1" t="s">
        <v>761</v>
      </c>
      <c r="E714" s="1" t="s">
        <v>762</v>
      </c>
      <c r="F714" s="7" t="str">
        <f>IFERROR(INDEX(测试!H:H,MATCH(E714,测试!A:A,0)),1)</f>
        <v>文件名错误</v>
      </c>
    </row>
    <row r="715" spans="1:6" hidden="1" x14ac:dyDescent="0.3">
      <c r="A715" s="1" t="s">
        <v>2949</v>
      </c>
      <c r="B715" s="1" t="s">
        <v>763</v>
      </c>
      <c r="C715" s="1" t="s">
        <v>764</v>
      </c>
      <c r="D715" s="1" t="s">
        <v>765</v>
      </c>
      <c r="E715" s="1" t="s">
        <v>766</v>
      </c>
      <c r="F715" s="7" t="str">
        <f>IFERROR(INDEX(测试!H:H,MATCH(E715,测试!A:A,0)),1)</f>
        <v>文件名错误</v>
      </c>
    </row>
    <row r="716" spans="1:6" hidden="1" x14ac:dyDescent="0.3">
      <c r="A716" s="1" t="s">
        <v>2949</v>
      </c>
      <c r="B716" s="1" t="s">
        <v>767</v>
      </c>
      <c r="C716" s="1" t="s">
        <v>768</v>
      </c>
      <c r="D716" s="1" t="s">
        <v>769</v>
      </c>
      <c r="E716" s="14" t="s">
        <v>3001</v>
      </c>
      <c r="F716" s="7" t="str">
        <f>IFERROR(INDEX(测试!H:H,MATCH(E716,测试!A:A,0)),1)</f>
        <v>文件名错误</v>
      </c>
    </row>
    <row r="717" spans="1:6" hidden="1" x14ac:dyDescent="0.3">
      <c r="A717" s="1" t="s">
        <v>2949</v>
      </c>
      <c r="B717" s="1" t="s">
        <v>770</v>
      </c>
      <c r="C717" s="1" t="s">
        <v>771</v>
      </c>
      <c r="D717" s="1" t="s">
        <v>772</v>
      </c>
      <c r="E717" s="1" t="s">
        <v>773</v>
      </c>
      <c r="F717" s="7" t="str">
        <f>IFERROR(INDEX(测试!H:H,MATCH(E717,测试!A:A,0)),1)</f>
        <v>文件名错误</v>
      </c>
    </row>
    <row r="718" spans="1:6" hidden="1" x14ac:dyDescent="0.3">
      <c r="A718" s="1" t="s">
        <v>2949</v>
      </c>
      <c r="B718" s="1" t="s">
        <v>774</v>
      </c>
      <c r="C718" s="1" t="s">
        <v>775</v>
      </c>
      <c r="D718" s="1" t="s">
        <v>776</v>
      </c>
      <c r="E718" s="1" t="s">
        <v>777</v>
      </c>
      <c r="F718" s="7" t="str">
        <f>IFERROR(INDEX(测试!H:H,MATCH(E718,测试!A:A,0)),1)</f>
        <v>文件名错误</v>
      </c>
    </row>
    <row r="719" spans="1:6" hidden="1" x14ac:dyDescent="0.3">
      <c r="A719" s="1" t="s">
        <v>2949</v>
      </c>
      <c r="B719" s="1" t="s">
        <v>778</v>
      </c>
      <c r="C719" s="1" t="s">
        <v>779</v>
      </c>
      <c r="D719" s="1" t="s">
        <v>780</v>
      </c>
      <c r="E719" s="1" t="s">
        <v>781</v>
      </c>
      <c r="F719" s="7" t="str">
        <f>IFERROR(INDEX(测试!H:H,MATCH(E719,测试!A:A,0)),1)</f>
        <v>文件名错误</v>
      </c>
    </row>
    <row r="720" spans="1:6" hidden="1" x14ac:dyDescent="0.3">
      <c r="A720" s="1" t="s">
        <v>2949</v>
      </c>
      <c r="B720" s="1" t="s">
        <v>782</v>
      </c>
      <c r="C720" s="1" t="s">
        <v>783</v>
      </c>
      <c r="D720" s="1" t="s">
        <v>784</v>
      </c>
      <c r="E720" s="1" t="s">
        <v>785</v>
      </c>
      <c r="F720" s="7" t="str">
        <f>IFERROR(INDEX(测试!H:H,MATCH(E720,测试!A:A,0)),1)</f>
        <v>文件名错误</v>
      </c>
    </row>
    <row r="721" spans="1:6" hidden="1" x14ac:dyDescent="0.3">
      <c r="A721" s="1" t="s">
        <v>2949</v>
      </c>
      <c r="B721" s="1" t="s">
        <v>786</v>
      </c>
      <c r="C721" s="1" t="s">
        <v>787</v>
      </c>
      <c r="D721" s="1" t="s">
        <v>788</v>
      </c>
      <c r="E721" s="14" t="s">
        <v>3000</v>
      </c>
      <c r="F721" s="7" t="str">
        <f>IFERROR(INDEX(测试!H:H,MATCH(E721,测试!A:A,0)),1)</f>
        <v>文件名错误</v>
      </c>
    </row>
    <row r="722" spans="1:6" hidden="1" x14ac:dyDescent="0.3">
      <c r="A722" s="1" t="s">
        <v>2949</v>
      </c>
      <c r="B722" s="1" t="s">
        <v>789</v>
      </c>
      <c r="C722" s="1" t="s">
        <v>790</v>
      </c>
      <c r="D722" s="1" t="s">
        <v>791</v>
      </c>
      <c r="E722" s="1" t="s">
        <v>792</v>
      </c>
      <c r="F722" s="7" t="str">
        <f>IFERROR(INDEX(测试!H:H,MATCH(E722,测试!A:A,0)),1)</f>
        <v>文件名错误</v>
      </c>
    </row>
    <row r="723" spans="1:6" hidden="1" x14ac:dyDescent="0.3">
      <c r="A723" s="1" t="s">
        <v>2949</v>
      </c>
      <c r="B723" s="1" t="s">
        <v>793</v>
      </c>
      <c r="C723" s="1" t="s">
        <v>794</v>
      </c>
      <c r="D723" s="1" t="s">
        <v>795</v>
      </c>
      <c r="E723" s="1" t="s">
        <v>796</v>
      </c>
      <c r="F723" s="7" t="str">
        <f>IFERROR(INDEX(测试!H:H,MATCH(E723,测试!A:A,0)),1)</f>
        <v>文件名错误</v>
      </c>
    </row>
    <row r="724" spans="1:6" hidden="1" x14ac:dyDescent="0.3">
      <c r="A724" s="1" t="s">
        <v>2948</v>
      </c>
      <c r="B724" s="1" t="s">
        <v>513</v>
      </c>
      <c r="C724" s="1" t="s">
        <v>514</v>
      </c>
      <c r="D724" s="1" t="s">
        <v>515</v>
      </c>
      <c r="E724" s="1" t="s">
        <v>516</v>
      </c>
      <c r="F724" s="7" t="str">
        <f>IFERROR(INDEX(测试!H:H,MATCH(E724,测试!A:A,0)),1)</f>
        <v>-</v>
      </c>
    </row>
    <row r="725" spans="1:6" hidden="1" x14ac:dyDescent="0.3">
      <c r="A725" s="1" t="s">
        <v>2948</v>
      </c>
      <c r="B725" s="1" t="s">
        <v>517</v>
      </c>
      <c r="C725" s="1" t="s">
        <v>518</v>
      </c>
      <c r="D725" s="1" t="s">
        <v>519</v>
      </c>
      <c r="E725" s="1" t="s">
        <v>520</v>
      </c>
      <c r="F725" s="7" t="str">
        <f>IFERROR(INDEX(测试!H:H,MATCH(E725,测试!A:A,0)),1)</f>
        <v>-</v>
      </c>
    </row>
    <row r="726" spans="1:6" hidden="1" x14ac:dyDescent="0.3">
      <c r="A726" s="1" t="s">
        <v>2948</v>
      </c>
      <c r="B726" s="1" t="s">
        <v>521</v>
      </c>
      <c r="C726" s="1" t="s">
        <v>522</v>
      </c>
      <c r="D726" s="1" t="s">
        <v>523</v>
      </c>
      <c r="E726" s="1" t="s">
        <v>524</v>
      </c>
      <c r="F726" s="7" t="str">
        <f>IFERROR(INDEX(测试!H:H,MATCH(E726,测试!A:A,0)),1)</f>
        <v>-</v>
      </c>
    </row>
    <row r="727" spans="1:6" hidden="1" x14ac:dyDescent="0.3">
      <c r="A727" s="1" t="s">
        <v>2948</v>
      </c>
      <c r="B727" s="1" t="s">
        <v>525</v>
      </c>
      <c r="C727" s="1" t="s">
        <v>526</v>
      </c>
      <c r="D727" s="1" t="s">
        <v>527</v>
      </c>
      <c r="E727" s="1" t="s">
        <v>528</v>
      </c>
      <c r="F727" s="7" t="str">
        <f>IFERROR(INDEX(测试!H:H,MATCH(E727,测试!A:A,0)),1)</f>
        <v>-</v>
      </c>
    </row>
    <row r="728" spans="1:6" hidden="1" x14ac:dyDescent="0.3">
      <c r="A728" s="1" t="s">
        <v>2948</v>
      </c>
      <c r="B728" s="1" t="s">
        <v>529</v>
      </c>
      <c r="C728" s="1" t="s">
        <v>530</v>
      </c>
      <c r="D728" s="1" t="s">
        <v>531</v>
      </c>
      <c r="E728" s="1" t="s">
        <v>532</v>
      </c>
      <c r="F728" s="7" t="str">
        <f>IFERROR(INDEX(测试!H:H,MATCH(E728,测试!A:A,0)),1)</f>
        <v>-</v>
      </c>
    </row>
    <row r="729" spans="1:6" hidden="1" x14ac:dyDescent="0.3">
      <c r="A729" s="1" t="s">
        <v>2948</v>
      </c>
      <c r="B729" s="1" t="s">
        <v>533</v>
      </c>
      <c r="C729" s="1" t="s">
        <v>534</v>
      </c>
      <c r="D729" s="1" t="s">
        <v>535</v>
      </c>
      <c r="E729" s="1" t="s">
        <v>536</v>
      </c>
      <c r="F729" s="7" t="str">
        <f>IFERROR(INDEX(测试!H:H,MATCH(E729,测试!A:A,0)),1)</f>
        <v>-</v>
      </c>
    </row>
    <row r="730" spans="1:6" hidden="1" x14ac:dyDescent="0.3">
      <c r="A730" s="1" t="s">
        <v>2948</v>
      </c>
      <c r="B730" s="1" t="s">
        <v>537</v>
      </c>
      <c r="C730" s="1" t="s">
        <v>538</v>
      </c>
      <c r="D730" s="1" t="s">
        <v>539</v>
      </c>
      <c r="E730" s="1" t="s">
        <v>540</v>
      </c>
      <c r="F730" s="7" t="str">
        <f>IFERROR(INDEX(测试!H:H,MATCH(E730,测试!A:A,0)),1)</f>
        <v>-</v>
      </c>
    </row>
    <row r="731" spans="1:6" hidden="1" x14ac:dyDescent="0.3">
      <c r="A731" s="1" t="s">
        <v>2948</v>
      </c>
      <c r="B731" s="1" t="s">
        <v>541</v>
      </c>
      <c r="C731" s="1" t="s">
        <v>542</v>
      </c>
      <c r="D731" s="1" t="s">
        <v>543</v>
      </c>
      <c r="E731" s="1" t="s">
        <v>544</v>
      </c>
      <c r="F731" s="7" t="str">
        <f>IFERROR(INDEX(测试!H:H,MATCH(E731,测试!A:A,0)),1)</f>
        <v>-</v>
      </c>
    </row>
    <row r="732" spans="1:6" hidden="1" x14ac:dyDescent="0.3">
      <c r="A732" s="1" t="s">
        <v>2948</v>
      </c>
      <c r="B732" s="1" t="s">
        <v>545</v>
      </c>
      <c r="C732" s="1" t="s">
        <v>546</v>
      </c>
      <c r="D732" s="1" t="s">
        <v>547</v>
      </c>
      <c r="E732" s="1" t="s">
        <v>548</v>
      </c>
      <c r="F732" s="7" t="str">
        <f>IFERROR(INDEX(测试!H:H,MATCH(E732,测试!A:A,0)),1)</f>
        <v>-</v>
      </c>
    </row>
    <row r="733" spans="1:6" hidden="1" x14ac:dyDescent="0.3">
      <c r="A733" s="1" t="s">
        <v>2948</v>
      </c>
      <c r="B733" s="1" t="s">
        <v>549</v>
      </c>
      <c r="C733" s="1" t="s">
        <v>550</v>
      </c>
      <c r="D733" s="1" t="s">
        <v>551</v>
      </c>
      <c r="E733" s="1" t="s">
        <v>552</v>
      </c>
      <c r="F733" s="7" t="str">
        <f>IFERROR(INDEX(测试!H:H,MATCH(E733,测试!A:A,0)),1)</f>
        <v>-</v>
      </c>
    </row>
    <row r="734" spans="1:6" hidden="1" x14ac:dyDescent="0.3">
      <c r="A734" s="1" t="s">
        <v>2948</v>
      </c>
      <c r="B734" s="1" t="s">
        <v>553</v>
      </c>
      <c r="C734" s="1" t="s">
        <v>554</v>
      </c>
      <c r="D734" s="1" t="s">
        <v>555</v>
      </c>
      <c r="E734" s="1" t="s">
        <v>556</v>
      </c>
      <c r="F734" s="7" t="str">
        <f>IFERROR(INDEX(测试!H:H,MATCH(E734,测试!A:A,0)),1)</f>
        <v>-</v>
      </c>
    </row>
    <row r="735" spans="1:6" hidden="1" x14ac:dyDescent="0.3">
      <c r="A735" s="1" t="s">
        <v>2948</v>
      </c>
      <c r="B735" s="1" t="s">
        <v>557</v>
      </c>
      <c r="C735" s="1" t="s">
        <v>558</v>
      </c>
      <c r="D735" s="1" t="s">
        <v>559</v>
      </c>
      <c r="E735" s="1" t="s">
        <v>560</v>
      </c>
      <c r="F735" s="7" t="str">
        <f>IFERROR(INDEX(测试!H:H,MATCH(E735,测试!A:A,0)),1)</f>
        <v>-</v>
      </c>
    </row>
    <row r="736" spans="1:6" hidden="1" x14ac:dyDescent="0.3">
      <c r="A736" s="1" t="s">
        <v>2948</v>
      </c>
      <c r="B736" s="1" t="s">
        <v>561</v>
      </c>
      <c r="C736" s="1" t="s">
        <v>562</v>
      </c>
      <c r="D736" s="1" t="s">
        <v>563</v>
      </c>
      <c r="E736" s="1" t="s">
        <v>564</v>
      </c>
      <c r="F736" s="7" t="str">
        <f>IFERROR(INDEX(测试!H:H,MATCH(E736,测试!A:A,0)),1)</f>
        <v>-</v>
      </c>
    </row>
    <row r="737" spans="1:6" hidden="1" x14ac:dyDescent="0.3">
      <c r="A737" s="1" t="s">
        <v>2948</v>
      </c>
      <c r="B737" s="1" t="s">
        <v>565</v>
      </c>
      <c r="C737" s="1" t="s">
        <v>566</v>
      </c>
      <c r="D737" s="1" t="s">
        <v>567</v>
      </c>
      <c r="E737" s="1" t="s">
        <v>568</v>
      </c>
      <c r="F737" s="7" t="str">
        <f>IFERROR(INDEX(测试!H:H,MATCH(E737,测试!A:A,0)),1)</f>
        <v>-</v>
      </c>
    </row>
    <row r="738" spans="1:6" hidden="1" x14ac:dyDescent="0.3">
      <c r="A738" s="1" t="s">
        <v>2948</v>
      </c>
      <c r="B738" s="1" t="s">
        <v>569</v>
      </c>
      <c r="C738" s="1" t="s">
        <v>570</v>
      </c>
      <c r="D738" s="1" t="s">
        <v>571</v>
      </c>
      <c r="E738" s="14" t="s">
        <v>2999</v>
      </c>
      <c r="F738" s="7" t="str">
        <f>IFERROR(INDEX(测试!H:H,MATCH(E738,测试!A:A,0)),1)</f>
        <v>-</v>
      </c>
    </row>
    <row r="739" spans="1:6" hidden="1" x14ac:dyDescent="0.3">
      <c r="A739" s="1" t="s">
        <v>2948</v>
      </c>
      <c r="B739" s="1" t="s">
        <v>572</v>
      </c>
      <c r="C739" s="1" t="s">
        <v>573</v>
      </c>
      <c r="D739" s="1" t="s">
        <v>574</v>
      </c>
      <c r="E739" s="1" t="s">
        <v>575</v>
      </c>
      <c r="F739" s="7" t="str">
        <f>IFERROR(INDEX(测试!H:H,MATCH(E739,测试!A:A,0)),1)</f>
        <v>-</v>
      </c>
    </row>
    <row r="740" spans="1:6" hidden="1" x14ac:dyDescent="0.3">
      <c r="A740" s="1" t="s">
        <v>2948</v>
      </c>
      <c r="B740" s="1" t="s">
        <v>576</v>
      </c>
      <c r="C740" s="1" t="s">
        <v>577</v>
      </c>
      <c r="D740" s="1" t="s">
        <v>578</v>
      </c>
      <c r="E740" s="1" t="s">
        <v>579</v>
      </c>
      <c r="F740" s="7" t="str">
        <f>IFERROR(INDEX(测试!H:H,MATCH(E740,测试!A:A,0)),1)</f>
        <v>-</v>
      </c>
    </row>
    <row r="741" spans="1:6" hidden="1" x14ac:dyDescent="0.3">
      <c r="A741" s="1" t="s">
        <v>2948</v>
      </c>
      <c r="B741" s="1" t="s">
        <v>580</v>
      </c>
      <c r="C741" s="1" t="s">
        <v>581</v>
      </c>
      <c r="D741" s="1" t="s">
        <v>582</v>
      </c>
      <c r="E741" s="1" t="s">
        <v>583</v>
      </c>
      <c r="F741" s="7" t="str">
        <f>IFERROR(INDEX(测试!H:H,MATCH(E741,测试!A:A,0)),1)</f>
        <v>-</v>
      </c>
    </row>
    <row r="742" spans="1:6" hidden="1" x14ac:dyDescent="0.3">
      <c r="A742" s="1" t="s">
        <v>2948</v>
      </c>
      <c r="B742" s="1" t="s">
        <v>584</v>
      </c>
      <c r="C742" s="1" t="s">
        <v>585</v>
      </c>
      <c r="D742" s="1" t="s">
        <v>586</v>
      </c>
      <c r="E742" s="1" t="s">
        <v>587</v>
      </c>
      <c r="F742" s="7" t="str">
        <f>IFERROR(INDEX(测试!H:H,MATCH(E742,测试!A:A,0)),1)</f>
        <v>-</v>
      </c>
    </row>
    <row r="743" spans="1:6" hidden="1" x14ac:dyDescent="0.3">
      <c r="A743" s="1" t="s">
        <v>2948</v>
      </c>
      <c r="B743" s="1" t="s">
        <v>588</v>
      </c>
      <c r="C743" s="1" t="s">
        <v>589</v>
      </c>
      <c r="D743" s="1" t="s">
        <v>590</v>
      </c>
      <c r="E743" s="1" t="s">
        <v>591</v>
      </c>
      <c r="F743" s="7" t="str">
        <f>IFERROR(INDEX(测试!H:H,MATCH(E743,测试!A:A,0)),1)</f>
        <v>-</v>
      </c>
    </row>
    <row r="744" spans="1:6" hidden="1" x14ac:dyDescent="0.3">
      <c r="A744" s="1" t="s">
        <v>2948</v>
      </c>
      <c r="B744" s="1" t="s">
        <v>592</v>
      </c>
      <c r="C744" s="1" t="s">
        <v>593</v>
      </c>
      <c r="D744" s="1" t="s">
        <v>594</v>
      </c>
      <c r="E744" s="1" t="s">
        <v>595</v>
      </c>
      <c r="F744" s="7" t="str">
        <f>IFERROR(INDEX(测试!H:H,MATCH(E744,测试!A:A,0)),1)</f>
        <v>-</v>
      </c>
    </row>
    <row r="745" spans="1:6" hidden="1" x14ac:dyDescent="0.3">
      <c r="A745" s="1" t="s">
        <v>2948</v>
      </c>
      <c r="B745" s="1" t="s">
        <v>596</v>
      </c>
      <c r="C745" s="1" t="s">
        <v>597</v>
      </c>
      <c r="D745" s="1" t="s">
        <v>598</v>
      </c>
      <c r="E745" s="1" t="s">
        <v>599</v>
      </c>
      <c r="F745" s="7" t="str">
        <f>IFERROR(INDEX(测试!H:H,MATCH(E745,测试!A:A,0)),1)</f>
        <v>-</v>
      </c>
    </row>
    <row r="746" spans="1:6" hidden="1" x14ac:dyDescent="0.3">
      <c r="A746" s="1" t="s">
        <v>2948</v>
      </c>
      <c r="B746" s="1" t="s">
        <v>600</v>
      </c>
      <c r="C746" s="1" t="s">
        <v>601</v>
      </c>
      <c r="D746" s="1" t="s">
        <v>602</v>
      </c>
      <c r="E746" s="1" t="s">
        <v>603</v>
      </c>
      <c r="F746" s="7" t="str">
        <f>IFERROR(INDEX(测试!H:H,MATCH(E746,测试!A:A,0)),1)</f>
        <v>-</v>
      </c>
    </row>
    <row r="747" spans="1:6" hidden="1" x14ac:dyDescent="0.3">
      <c r="A747" s="1" t="s">
        <v>2948</v>
      </c>
      <c r="B747" s="1" t="s">
        <v>604</v>
      </c>
      <c r="C747" s="1" t="s">
        <v>605</v>
      </c>
      <c r="D747" s="1" t="s">
        <v>606</v>
      </c>
      <c r="E747" s="1" t="s">
        <v>607</v>
      </c>
      <c r="F747" s="7" t="str">
        <f>IFERROR(INDEX(测试!H:H,MATCH(E747,测试!A:A,0)),1)</f>
        <v>-</v>
      </c>
    </row>
    <row r="748" spans="1:6" hidden="1" x14ac:dyDescent="0.3">
      <c r="A748" s="1" t="s">
        <v>2948</v>
      </c>
      <c r="B748" s="1" t="s">
        <v>608</v>
      </c>
      <c r="C748" s="1" t="s">
        <v>609</v>
      </c>
      <c r="D748" s="1" t="s">
        <v>610</v>
      </c>
      <c r="E748" s="1" t="s">
        <v>611</v>
      </c>
      <c r="F748" s="7" t="str">
        <f>IFERROR(INDEX(测试!H:H,MATCH(E748,测试!A:A,0)),1)</f>
        <v>-</v>
      </c>
    </row>
    <row r="749" spans="1:6" hidden="1" x14ac:dyDescent="0.3">
      <c r="A749" s="1" t="s">
        <v>2948</v>
      </c>
      <c r="B749" s="1" t="s">
        <v>612</v>
      </c>
      <c r="C749" s="1" t="s">
        <v>613</v>
      </c>
      <c r="D749" s="1" t="s">
        <v>614</v>
      </c>
      <c r="E749" s="1" t="s">
        <v>615</v>
      </c>
      <c r="F749" s="7" t="str">
        <f>IFERROR(INDEX(测试!H:H,MATCH(E749,测试!A:A,0)),1)</f>
        <v>-</v>
      </c>
    </row>
    <row r="750" spans="1:6" hidden="1" x14ac:dyDescent="0.3">
      <c r="A750" s="1" t="s">
        <v>2948</v>
      </c>
      <c r="B750" s="1" t="s">
        <v>616</v>
      </c>
      <c r="C750" s="1" t="s">
        <v>617</v>
      </c>
      <c r="D750" s="1" t="s">
        <v>618</v>
      </c>
      <c r="E750" s="1" t="s">
        <v>619</v>
      </c>
      <c r="F750" s="7" t="str">
        <f>IFERROR(INDEX(测试!H:H,MATCH(E750,测试!A:A,0)),1)</f>
        <v>-</v>
      </c>
    </row>
    <row r="751" spans="1:6" hidden="1" x14ac:dyDescent="0.3">
      <c r="A751" s="1" t="s">
        <v>2948</v>
      </c>
      <c r="B751" s="1" t="s">
        <v>620</v>
      </c>
      <c r="C751" s="1" t="s">
        <v>621</v>
      </c>
      <c r="D751" s="1" t="s">
        <v>622</v>
      </c>
      <c r="E751" s="1" t="s">
        <v>623</v>
      </c>
      <c r="F751" s="7" t="str">
        <f>IFERROR(INDEX(测试!H:H,MATCH(E751,测试!A:A,0)),1)</f>
        <v>-</v>
      </c>
    </row>
    <row r="752" spans="1:6" hidden="1" x14ac:dyDescent="0.3">
      <c r="A752" s="1" t="s">
        <v>2948</v>
      </c>
      <c r="B752" s="1" t="s">
        <v>624</v>
      </c>
      <c r="C752" s="1" t="s">
        <v>625</v>
      </c>
      <c r="D752" s="1" t="s">
        <v>626</v>
      </c>
      <c r="E752" s="1" t="s">
        <v>627</v>
      </c>
      <c r="F752" s="7" t="str">
        <f>IFERROR(INDEX(测试!H:H,MATCH(E752,测试!A:A,0)),1)</f>
        <v>-</v>
      </c>
    </row>
    <row r="753" spans="1:6" hidden="1" x14ac:dyDescent="0.3">
      <c r="A753" s="1" t="s">
        <v>2948</v>
      </c>
      <c r="B753" s="1" t="s">
        <v>628</v>
      </c>
      <c r="C753" s="1" t="s">
        <v>629</v>
      </c>
      <c r="D753" s="1" t="s">
        <v>630</v>
      </c>
      <c r="E753" s="1" t="s">
        <v>631</v>
      </c>
      <c r="F753" s="7" t="str">
        <f>IFERROR(INDEX(测试!H:H,MATCH(E753,测试!A:A,0)),1)</f>
        <v>-</v>
      </c>
    </row>
    <row r="754" spans="1:6" hidden="1" x14ac:dyDescent="0.3">
      <c r="A754" s="1" t="s">
        <v>2948</v>
      </c>
      <c r="B754" s="1" t="s">
        <v>632</v>
      </c>
      <c r="C754" s="1" t="s">
        <v>633</v>
      </c>
      <c r="D754" s="1" t="s">
        <v>634</v>
      </c>
      <c r="E754" s="1" t="s">
        <v>635</v>
      </c>
      <c r="F754" s="7" t="str">
        <f>IFERROR(INDEX(测试!H:H,MATCH(E754,测试!A:A,0)),1)</f>
        <v>-</v>
      </c>
    </row>
    <row r="755" spans="1:6" hidden="1" x14ac:dyDescent="0.3">
      <c r="A755" s="1" t="s">
        <v>2948</v>
      </c>
      <c r="B755" s="1" t="s">
        <v>636</v>
      </c>
      <c r="C755" s="1" t="s">
        <v>637</v>
      </c>
      <c r="D755" s="1" t="s">
        <v>638</v>
      </c>
      <c r="E755" s="1" t="s">
        <v>639</v>
      </c>
      <c r="F755" s="7" t="str">
        <f>IFERROR(INDEX(测试!H:H,MATCH(E755,测试!A:A,0)),1)</f>
        <v>-</v>
      </c>
    </row>
    <row r="756" spans="1:6" hidden="1" x14ac:dyDescent="0.3">
      <c r="A756" s="1" t="s">
        <v>2948</v>
      </c>
      <c r="B756" s="1" t="s">
        <v>3983</v>
      </c>
      <c r="C756" s="1" t="s">
        <v>642</v>
      </c>
      <c r="D756" s="1" t="s">
        <v>3257</v>
      </c>
      <c r="E756" s="1" t="s">
        <v>643</v>
      </c>
      <c r="F756" s="7" t="str">
        <f>IFERROR(INDEX(测试!H:H,MATCH(E756,测试!A:A,0)),1)</f>
        <v>-</v>
      </c>
    </row>
    <row r="757" spans="1:6" hidden="1" x14ac:dyDescent="0.3">
      <c r="A757" s="1" t="s">
        <v>2948</v>
      </c>
      <c r="B757" s="1" t="s">
        <v>3984</v>
      </c>
      <c r="C757" s="1" t="s">
        <v>648</v>
      </c>
      <c r="D757" s="1" t="s">
        <v>3259</v>
      </c>
      <c r="E757" s="1" t="s">
        <v>649</v>
      </c>
      <c r="F757" s="7" t="str">
        <f>IFERROR(INDEX(测试!H:H,MATCH(E757,测试!A:A,0)),1)</f>
        <v>-</v>
      </c>
    </row>
    <row r="758" spans="1:6" hidden="1" x14ac:dyDescent="0.3">
      <c r="A758" s="1" t="s">
        <v>2948</v>
      </c>
      <c r="B758" s="1" t="s">
        <v>644</v>
      </c>
      <c r="C758" s="1" t="s">
        <v>645</v>
      </c>
      <c r="D758" s="1" t="s">
        <v>646</v>
      </c>
      <c r="E758" s="1" t="s">
        <v>647</v>
      </c>
      <c r="F758" s="7" t="str">
        <f>IFERROR(INDEX(测试!H:H,MATCH(E758,测试!A:A,0)),1)</f>
        <v>-</v>
      </c>
    </row>
    <row r="759" spans="1:6" hidden="1" x14ac:dyDescent="0.3">
      <c r="A759" s="1" t="s">
        <v>2948</v>
      </c>
      <c r="B759" s="1" t="s">
        <v>3985</v>
      </c>
      <c r="C759" s="1" t="s">
        <v>640</v>
      </c>
      <c r="D759" s="1" t="s">
        <v>3256</v>
      </c>
      <c r="E759" s="1" t="s">
        <v>641</v>
      </c>
      <c r="F759" s="7" t="str">
        <f>IFERROR(INDEX(测试!H:H,MATCH(E759,测试!A:A,0)),1)</f>
        <v>-</v>
      </c>
    </row>
    <row r="760" spans="1:6" hidden="1" x14ac:dyDescent="0.3">
      <c r="A760" s="1" t="s">
        <v>2948</v>
      </c>
      <c r="B760" s="1" t="s">
        <v>650</v>
      </c>
      <c r="C760" s="1" t="s">
        <v>651</v>
      </c>
      <c r="D760" s="1" t="s">
        <v>652</v>
      </c>
      <c r="E760" s="1" t="s">
        <v>653</v>
      </c>
      <c r="F760" s="7" t="str">
        <f>IFERROR(INDEX(测试!H:H,MATCH(E760,测试!A:A,0)),1)</f>
        <v>-</v>
      </c>
    </row>
    <row r="761" spans="1:6" hidden="1" x14ac:dyDescent="0.3">
      <c r="A761" s="1" t="s">
        <v>2948</v>
      </c>
      <c r="B761" s="1" t="s">
        <v>654</v>
      </c>
      <c r="C761" s="1" t="s">
        <v>655</v>
      </c>
      <c r="D761" s="1" t="s">
        <v>656</v>
      </c>
      <c r="E761" s="1" t="s">
        <v>657</v>
      </c>
      <c r="F761" s="7" t="str">
        <f>IFERROR(INDEX(测试!H:H,MATCH(E761,测试!A:A,0)),1)</f>
        <v>-</v>
      </c>
    </row>
    <row r="762" spans="1:6" hidden="1" x14ac:dyDescent="0.3">
      <c r="A762" s="1" t="s">
        <v>2948</v>
      </c>
      <c r="B762" s="1" t="s">
        <v>658</v>
      </c>
      <c r="C762" s="1" t="s">
        <v>659</v>
      </c>
      <c r="D762" s="1" t="s">
        <v>660</v>
      </c>
      <c r="E762" s="1" t="s">
        <v>661</v>
      </c>
      <c r="F762" s="7" t="str">
        <f>IFERROR(INDEX(测试!H:H,MATCH(E762,测试!A:A,0)),1)</f>
        <v>-</v>
      </c>
    </row>
    <row r="763" spans="1:6" hidden="1" x14ac:dyDescent="0.3">
      <c r="A763" s="1" t="s">
        <v>2948</v>
      </c>
      <c r="B763" s="1" t="s">
        <v>662</v>
      </c>
      <c r="C763" s="1" t="s">
        <v>663</v>
      </c>
      <c r="D763" s="1" t="s">
        <v>664</v>
      </c>
      <c r="E763" s="1" t="s">
        <v>665</v>
      </c>
      <c r="F763" s="7" t="str">
        <f>IFERROR(INDEX(测试!H:H,MATCH(E763,测试!A:A,0)),1)</f>
        <v>-</v>
      </c>
    </row>
    <row r="764" spans="1:6" hidden="1" x14ac:dyDescent="0.3">
      <c r="A764" s="1" t="s">
        <v>2948</v>
      </c>
      <c r="B764" s="1" t="s">
        <v>666</v>
      </c>
      <c r="C764" s="1" t="s">
        <v>667</v>
      </c>
      <c r="D764" s="1" t="s">
        <v>668</v>
      </c>
      <c r="E764" s="1" t="s">
        <v>2998</v>
      </c>
      <c r="F764" s="7" t="str">
        <f>IFERROR(INDEX(测试!H:H,MATCH(E764,测试!A:A,0)),1)</f>
        <v>-</v>
      </c>
    </row>
    <row r="765" spans="1:6" hidden="1" x14ac:dyDescent="0.3">
      <c r="A765" s="1" t="s">
        <v>2948</v>
      </c>
      <c r="B765" s="1" t="s">
        <v>669</v>
      </c>
      <c r="C765" s="1" t="s">
        <v>670</v>
      </c>
      <c r="D765" s="1" t="s">
        <v>671</v>
      </c>
      <c r="E765" s="1" t="s">
        <v>672</v>
      </c>
      <c r="F765" s="7" t="str">
        <f>IFERROR(INDEX(测试!H:H,MATCH(E765,测试!A:A,0)),1)</f>
        <v>-</v>
      </c>
    </row>
    <row r="766" spans="1:6" hidden="1" x14ac:dyDescent="0.3">
      <c r="A766" s="1" t="s">
        <v>2948</v>
      </c>
      <c r="B766" s="1" t="s">
        <v>673</v>
      </c>
      <c r="C766" s="1" t="s">
        <v>674</v>
      </c>
      <c r="D766" s="1" t="s">
        <v>675</v>
      </c>
      <c r="E766" s="1" t="s">
        <v>676</v>
      </c>
      <c r="F766" s="7" t="str">
        <f>IFERROR(INDEX(测试!H:H,MATCH(E766,测试!A:A,0)),1)</f>
        <v>-</v>
      </c>
    </row>
    <row r="767" spans="1:6" hidden="1" x14ac:dyDescent="0.3">
      <c r="A767" s="1" t="s">
        <v>2948</v>
      </c>
      <c r="B767" s="1" t="s">
        <v>677</v>
      </c>
      <c r="C767" s="1" t="s">
        <v>678</v>
      </c>
      <c r="D767" s="1" t="s">
        <v>679</v>
      </c>
      <c r="E767" s="1" t="s">
        <v>680</v>
      </c>
      <c r="F767" s="7" t="str">
        <f>IFERROR(INDEX(测试!H:H,MATCH(E767,测试!A:A,0)),1)</f>
        <v>-</v>
      </c>
    </row>
    <row r="768" spans="1:6" hidden="1" x14ac:dyDescent="0.3">
      <c r="A768" s="1" t="s">
        <v>2948</v>
      </c>
      <c r="B768" s="1" t="s">
        <v>681</v>
      </c>
      <c r="C768" s="1" t="s">
        <v>682</v>
      </c>
      <c r="D768" s="1" t="s">
        <v>683</v>
      </c>
      <c r="E768" s="1" t="s">
        <v>684</v>
      </c>
      <c r="F768" s="7" t="str">
        <f>IFERROR(INDEX(测试!H:H,MATCH(E768,测试!A:A,0)),1)</f>
        <v>-</v>
      </c>
    </row>
    <row r="769" spans="1:6" hidden="1" x14ac:dyDescent="0.3">
      <c r="A769" s="1" t="s">
        <v>2948</v>
      </c>
      <c r="B769" s="1" t="s">
        <v>685</v>
      </c>
      <c r="C769" s="1" t="s">
        <v>686</v>
      </c>
      <c r="D769" s="1" t="s">
        <v>687</v>
      </c>
      <c r="E769" s="1" t="s">
        <v>688</v>
      </c>
      <c r="F769" s="7" t="str">
        <f>IFERROR(INDEX(测试!H:H,MATCH(E769,测试!A:A,0)),1)</f>
        <v>-</v>
      </c>
    </row>
    <row r="770" spans="1:6" hidden="1" x14ac:dyDescent="0.3">
      <c r="A770" s="1" t="s">
        <v>2948</v>
      </c>
      <c r="B770" s="1" t="s">
        <v>689</v>
      </c>
      <c r="C770" s="1" t="s">
        <v>690</v>
      </c>
      <c r="D770" s="1" t="s">
        <v>691</v>
      </c>
      <c r="E770" s="1" t="s">
        <v>692</v>
      </c>
      <c r="F770" s="7" t="str">
        <f>IFERROR(INDEX(测试!H:H,MATCH(E770,测试!A:A,0)),1)</f>
        <v>-</v>
      </c>
    </row>
    <row r="771" spans="1:6" hidden="1" x14ac:dyDescent="0.3">
      <c r="A771" s="1" t="s">
        <v>2948</v>
      </c>
      <c r="B771" s="1" t="s">
        <v>693</v>
      </c>
      <c r="C771" s="1" t="s">
        <v>694</v>
      </c>
      <c r="D771" s="1" t="s">
        <v>695</v>
      </c>
      <c r="E771" s="1" t="s">
        <v>2997</v>
      </c>
      <c r="F771" s="7" t="str">
        <f>IFERROR(INDEX(测试!H:H,MATCH(E771,测试!A:A,0)),1)</f>
        <v>-</v>
      </c>
    </row>
    <row r="772" spans="1:6" hidden="1" x14ac:dyDescent="0.3">
      <c r="A772" s="1" t="s">
        <v>2948</v>
      </c>
      <c r="B772" s="1" t="s">
        <v>696</v>
      </c>
      <c r="C772" s="1" t="s">
        <v>697</v>
      </c>
      <c r="D772" s="1" t="s">
        <v>698</v>
      </c>
      <c r="E772" s="1" t="s">
        <v>699</v>
      </c>
      <c r="F772" s="7" t="str">
        <f>IFERROR(INDEX(测试!H:H,MATCH(E772,测试!A:A,0)),1)</f>
        <v>-</v>
      </c>
    </row>
    <row r="773" spans="1:6" hidden="1" x14ac:dyDescent="0.3">
      <c r="A773" s="1" t="s">
        <v>2948</v>
      </c>
      <c r="B773" s="1" t="s">
        <v>700</v>
      </c>
      <c r="C773" s="1" t="s">
        <v>701</v>
      </c>
      <c r="D773" s="1" t="s">
        <v>702</v>
      </c>
      <c r="E773" s="1" t="s">
        <v>703</v>
      </c>
      <c r="F773" s="7" t="str">
        <f>IFERROR(INDEX(测试!H:H,MATCH(E773,测试!A:A,0)),1)</f>
        <v>-</v>
      </c>
    </row>
    <row r="774" spans="1:6" hidden="1" x14ac:dyDescent="0.3">
      <c r="A774" s="1" t="s">
        <v>2948</v>
      </c>
      <c r="B774" s="1" t="s">
        <v>704</v>
      </c>
      <c r="C774" s="1" t="s">
        <v>705</v>
      </c>
      <c r="D774" s="1" t="s">
        <v>706</v>
      </c>
      <c r="E774" s="1" t="s">
        <v>707</v>
      </c>
      <c r="F774" s="7" t="str">
        <f>IFERROR(INDEX(测试!H:H,MATCH(E774,测试!A:A,0)),1)</f>
        <v>-</v>
      </c>
    </row>
    <row r="775" spans="1:6" hidden="1" x14ac:dyDescent="0.3">
      <c r="A775" s="1" t="s">
        <v>2948</v>
      </c>
      <c r="B775" s="1" t="s">
        <v>708</v>
      </c>
      <c r="C775" s="1" t="s">
        <v>709</v>
      </c>
      <c r="D775" s="1" t="s">
        <v>710</v>
      </c>
      <c r="E775" s="1" t="s">
        <v>711</v>
      </c>
      <c r="F775" s="7" t="str">
        <f>IFERROR(INDEX(测试!H:H,MATCH(E775,测试!A:A,0)),1)</f>
        <v>-</v>
      </c>
    </row>
    <row r="776" spans="1:6" hidden="1" x14ac:dyDescent="0.3">
      <c r="A776" s="1" t="s">
        <v>2948</v>
      </c>
      <c r="B776" s="1" t="s">
        <v>712</v>
      </c>
      <c r="C776" s="1" t="s">
        <v>713</v>
      </c>
      <c r="D776" s="1" t="s">
        <v>714</v>
      </c>
      <c r="E776" s="1" t="s">
        <v>715</v>
      </c>
      <c r="F776" s="7" t="str">
        <f>IFERROR(INDEX(测试!H:H,MATCH(E776,测试!A:A,0)),1)</f>
        <v>-</v>
      </c>
    </row>
    <row r="777" spans="1:6" hidden="1" x14ac:dyDescent="0.3">
      <c r="A777" s="1" t="s">
        <v>2948</v>
      </c>
      <c r="B777" s="1" t="s">
        <v>716</v>
      </c>
      <c r="C777" s="1" t="s">
        <v>717</v>
      </c>
      <c r="D777" s="1" t="s">
        <v>718</v>
      </c>
      <c r="E777" s="1" t="s">
        <v>719</v>
      </c>
      <c r="F777" s="7" t="str">
        <f>IFERROR(INDEX(测试!H:H,MATCH(E777,测试!A:A,0)),1)</f>
        <v>-</v>
      </c>
    </row>
    <row r="778" spans="1:6" hidden="1" x14ac:dyDescent="0.3">
      <c r="A778" s="1" t="s">
        <v>2948</v>
      </c>
      <c r="B778" s="1" t="s">
        <v>720</v>
      </c>
      <c r="C778" s="1" t="s">
        <v>721</v>
      </c>
      <c r="D778" s="1" t="s">
        <v>722</v>
      </c>
      <c r="E778" s="1" t="s">
        <v>723</v>
      </c>
      <c r="F778" s="7" t="str">
        <f>IFERROR(INDEX(测试!H:H,MATCH(E778,测试!A:A,0)),1)</f>
        <v>-</v>
      </c>
    </row>
    <row r="779" spans="1:6" hidden="1" x14ac:dyDescent="0.3">
      <c r="A779" s="1" t="s">
        <v>2948</v>
      </c>
      <c r="B779" s="1" t="s">
        <v>724</v>
      </c>
      <c r="C779" s="1" t="s">
        <v>725</v>
      </c>
      <c r="D779" s="1" t="s">
        <v>726</v>
      </c>
      <c r="E779" s="1" t="s">
        <v>727</v>
      </c>
      <c r="F779" s="7" t="str">
        <f>IFERROR(INDEX(测试!H:H,MATCH(E779,测试!A:A,0)),1)</f>
        <v>-</v>
      </c>
    </row>
    <row r="780" spans="1:6" hidden="1" x14ac:dyDescent="0.3">
      <c r="A780" s="1" t="s">
        <v>2948</v>
      </c>
      <c r="B780" s="1" t="s">
        <v>728</v>
      </c>
      <c r="C780" s="1" t="s">
        <v>729</v>
      </c>
      <c r="D780" s="1" t="s">
        <v>730</v>
      </c>
      <c r="E780" s="1" t="s">
        <v>731</v>
      </c>
      <c r="F780" s="7" t="str">
        <f>IFERROR(INDEX(测试!H:H,MATCH(E780,测试!A:A,0)),1)</f>
        <v>-</v>
      </c>
    </row>
    <row r="781" spans="1:6" hidden="1" x14ac:dyDescent="0.3">
      <c r="A781" s="1" t="s">
        <v>2948</v>
      </c>
      <c r="B781" s="1" t="s">
        <v>732</v>
      </c>
      <c r="C781" s="1" t="s">
        <v>733</v>
      </c>
      <c r="D781" s="1" t="s">
        <v>734</v>
      </c>
      <c r="E781" s="1" t="s">
        <v>2996</v>
      </c>
      <c r="F781" s="7" t="str">
        <f>IFERROR(INDEX(测试!H:H,MATCH(E781,测试!A:A,0)),1)</f>
        <v>-</v>
      </c>
    </row>
    <row r="782" spans="1:6" hidden="1" x14ac:dyDescent="0.3">
      <c r="A782" s="1" t="s">
        <v>2948</v>
      </c>
      <c r="B782" s="1" t="s">
        <v>735</v>
      </c>
      <c r="C782" s="1" t="s">
        <v>736</v>
      </c>
      <c r="D782" s="1" t="s">
        <v>737</v>
      </c>
      <c r="E782" s="1" t="s">
        <v>738</v>
      </c>
      <c r="F782" s="7" t="str">
        <f>IFERROR(INDEX(测试!H:H,MATCH(E782,测试!A:A,0)),1)</f>
        <v>-</v>
      </c>
    </row>
    <row r="783" spans="1:6" hidden="1" x14ac:dyDescent="0.3">
      <c r="A783" s="1" t="s">
        <v>2948</v>
      </c>
      <c r="B783" s="1" t="s">
        <v>739</v>
      </c>
      <c r="C783" s="1" t="s">
        <v>740</v>
      </c>
      <c r="D783" s="1" t="s">
        <v>741</v>
      </c>
      <c r="E783" s="1" t="s">
        <v>742</v>
      </c>
      <c r="F783" s="7" t="str">
        <f>IFERROR(INDEX(测试!H:H,MATCH(E783,测试!A:A,0)),1)</f>
        <v>-</v>
      </c>
    </row>
    <row r="784" spans="1:6" hidden="1" x14ac:dyDescent="0.3">
      <c r="A784" s="1" t="s">
        <v>2948</v>
      </c>
      <c r="B784" s="1" t="s">
        <v>743</v>
      </c>
      <c r="C784" s="1" t="s">
        <v>744</v>
      </c>
      <c r="D784" s="1" t="s">
        <v>745</v>
      </c>
      <c r="E784" s="1" t="s">
        <v>746</v>
      </c>
      <c r="F784" s="7">
        <f>IFERROR(INDEX(测试!H:H,MATCH(E784,测试!A:A,0)),1)</f>
        <v>1</v>
      </c>
    </row>
    <row r="785" spans="1:6" hidden="1" x14ac:dyDescent="0.3">
      <c r="A785" s="1" t="s">
        <v>2948</v>
      </c>
      <c r="B785" s="1" t="s">
        <v>747</v>
      </c>
      <c r="C785" s="1" t="s">
        <v>748</v>
      </c>
      <c r="D785" s="1" t="s">
        <v>749</v>
      </c>
      <c r="E785" s="1" t="s">
        <v>750</v>
      </c>
      <c r="F785" s="7">
        <f>IFERROR(INDEX(测试!H:H,MATCH(E785,测试!A:A,0)),1)</f>
        <v>1</v>
      </c>
    </row>
    <row r="786" spans="1:6" hidden="1" x14ac:dyDescent="0.3">
      <c r="A786" s="1" t="s">
        <v>2948</v>
      </c>
      <c r="B786" s="1" t="s">
        <v>751</v>
      </c>
      <c r="C786" s="1" t="s">
        <v>752</v>
      </c>
      <c r="D786" s="1" t="s">
        <v>753</v>
      </c>
      <c r="E786" s="1" t="s">
        <v>754</v>
      </c>
      <c r="F786" s="7">
        <f>IFERROR(INDEX(测试!H:H,MATCH(E786,测试!A:A,0)),1)</f>
        <v>1</v>
      </c>
    </row>
    <row r="787" spans="1:6" hidden="1" x14ac:dyDescent="0.3">
      <c r="A787" s="1" t="s">
        <v>2947</v>
      </c>
      <c r="B787" s="1" t="s">
        <v>485</v>
      </c>
      <c r="C787" s="1" t="s">
        <v>486</v>
      </c>
      <c r="D787" s="1" t="s">
        <v>487</v>
      </c>
      <c r="E787" s="1" t="s">
        <v>488</v>
      </c>
      <c r="F787" s="7">
        <f>IFERROR(INDEX(测试!H:H,MATCH(E787,测试!A:A,0)),1)</f>
        <v>1</v>
      </c>
    </row>
    <row r="788" spans="1:6" hidden="1" x14ac:dyDescent="0.3">
      <c r="A788" s="1" t="s">
        <v>2947</v>
      </c>
      <c r="B788" s="1" t="s">
        <v>489</v>
      </c>
      <c r="C788" s="1" t="s">
        <v>490</v>
      </c>
      <c r="D788" s="1" t="s">
        <v>491</v>
      </c>
      <c r="E788" s="1" t="s">
        <v>492</v>
      </c>
      <c r="F788" s="7">
        <f>IFERROR(INDEX(测试!H:H,MATCH(E788,测试!A:A,0)),1)</f>
        <v>1</v>
      </c>
    </row>
    <row r="789" spans="1:6" hidden="1" x14ac:dyDescent="0.3">
      <c r="A789" s="1" t="s">
        <v>2947</v>
      </c>
      <c r="B789" s="1" t="s">
        <v>493</v>
      </c>
      <c r="C789" s="1" t="s">
        <v>494</v>
      </c>
      <c r="D789" s="1" t="s">
        <v>495</v>
      </c>
      <c r="E789" s="1" t="s">
        <v>496</v>
      </c>
      <c r="F789" s="7">
        <f>IFERROR(INDEX(测试!H:H,MATCH(E789,测试!A:A,0)),1)</f>
        <v>1</v>
      </c>
    </row>
    <row r="790" spans="1:6" hidden="1" x14ac:dyDescent="0.3">
      <c r="A790" s="1" t="s">
        <v>2947</v>
      </c>
      <c r="B790" s="1" t="s">
        <v>497</v>
      </c>
      <c r="C790" s="1" t="s">
        <v>498</v>
      </c>
      <c r="D790" s="1" t="s">
        <v>499</v>
      </c>
      <c r="E790" s="1" t="s">
        <v>500</v>
      </c>
      <c r="F790" s="7">
        <f>IFERROR(INDEX(测试!H:H,MATCH(E790,测试!A:A,0)),1)</f>
        <v>1</v>
      </c>
    </row>
    <row r="791" spans="1:6" hidden="1" x14ac:dyDescent="0.3">
      <c r="A791" s="1" t="s">
        <v>2947</v>
      </c>
      <c r="B791" s="1" t="s">
        <v>501</v>
      </c>
      <c r="C791" s="1" t="s">
        <v>502</v>
      </c>
      <c r="D791" s="1" t="s">
        <v>503</v>
      </c>
      <c r="E791" s="1" t="s">
        <v>504</v>
      </c>
      <c r="F791" s="7">
        <f>IFERROR(INDEX(测试!H:H,MATCH(E791,测试!A:A,0)),1)</f>
        <v>1</v>
      </c>
    </row>
    <row r="792" spans="1:6" hidden="1" x14ac:dyDescent="0.3">
      <c r="A792" s="1" t="s">
        <v>2947</v>
      </c>
      <c r="B792" s="1" t="s">
        <v>505</v>
      </c>
      <c r="C792" s="1" t="s">
        <v>506</v>
      </c>
      <c r="D792" s="1" t="s">
        <v>507</v>
      </c>
      <c r="E792" s="1" t="s">
        <v>508</v>
      </c>
      <c r="F792" s="7">
        <f>IFERROR(INDEX(测试!H:H,MATCH(E792,测试!A:A,0)),1)</f>
        <v>1</v>
      </c>
    </row>
    <row r="793" spans="1:6" hidden="1" x14ac:dyDescent="0.3">
      <c r="A793" s="1" t="s">
        <v>2947</v>
      </c>
      <c r="B793" s="1" t="s">
        <v>509</v>
      </c>
      <c r="C793" s="1" t="s">
        <v>510</v>
      </c>
      <c r="D793" s="1" t="s">
        <v>511</v>
      </c>
      <c r="E793" s="1" t="s">
        <v>512</v>
      </c>
      <c r="F793" s="7">
        <f>IFERROR(INDEX(测试!H:H,MATCH(E793,测试!A:A,0)),1)</f>
        <v>1</v>
      </c>
    </row>
    <row r="794" spans="1:6" hidden="1" x14ac:dyDescent="0.3">
      <c r="A794" s="1" t="s">
        <v>2946</v>
      </c>
      <c r="B794" s="1" t="s">
        <v>465</v>
      </c>
      <c r="C794" s="1" t="s">
        <v>466</v>
      </c>
      <c r="D794" s="1" t="s">
        <v>467</v>
      </c>
      <c r="E794" s="1" t="s">
        <v>468</v>
      </c>
      <c r="F794" s="7">
        <f>IFERROR(INDEX(测试!H:H,MATCH(E794,测试!A:A,0)),1)</f>
        <v>1</v>
      </c>
    </row>
    <row r="795" spans="1:6" hidden="1" x14ac:dyDescent="0.3">
      <c r="A795" s="1" t="s">
        <v>2946</v>
      </c>
      <c r="B795" s="1" t="s">
        <v>469</v>
      </c>
      <c r="C795" s="1" t="s">
        <v>470</v>
      </c>
      <c r="D795" s="1" t="s">
        <v>471</v>
      </c>
      <c r="E795" s="1" t="s">
        <v>472</v>
      </c>
      <c r="F795" s="7">
        <f>IFERROR(INDEX(测试!H:H,MATCH(E795,测试!A:A,0)),1)</f>
        <v>1</v>
      </c>
    </row>
    <row r="796" spans="1:6" hidden="1" x14ac:dyDescent="0.3">
      <c r="A796" s="1" t="s">
        <v>2946</v>
      </c>
      <c r="B796" s="1" t="s">
        <v>473</v>
      </c>
      <c r="C796" s="1" t="s">
        <v>474</v>
      </c>
      <c r="D796" s="1" t="s">
        <v>475</v>
      </c>
      <c r="E796" s="1" t="s">
        <v>476</v>
      </c>
      <c r="F796" s="7">
        <f>IFERROR(INDEX(测试!H:H,MATCH(E796,测试!A:A,0)),1)</f>
        <v>1</v>
      </c>
    </row>
    <row r="797" spans="1:6" hidden="1" x14ac:dyDescent="0.3">
      <c r="A797" s="1" t="s">
        <v>2946</v>
      </c>
      <c r="B797" s="1" t="s">
        <v>477</v>
      </c>
      <c r="C797" s="1" t="s">
        <v>478</v>
      </c>
      <c r="D797" s="1" t="s">
        <v>479</v>
      </c>
      <c r="E797" s="1" t="s">
        <v>480</v>
      </c>
      <c r="F797" s="7">
        <f>IFERROR(INDEX(测试!H:H,MATCH(E797,测试!A:A,0)),1)</f>
        <v>1</v>
      </c>
    </row>
    <row r="798" spans="1:6" hidden="1" x14ac:dyDescent="0.3">
      <c r="A798" s="1" t="s">
        <v>2946</v>
      </c>
      <c r="B798" s="1" t="s">
        <v>481</v>
      </c>
      <c r="C798" s="1" t="s">
        <v>482</v>
      </c>
      <c r="D798" s="1" t="s">
        <v>483</v>
      </c>
      <c r="E798" s="1" t="s">
        <v>484</v>
      </c>
      <c r="F798" s="7">
        <f>IFERROR(INDEX(测试!H:H,MATCH(E798,测试!A:A,0)),1)</f>
        <v>1</v>
      </c>
    </row>
    <row r="799" spans="1:6" hidden="1" x14ac:dyDescent="0.3">
      <c r="A799" s="1" t="s">
        <v>2945</v>
      </c>
      <c r="B799" s="1" t="s">
        <v>462</v>
      </c>
      <c r="C799" s="1" t="s">
        <v>38</v>
      </c>
      <c r="D799" s="1" t="s">
        <v>463</v>
      </c>
      <c r="E799" s="1" t="s">
        <v>464</v>
      </c>
      <c r="F799" s="7">
        <f>IFERROR(INDEX(测试!H:H,MATCH(E799,测试!A:A,0)),1)</f>
        <v>1</v>
      </c>
    </row>
    <row r="800" spans="1:6" hidden="1" x14ac:dyDescent="0.3">
      <c r="A800" s="1" t="s">
        <v>2944</v>
      </c>
      <c r="B800" s="1" t="s">
        <v>442</v>
      </c>
      <c r="C800" s="1" t="s">
        <v>443</v>
      </c>
      <c r="D800" s="1" t="s">
        <v>444</v>
      </c>
      <c r="E800" s="1" t="s">
        <v>445</v>
      </c>
      <c r="F800" s="7">
        <f>IFERROR(INDEX(测试!H:H,MATCH(E800,测试!A:A,0)),1)</f>
        <v>1</v>
      </c>
    </row>
    <row r="801" spans="1:6" hidden="1" x14ac:dyDescent="0.3">
      <c r="A801" s="1" t="s">
        <v>2944</v>
      </c>
      <c r="B801" s="1" t="s">
        <v>446</v>
      </c>
      <c r="C801" s="1" t="s">
        <v>447</v>
      </c>
      <c r="D801" s="1" t="s">
        <v>448</v>
      </c>
      <c r="E801" s="1" t="s">
        <v>449</v>
      </c>
      <c r="F801" s="7">
        <f>IFERROR(INDEX(测试!H:H,MATCH(E801,测试!A:A,0)),1)</f>
        <v>1</v>
      </c>
    </row>
    <row r="802" spans="1:6" hidden="1" x14ac:dyDescent="0.3">
      <c r="A802" s="1" t="s">
        <v>2944</v>
      </c>
      <c r="B802" s="1" t="s">
        <v>450</v>
      </c>
      <c r="C802" s="1" t="s">
        <v>451</v>
      </c>
      <c r="D802" s="1" t="s">
        <v>452</v>
      </c>
      <c r="E802" s="1" t="s">
        <v>453</v>
      </c>
      <c r="F802" s="7">
        <f>IFERROR(INDEX(测试!H:H,MATCH(E802,测试!A:A,0)),1)</f>
        <v>1</v>
      </c>
    </row>
    <row r="803" spans="1:6" hidden="1" x14ac:dyDescent="0.3">
      <c r="A803" s="1" t="s">
        <v>2944</v>
      </c>
      <c r="B803" s="1" t="s">
        <v>454</v>
      </c>
      <c r="C803" s="1" t="s">
        <v>455</v>
      </c>
      <c r="D803" s="1" t="s">
        <v>456</v>
      </c>
      <c r="E803" s="1" t="s">
        <v>457</v>
      </c>
      <c r="F803" s="7">
        <f>IFERROR(INDEX(测试!H:H,MATCH(E803,测试!A:A,0)),1)</f>
        <v>1</v>
      </c>
    </row>
    <row r="804" spans="1:6" hidden="1" x14ac:dyDescent="0.3">
      <c r="A804" s="1" t="s">
        <v>2944</v>
      </c>
      <c r="B804" s="1" t="s">
        <v>458</v>
      </c>
      <c r="C804" s="1" t="s">
        <v>459</v>
      </c>
      <c r="D804" s="1" t="s">
        <v>460</v>
      </c>
      <c r="E804" s="1" t="s">
        <v>461</v>
      </c>
      <c r="F804" s="7">
        <f>IFERROR(INDEX(测试!H:H,MATCH(E804,测试!A:A,0)),1)</f>
        <v>1</v>
      </c>
    </row>
    <row r="805" spans="1:6" hidden="1" x14ac:dyDescent="0.3">
      <c r="A805" s="1" t="s">
        <v>3838</v>
      </c>
      <c r="B805" s="1" t="s">
        <v>3843</v>
      </c>
      <c r="C805" s="1" t="s">
        <v>3841</v>
      </c>
      <c r="D805" s="1" t="s">
        <v>3832</v>
      </c>
      <c r="E805" s="1" t="s">
        <v>3839</v>
      </c>
      <c r="F805" s="7" t="str">
        <f>IFERROR(INDEX(测试!H:H,MATCH(E805,测试!A:A,0)),1)</f>
        <v>-</v>
      </c>
    </row>
    <row r="806" spans="1:6" hidden="1" x14ac:dyDescent="0.3">
      <c r="A806" s="1" t="s">
        <v>2956</v>
      </c>
      <c r="B806" s="1" t="s">
        <v>3844</v>
      </c>
      <c r="C806" s="1" t="s">
        <v>3842</v>
      </c>
      <c r="D806" s="1" t="s">
        <v>3836</v>
      </c>
      <c r="E806" s="1" t="s">
        <v>3840</v>
      </c>
      <c r="F806" s="7" t="str">
        <f>IFERROR(INDEX(测试!H:H,MATCH(E806,测试!A:A,0)),1)</f>
        <v>-</v>
      </c>
    </row>
    <row r="807" spans="1:6" hidden="1" x14ac:dyDescent="0.3">
      <c r="A807" s="1" t="s">
        <v>3824</v>
      </c>
      <c r="B807" s="1" t="s">
        <v>3312</v>
      </c>
      <c r="C807" s="1" t="s">
        <v>3313</v>
      </c>
      <c r="D807" s="1" t="s">
        <v>3314</v>
      </c>
      <c r="E807" s="1" t="s">
        <v>3315</v>
      </c>
      <c r="F807" s="7" t="str">
        <f>IFERROR(INDEX(测试!H:H,MATCH(E807,测试!A:A,0)),1)</f>
        <v>-</v>
      </c>
    </row>
    <row r="808" spans="1:6" hidden="1" x14ac:dyDescent="0.3">
      <c r="A808" s="1" t="s">
        <v>3311</v>
      </c>
      <c r="B808" s="1" t="s">
        <v>3316</v>
      </c>
      <c r="C808" s="1" t="s">
        <v>3317</v>
      </c>
      <c r="D808" s="1" t="s">
        <v>3318</v>
      </c>
      <c r="E808" s="1" t="s">
        <v>3319</v>
      </c>
      <c r="F808" s="7" t="str">
        <f>IFERROR(INDEX(测试!H:H,MATCH(E808,测试!A:A,0)),1)</f>
        <v>-</v>
      </c>
    </row>
    <row r="809" spans="1:6" hidden="1" x14ac:dyDescent="0.3">
      <c r="A809" s="1" t="s">
        <v>3858</v>
      </c>
      <c r="B809" s="1" t="s">
        <v>3852</v>
      </c>
      <c r="C809" s="1" t="s">
        <v>3856</v>
      </c>
      <c r="D809" s="1" t="s">
        <v>3848</v>
      </c>
      <c r="E809" s="1" t="s">
        <v>3855</v>
      </c>
      <c r="F809" s="7" t="str">
        <f>IFERROR(INDEX(测试!H:H,MATCH(E809,测试!A:A,0)),1)</f>
        <v>-</v>
      </c>
    </row>
    <row r="810" spans="1:6" hidden="1" x14ac:dyDescent="0.3">
      <c r="A810" s="1" t="s">
        <v>3858</v>
      </c>
      <c r="B810" s="1" t="s">
        <v>3853</v>
      </c>
      <c r="C810" s="1" t="s">
        <v>3857</v>
      </c>
      <c r="D810" s="1" t="s">
        <v>3851</v>
      </c>
      <c r="E810" s="1" t="s">
        <v>3854</v>
      </c>
      <c r="F810" s="7" t="str">
        <f>IFERROR(INDEX(测试!H:H,MATCH(E810,测试!A:A,0)),1)</f>
        <v>-</v>
      </c>
    </row>
    <row r="811" spans="1:6" hidden="1" x14ac:dyDescent="0.3">
      <c r="A811" s="1" t="s">
        <v>2956</v>
      </c>
      <c r="B811" s="1" t="s">
        <v>3859</v>
      </c>
      <c r="C811" s="1" t="s">
        <v>3874</v>
      </c>
      <c r="D811" s="1" t="s">
        <v>3861</v>
      </c>
      <c r="E811" s="1" t="s">
        <v>3862</v>
      </c>
      <c r="F811" s="7" t="str">
        <f>IFERROR(INDEX(测试!H:H,MATCH(E811,测试!A:A,0)),1)</f>
        <v>-</v>
      </c>
    </row>
    <row r="812" spans="1:6" hidden="1" x14ac:dyDescent="0.3">
      <c r="A812" s="1" t="s">
        <v>2956</v>
      </c>
      <c r="B812" s="1" t="s">
        <v>3863</v>
      </c>
      <c r="C812" s="1" t="s">
        <v>3875</v>
      </c>
      <c r="D812" s="1" t="s">
        <v>3865</v>
      </c>
      <c r="E812" s="1" t="s">
        <v>3866</v>
      </c>
      <c r="F812" s="7" t="str">
        <f>IFERROR(INDEX(测试!H:H,MATCH(E812,测试!A:A,0)),1)</f>
        <v>-</v>
      </c>
    </row>
    <row r="813" spans="1:6" hidden="1" x14ac:dyDescent="0.3">
      <c r="A813" s="1" t="s">
        <v>2956</v>
      </c>
      <c r="B813" s="1" t="s">
        <v>3867</v>
      </c>
      <c r="C813" s="1" t="s">
        <v>3876</v>
      </c>
      <c r="D813" s="1" t="s">
        <v>3869</v>
      </c>
      <c r="E813" s="1" t="s">
        <v>3870</v>
      </c>
      <c r="F813" s="7" t="str">
        <f>IFERROR(INDEX(测试!H:H,MATCH(E813,测试!A:A,0)),1)</f>
        <v>-</v>
      </c>
    </row>
    <row r="814" spans="1:6" hidden="1" x14ac:dyDescent="0.3">
      <c r="A814" s="1" t="s">
        <v>2946</v>
      </c>
      <c r="B814" s="1" t="s">
        <v>3879</v>
      </c>
      <c r="C814" s="1" t="s">
        <v>3880</v>
      </c>
      <c r="D814" s="1" t="s">
        <v>3881</v>
      </c>
      <c r="E814" s="1" t="s">
        <v>3882</v>
      </c>
      <c r="F814" s="7">
        <f>IFERROR(INDEX(测试!H:H,MATCH(E814,测试!A:A,0)),1)</f>
        <v>1</v>
      </c>
    </row>
    <row r="815" spans="1:6" hidden="1" x14ac:dyDescent="0.3">
      <c r="A815" s="1" t="s">
        <v>2946</v>
      </c>
      <c r="B815" s="1" t="s">
        <v>3883</v>
      </c>
      <c r="C815" s="1" t="s">
        <v>3884</v>
      </c>
      <c r="D815" s="1" t="s">
        <v>3885</v>
      </c>
      <c r="E815" s="1" t="s">
        <v>3886</v>
      </c>
      <c r="F815" s="7">
        <f>IFERROR(INDEX(测试!H:H,MATCH(E815,测试!A:A,0)),1)</f>
        <v>1</v>
      </c>
    </row>
    <row r="816" spans="1:6" hidden="1" x14ac:dyDescent="0.3">
      <c r="A816" s="1" t="s">
        <v>2946</v>
      </c>
      <c r="B816" s="1" t="s">
        <v>3887</v>
      </c>
      <c r="C816" s="1" t="s">
        <v>3888</v>
      </c>
      <c r="D816" s="1" t="s">
        <v>3889</v>
      </c>
      <c r="E816" s="1" t="s">
        <v>3890</v>
      </c>
      <c r="F816" s="7">
        <f>IFERROR(INDEX(测试!H:H,MATCH(E816,测试!A:A,0)),1)</f>
        <v>1</v>
      </c>
    </row>
    <row r="817" spans="1:6" hidden="1" x14ac:dyDescent="0.3">
      <c r="A817" s="1" t="s">
        <v>2946</v>
      </c>
      <c r="B817" s="1" t="s">
        <v>3891</v>
      </c>
      <c r="C817" s="1" t="s">
        <v>3892</v>
      </c>
      <c r="D817" s="1" t="s">
        <v>3893</v>
      </c>
      <c r="E817" s="1" t="s">
        <v>3894</v>
      </c>
      <c r="F817" s="7">
        <f>IFERROR(INDEX(测试!H:H,MATCH(E817,测试!A:A,0)),1)</f>
        <v>1</v>
      </c>
    </row>
    <row r="818" spans="1:6" hidden="1" x14ac:dyDescent="0.3">
      <c r="A818" s="1" t="s">
        <v>3899</v>
      </c>
      <c r="B818" s="1" t="s">
        <v>3898</v>
      </c>
      <c r="C818" s="1" t="s">
        <v>3895</v>
      </c>
      <c r="D818" s="1" t="s">
        <v>3896</v>
      </c>
      <c r="E818" s="1" t="s">
        <v>3897</v>
      </c>
      <c r="F818" s="7" t="str">
        <f>IFERROR(INDEX(测试!H:H,MATCH(E818,测试!A:A,0)),1)</f>
        <v>-</v>
      </c>
    </row>
    <row r="819" spans="1:6" hidden="1" x14ac:dyDescent="0.3">
      <c r="A819" s="1" t="s">
        <v>2949</v>
      </c>
      <c r="B819" s="1" t="s">
        <v>3901</v>
      </c>
      <c r="C819" s="1" t="s">
        <v>3902</v>
      </c>
      <c r="D819" s="1" t="s">
        <v>3903</v>
      </c>
      <c r="E819" s="1" t="s">
        <v>3904</v>
      </c>
      <c r="F819" s="7" t="str">
        <f>IFERROR(INDEX(测试!H:H,MATCH(E819,测试!A:A,0)),1)</f>
        <v>文件名错误</v>
      </c>
    </row>
    <row r="820" spans="1:6" hidden="1" x14ac:dyDescent="0.3">
      <c r="A820" s="1" t="s">
        <v>2949</v>
      </c>
      <c r="B820" s="1" t="s">
        <v>3905</v>
      </c>
      <c r="C820" s="1" t="s">
        <v>3906</v>
      </c>
      <c r="D820" s="1" t="s">
        <v>3907</v>
      </c>
      <c r="E820" s="1" t="s">
        <v>3908</v>
      </c>
      <c r="F820" s="7" t="str">
        <f>IFERROR(INDEX(测试!H:H,MATCH(E820,测试!A:A,0)),1)</f>
        <v>文件名错误</v>
      </c>
    </row>
    <row r="821" spans="1:6" hidden="1" x14ac:dyDescent="0.3">
      <c r="A821" s="1" t="s">
        <v>3916</v>
      </c>
      <c r="B821" s="1" t="s">
        <v>3912</v>
      </c>
      <c r="C821" s="1" t="s">
        <v>3913</v>
      </c>
      <c r="D821" s="1" t="s">
        <v>3914</v>
      </c>
      <c r="E821" s="1" t="s">
        <v>3915</v>
      </c>
      <c r="F821" s="7" t="str">
        <f>IFERROR(INDEX(测试!H:H,MATCH(E821,测试!A:A,0)),1)</f>
        <v>-</v>
      </c>
    </row>
    <row r="822" spans="1:6" hidden="1" x14ac:dyDescent="0.3">
      <c r="A822" s="1" t="s">
        <v>3925</v>
      </c>
      <c r="B822" s="1" t="s">
        <v>3923</v>
      </c>
      <c r="C822" s="1" t="s">
        <v>3924</v>
      </c>
      <c r="D822" s="1" t="s">
        <v>3921</v>
      </c>
      <c r="E822" s="1" t="s">
        <v>3926</v>
      </c>
      <c r="F822" s="7" t="str">
        <f>IFERROR(INDEX(测试!H:H,MATCH(E822,测试!A:A,0)),1)</f>
        <v>-</v>
      </c>
    </row>
    <row r="823" spans="1:6" hidden="1" x14ac:dyDescent="0.3">
      <c r="A823" s="1" t="s">
        <v>3932</v>
      </c>
      <c r="B823" s="1" t="s">
        <v>3933</v>
      </c>
      <c r="C823" s="1" t="s">
        <v>3934</v>
      </c>
      <c r="D823" s="1" t="s">
        <v>3930</v>
      </c>
      <c r="E823" s="1" t="s">
        <v>3935</v>
      </c>
      <c r="F823" s="7" t="str">
        <f>IFERROR(INDEX(测试!H:H,MATCH(E823,测试!A:A,0)),1)</f>
        <v>-</v>
      </c>
    </row>
    <row r="824" spans="1:6" hidden="1" x14ac:dyDescent="0.3">
      <c r="A824" s="1" t="s">
        <v>2948</v>
      </c>
      <c r="B824" s="1" t="s">
        <v>3986</v>
      </c>
      <c r="C824" s="1" t="s">
        <v>3942</v>
      </c>
      <c r="D824" s="1" t="s">
        <v>3943</v>
      </c>
      <c r="E824" s="1" t="s">
        <v>3944</v>
      </c>
      <c r="F824" s="7">
        <f>IFERROR(INDEX(测试!H:H,MATCH(E824,测试!A:A,0)),1)</f>
        <v>1</v>
      </c>
    </row>
    <row r="825" spans="1:6" hidden="1" x14ac:dyDescent="0.3">
      <c r="A825" s="1" t="s">
        <v>2948</v>
      </c>
      <c r="B825" s="1" t="s">
        <v>3987</v>
      </c>
      <c r="C825" s="1" t="s">
        <v>3936</v>
      </c>
      <c r="D825" s="1" t="s">
        <v>3937</v>
      </c>
      <c r="E825" s="1" t="s">
        <v>3938</v>
      </c>
      <c r="F825" s="7">
        <f>IFERROR(INDEX(测试!H:H,MATCH(E825,测试!A:A,0)),1)</f>
        <v>1</v>
      </c>
    </row>
    <row r="826" spans="1:6" hidden="1" x14ac:dyDescent="0.3">
      <c r="A826" s="1" t="s">
        <v>2948</v>
      </c>
      <c r="B826" s="1" t="s">
        <v>3988</v>
      </c>
      <c r="C826" s="1" t="s">
        <v>3939</v>
      </c>
      <c r="D826" s="1" t="s">
        <v>3940</v>
      </c>
      <c r="E826" s="1" t="s">
        <v>3941</v>
      </c>
      <c r="F826" s="7">
        <f>IFERROR(INDEX(测试!H:H,MATCH(E826,测试!A:A,0)),1)</f>
        <v>1</v>
      </c>
    </row>
    <row r="827" spans="1:6" hidden="1" x14ac:dyDescent="0.3">
      <c r="A827" s="1" t="s">
        <v>3959</v>
      </c>
      <c r="B827" s="1" t="s">
        <v>3960</v>
      </c>
      <c r="C827" s="1" t="s">
        <v>3961</v>
      </c>
      <c r="D827" s="1" t="s">
        <v>3946</v>
      </c>
      <c r="E827" s="1" t="s">
        <v>3962</v>
      </c>
      <c r="F827" s="7" t="str">
        <f>IFERROR(INDEX(测试!H:H,MATCH(E827,测试!A:A,0)),1)</f>
        <v>文件名错误</v>
      </c>
    </row>
    <row r="828" spans="1:6" hidden="1" x14ac:dyDescent="0.3">
      <c r="A828" s="1" t="s">
        <v>3959</v>
      </c>
      <c r="B828" s="1" t="s">
        <v>3963</v>
      </c>
      <c r="C828" s="1" t="s">
        <v>3964</v>
      </c>
      <c r="D828" s="1" t="s">
        <v>3949</v>
      </c>
      <c r="E828" s="1" t="s">
        <v>3965</v>
      </c>
      <c r="F828" s="7" t="str">
        <f>IFERROR(INDEX(测试!H:H,MATCH(E828,测试!A:A,0)),1)</f>
        <v>文件名错误</v>
      </c>
    </row>
    <row r="829" spans="1:6" hidden="1" x14ac:dyDescent="0.3">
      <c r="A829" s="1" t="s">
        <v>3959</v>
      </c>
      <c r="B829" s="1" t="s">
        <v>3966</v>
      </c>
      <c r="C829" s="1" t="s">
        <v>3967</v>
      </c>
      <c r="D829" s="1" t="s">
        <v>3952</v>
      </c>
      <c r="E829" s="1" t="s">
        <v>3968</v>
      </c>
      <c r="F829" s="7" t="str">
        <f>IFERROR(INDEX(测试!H:H,MATCH(E829,测试!A:A,0)),1)</f>
        <v>文件名错误</v>
      </c>
    </row>
    <row r="830" spans="1:6" hidden="1" x14ac:dyDescent="0.3">
      <c r="A830" s="1" t="s">
        <v>3969</v>
      </c>
      <c r="B830" s="1" t="s">
        <v>3970</v>
      </c>
      <c r="C830" s="1" t="s">
        <v>3971</v>
      </c>
      <c r="D830" s="1" t="s">
        <v>3956</v>
      </c>
      <c r="E830" s="1" t="s">
        <v>3972</v>
      </c>
      <c r="F830" s="7" t="str">
        <f>IFERROR(INDEX(测试!H:H,MATCH(E830,测试!A:A,0)),1)</f>
        <v>-</v>
      </c>
    </row>
    <row r="831" spans="1:6" hidden="1" x14ac:dyDescent="0.3">
      <c r="A831" s="1" t="s">
        <v>2948</v>
      </c>
      <c r="B831" s="1" t="s">
        <v>3989</v>
      </c>
      <c r="C831" s="1" t="s">
        <v>3981</v>
      </c>
      <c r="D831" s="1" t="s">
        <v>3982</v>
      </c>
      <c r="E831" s="1" t="s">
        <v>3990</v>
      </c>
      <c r="F831" s="7">
        <f>IFERROR(INDEX(测试!H:H,MATCH(E831,测试!A:A,0)),1)</f>
        <v>1</v>
      </c>
    </row>
    <row r="832" spans="1:6" hidden="1" x14ac:dyDescent="0.3">
      <c r="A832" s="1" t="s">
        <v>2948</v>
      </c>
      <c r="B832" s="1" t="s">
        <v>3991</v>
      </c>
      <c r="C832" s="1" t="s">
        <v>3974</v>
      </c>
      <c r="D832" s="1" t="s">
        <v>3975</v>
      </c>
      <c r="E832" s="1" t="s">
        <v>3976</v>
      </c>
      <c r="F832" s="7">
        <f>IFERROR(INDEX(测试!H:H,MATCH(E832,测试!A:A,0)),1)</f>
        <v>1</v>
      </c>
    </row>
    <row r="833" spans="1:6" hidden="1" x14ac:dyDescent="0.3">
      <c r="A833" s="1" t="s">
        <v>2948</v>
      </c>
      <c r="B833" s="1" t="s">
        <v>3992</v>
      </c>
      <c r="C833" s="1" t="s">
        <v>3977</v>
      </c>
      <c r="D833" s="1" t="s">
        <v>3978</v>
      </c>
      <c r="E833" s="1" t="s">
        <v>3979</v>
      </c>
      <c r="F833" s="7">
        <f>IFERROR(INDEX(测试!H:H,MATCH(E833,测试!A:A,0)),1)</f>
        <v>1</v>
      </c>
    </row>
    <row r="834" spans="1:6" hidden="1" x14ac:dyDescent="0.3">
      <c r="A834" s="1" t="s">
        <v>2948</v>
      </c>
      <c r="B834" s="1" t="s">
        <v>3993</v>
      </c>
      <c r="C834" s="1" t="s">
        <v>3994</v>
      </c>
      <c r="D834" s="1" t="s">
        <v>3995</v>
      </c>
      <c r="E834" s="1" t="s">
        <v>3996</v>
      </c>
      <c r="F834" s="7">
        <f>IFERROR(INDEX(测试!H:H,MATCH(E834,测试!A:A,0)),1)</f>
        <v>1</v>
      </c>
    </row>
    <row r="835" spans="1:6" hidden="1" x14ac:dyDescent="0.3">
      <c r="A835" s="1" t="s">
        <v>2948</v>
      </c>
      <c r="B835" s="1" t="s">
        <v>3997</v>
      </c>
      <c r="C835" s="1" t="s">
        <v>3998</v>
      </c>
      <c r="D835" s="1" t="s">
        <v>3999</v>
      </c>
      <c r="E835" s="1" t="s">
        <v>4000</v>
      </c>
      <c r="F835" s="7">
        <f>IFERROR(INDEX(测试!H:H,MATCH(E835,测试!A:A,0)),1)</f>
        <v>1</v>
      </c>
    </row>
    <row r="836" spans="1:6" hidden="1" x14ac:dyDescent="0.3">
      <c r="A836" s="1" t="s">
        <v>2948</v>
      </c>
      <c r="B836" s="1" t="s">
        <v>4001</v>
      </c>
      <c r="C836" s="1" t="s">
        <v>4002</v>
      </c>
      <c r="D836" s="1" t="s">
        <v>4003</v>
      </c>
      <c r="E836" s="1" t="s">
        <v>4004</v>
      </c>
      <c r="F836" s="7">
        <f>IFERROR(INDEX(测试!H:H,MATCH(E836,测试!A:A,0)),1)</f>
        <v>1</v>
      </c>
    </row>
    <row r="837" spans="1:6" hidden="1" x14ac:dyDescent="0.3">
      <c r="A837" s="1" t="s">
        <v>2948</v>
      </c>
      <c r="B837" s="1" t="s">
        <v>4005</v>
      </c>
      <c r="C837" s="1" t="s">
        <v>4006</v>
      </c>
      <c r="D837" s="1" t="s">
        <v>4007</v>
      </c>
      <c r="E837" s="1" t="s">
        <v>4008</v>
      </c>
      <c r="F837" s="7">
        <f>IFERROR(INDEX(测试!H:H,MATCH(E837,测试!A:A,0)),1)</f>
        <v>1</v>
      </c>
    </row>
    <row r="838" spans="1:6" hidden="1" x14ac:dyDescent="0.3">
      <c r="A838" s="1" t="s">
        <v>2948</v>
      </c>
      <c r="B838" s="1" t="s">
        <v>4009</v>
      </c>
      <c r="C838" s="14" t="s">
        <v>4017</v>
      </c>
      <c r="D838" s="1" t="s">
        <v>4011</v>
      </c>
      <c r="E838" s="1" t="s">
        <v>4012</v>
      </c>
      <c r="F838" s="7">
        <f>IFERROR(INDEX(测试!H:H,MATCH(E838,测试!A:A,0)),1)</f>
        <v>1</v>
      </c>
    </row>
    <row r="839" spans="1:6" hidden="1" x14ac:dyDescent="0.3">
      <c r="A839" s="1" t="s">
        <v>2948</v>
      </c>
      <c r="B839" s="1" t="s">
        <v>4013</v>
      </c>
      <c r="C839" s="14" t="s">
        <v>4018</v>
      </c>
      <c r="D839" s="1" t="s">
        <v>4015</v>
      </c>
      <c r="E839" s="1" t="s">
        <v>4016</v>
      </c>
      <c r="F839" s="7">
        <f>IFERROR(INDEX(测试!H:H,MATCH(E839,测试!A:A,0)),1)</f>
        <v>1</v>
      </c>
    </row>
    <row r="840" spans="1:6" hidden="1" x14ac:dyDescent="0.3">
      <c r="A840" s="23" t="s">
        <v>4036</v>
      </c>
      <c r="B840" s="21" t="s">
        <v>4020</v>
      </c>
      <c r="C840" s="17" t="s">
        <v>4037</v>
      </c>
      <c r="D840" s="12" t="s">
        <v>4022</v>
      </c>
      <c r="E840" s="17" t="s">
        <v>4038</v>
      </c>
      <c r="F840" s="7">
        <f>IFERROR(INDEX(测试!H:H,MATCH(E840,测试!A:A,0)),1)</f>
        <v>1</v>
      </c>
    </row>
    <row r="841" spans="1:6" hidden="1" x14ac:dyDescent="0.3">
      <c r="A841" s="21" t="s">
        <v>2948</v>
      </c>
      <c r="B841" s="21" t="s">
        <v>4024</v>
      </c>
      <c r="C841" s="12" t="s">
        <v>4025</v>
      </c>
      <c r="D841" s="12" t="s">
        <v>4026</v>
      </c>
      <c r="E841" s="12" t="s">
        <v>4027</v>
      </c>
      <c r="F841" s="7">
        <f>IFERROR(INDEX(测试!H:H,MATCH(E841,测试!A:A,0)),1)</f>
        <v>1</v>
      </c>
    </row>
    <row r="842" spans="1:6" hidden="1" x14ac:dyDescent="0.3">
      <c r="A842" s="21" t="s">
        <v>2948</v>
      </c>
      <c r="B842" s="21" t="s">
        <v>4028</v>
      </c>
      <c r="C842" s="12" t="s">
        <v>4029</v>
      </c>
      <c r="D842" s="12" t="s">
        <v>4030</v>
      </c>
      <c r="E842" s="12" t="s">
        <v>4031</v>
      </c>
      <c r="F842" s="7"/>
    </row>
    <row r="843" spans="1:6" hidden="1" x14ac:dyDescent="0.3">
      <c r="A843" s="21" t="s">
        <v>2948</v>
      </c>
      <c r="B843" s="21" t="s">
        <v>4032</v>
      </c>
      <c r="C843" s="12" t="s">
        <v>4033</v>
      </c>
      <c r="D843" s="12" t="s">
        <v>4034</v>
      </c>
      <c r="E843" s="12" t="s">
        <v>4035</v>
      </c>
      <c r="F843" s="7">
        <f>IFERROR(INDEX(测试!H:H,MATCH(E843,测试!A:A,0)),1)</f>
        <v>1</v>
      </c>
    </row>
    <row r="844" spans="1:6" hidden="1" x14ac:dyDescent="0.3">
      <c r="A844" s="24" t="s">
        <v>2948</v>
      </c>
      <c r="B844" s="21" t="s">
        <v>4039</v>
      </c>
      <c r="C844" s="12" t="s">
        <v>4040</v>
      </c>
      <c r="D844" s="12" t="s">
        <v>4041</v>
      </c>
      <c r="E844" s="12" t="s">
        <v>4042</v>
      </c>
      <c r="F844" s="7">
        <f>IFERROR(INDEX(测试!H:H,MATCH(E844,测试!A:A,0)),1)</f>
        <v>1</v>
      </c>
    </row>
    <row r="845" spans="1:6" hidden="1" x14ac:dyDescent="0.3">
      <c r="A845" s="24" t="s">
        <v>2948</v>
      </c>
      <c r="B845" s="21" t="s">
        <v>4043</v>
      </c>
      <c r="C845" s="12" t="s">
        <v>4044</v>
      </c>
      <c r="D845" s="12" t="s">
        <v>4045</v>
      </c>
      <c r="E845" s="12" t="s">
        <v>4046</v>
      </c>
      <c r="F845" s="7">
        <f>IFERROR(INDEX(测试!H:H,MATCH(E845,测试!A:A,0)),1)</f>
        <v>1</v>
      </c>
    </row>
    <row r="846" spans="1:6" hidden="1" x14ac:dyDescent="0.3">
      <c r="A846" s="24" t="s">
        <v>2948</v>
      </c>
      <c r="B846" s="21" t="s">
        <v>4047</v>
      </c>
      <c r="C846" s="12" t="s">
        <v>4048</v>
      </c>
      <c r="D846" s="12" t="s">
        <v>4049</v>
      </c>
      <c r="E846" s="12" t="s">
        <v>4050</v>
      </c>
      <c r="F846" s="7">
        <f>IFERROR(INDEX(测试!H:H,MATCH(E846,测试!A:A,0)),1)</f>
        <v>1</v>
      </c>
    </row>
    <row r="847" spans="1:6" hidden="1" x14ac:dyDescent="0.3">
      <c r="A847" s="24" t="s">
        <v>2951</v>
      </c>
      <c r="B847" s="21" t="s">
        <v>4051</v>
      </c>
      <c r="C847" s="12" t="s">
        <v>4052</v>
      </c>
      <c r="D847" s="12" t="s">
        <v>4053</v>
      </c>
      <c r="E847" s="12" t="s">
        <v>4054</v>
      </c>
      <c r="F847" s="7" t="str">
        <f>IFERROR(INDEX(测试!H:H,MATCH(E847,测试!A:A,0)),1)</f>
        <v>-</v>
      </c>
    </row>
    <row r="848" spans="1:6" hidden="1" x14ac:dyDescent="0.3">
      <c r="A848" s="24" t="s">
        <v>2951</v>
      </c>
      <c r="B848" s="21" t="s">
        <v>4055</v>
      </c>
      <c r="C848" s="12" t="s">
        <v>4056</v>
      </c>
      <c r="D848" s="12" t="s">
        <v>4057</v>
      </c>
      <c r="E848" s="12" t="s">
        <v>4058</v>
      </c>
      <c r="F848" s="7" t="str">
        <f>IFERROR(INDEX(测试!H:H,MATCH(E848,测试!A:A,0)),1)</f>
        <v>-</v>
      </c>
    </row>
    <row r="849" spans="1:6" hidden="1" x14ac:dyDescent="0.3">
      <c r="A849" s="24" t="s">
        <v>2951</v>
      </c>
      <c r="B849" s="21" t="s">
        <v>4059</v>
      </c>
      <c r="C849" s="12" t="s">
        <v>4060</v>
      </c>
      <c r="D849" s="12" t="s">
        <v>4061</v>
      </c>
      <c r="E849" s="12" t="s">
        <v>4062</v>
      </c>
      <c r="F849" s="7" t="str">
        <f>IFERROR(INDEX(测试!H:H,MATCH(E849,测试!A:A,0)),1)</f>
        <v>-</v>
      </c>
    </row>
    <row r="850" spans="1:6" hidden="1" x14ac:dyDescent="0.3">
      <c r="A850" s="24" t="s">
        <v>2951</v>
      </c>
      <c r="B850" s="21" t="s">
        <v>4063</v>
      </c>
      <c r="C850" s="12" t="s">
        <v>4064</v>
      </c>
      <c r="D850" s="12" t="s">
        <v>4065</v>
      </c>
      <c r="E850" s="12" t="s">
        <v>4066</v>
      </c>
      <c r="F850" s="7" t="str">
        <f>IFERROR(INDEX(测试!H:H,MATCH(E850,测试!A:A,0)),1)</f>
        <v>-</v>
      </c>
    </row>
    <row r="851" spans="1:6" hidden="1" x14ac:dyDescent="0.3">
      <c r="A851" s="25" t="s">
        <v>4092</v>
      </c>
      <c r="B851" s="21" t="s">
        <v>4068</v>
      </c>
      <c r="C851" s="12" t="s">
        <v>4069</v>
      </c>
      <c r="D851" s="12" t="s">
        <v>4070</v>
      </c>
      <c r="E851" s="12" t="s">
        <v>4071</v>
      </c>
      <c r="F851" s="7" t="str">
        <f>IFERROR(INDEX(测试!H:H,MATCH(E851,测试!A:A,0)),1)</f>
        <v>-</v>
      </c>
    </row>
    <row r="852" spans="1:6" hidden="1" x14ac:dyDescent="0.3">
      <c r="A852" s="24" t="s">
        <v>4067</v>
      </c>
      <c r="B852" s="21" t="s">
        <v>4072</v>
      </c>
      <c r="C852" s="12" t="s">
        <v>4073</v>
      </c>
      <c r="D852" s="12" t="s">
        <v>4074</v>
      </c>
      <c r="E852" s="12" t="s">
        <v>4075</v>
      </c>
      <c r="F852" s="7" t="str">
        <f>IFERROR(INDEX(测试!H:H,MATCH(E852,测试!A:A,0)),1)</f>
        <v>-</v>
      </c>
    </row>
    <row r="853" spans="1:6" hidden="1" x14ac:dyDescent="0.3">
      <c r="A853" s="24" t="s">
        <v>4067</v>
      </c>
      <c r="B853" s="21" t="s">
        <v>4076</v>
      </c>
      <c r="C853" s="12" t="s">
        <v>4077</v>
      </c>
      <c r="D853" s="12" t="s">
        <v>4078</v>
      </c>
      <c r="E853" s="12" t="s">
        <v>4079</v>
      </c>
      <c r="F853" s="7" t="str">
        <f>IFERROR(INDEX(测试!H:H,MATCH(E853,测试!A:A,0)),1)</f>
        <v>文件名错误</v>
      </c>
    </row>
    <row r="854" spans="1:6" hidden="1" x14ac:dyDescent="0.3">
      <c r="A854" s="24" t="s">
        <v>4067</v>
      </c>
      <c r="B854" s="21" t="s">
        <v>4080</v>
      </c>
      <c r="C854" s="12" t="s">
        <v>4081</v>
      </c>
      <c r="D854" s="12" t="s">
        <v>4082</v>
      </c>
      <c r="E854" s="12" t="s">
        <v>4083</v>
      </c>
      <c r="F854" s="7" t="str">
        <f>IFERROR(INDEX(测试!H:H,MATCH(E854,测试!A:A,0)),1)</f>
        <v>-</v>
      </c>
    </row>
    <row r="855" spans="1:6" hidden="1" x14ac:dyDescent="0.3">
      <c r="A855" s="24" t="s">
        <v>4067</v>
      </c>
      <c r="B855" s="21" t="s">
        <v>4084</v>
      </c>
      <c r="C855" s="12" t="s">
        <v>4085</v>
      </c>
      <c r="D855" s="12" t="s">
        <v>4086</v>
      </c>
      <c r="E855" s="12" t="s">
        <v>4087</v>
      </c>
      <c r="F855" s="7" t="str">
        <f>IFERROR(INDEX(测试!H:H,MATCH(E855,测试!A:A,0)),1)</f>
        <v>文件名错误</v>
      </c>
    </row>
    <row r="856" spans="1:6" hidden="1" x14ac:dyDescent="0.3">
      <c r="A856" s="24" t="s">
        <v>4067</v>
      </c>
      <c r="B856" s="21" t="s">
        <v>4088</v>
      </c>
      <c r="C856" s="12" t="s">
        <v>4089</v>
      </c>
      <c r="D856" s="12" t="s">
        <v>4090</v>
      </c>
      <c r="E856" s="12" t="s">
        <v>4091</v>
      </c>
      <c r="F856" s="7" t="str">
        <f>IFERROR(INDEX(测试!H:H,MATCH(E856,测试!A:A,0)),1)</f>
        <v>文件名错误</v>
      </c>
    </row>
    <row r="857" spans="1:6" hidden="1" x14ac:dyDescent="0.3">
      <c r="A857" s="26" t="s">
        <v>2948</v>
      </c>
      <c r="B857" s="21" t="s">
        <v>4093</v>
      </c>
      <c r="C857" s="12" t="s">
        <v>4094</v>
      </c>
      <c r="D857" s="12" t="s">
        <v>4095</v>
      </c>
      <c r="E857" s="12" t="s">
        <v>4096</v>
      </c>
      <c r="F857" s="7">
        <f>IFERROR(INDEX(测试!H:H,MATCH(E857,测试!A:A,0)),1)</f>
        <v>1</v>
      </c>
    </row>
    <row r="858" spans="1:6" hidden="1" x14ac:dyDescent="0.3">
      <c r="A858" s="26" t="s">
        <v>2948</v>
      </c>
      <c r="B858" s="21" t="s">
        <v>4097</v>
      </c>
      <c r="C858" s="12" t="s">
        <v>4098</v>
      </c>
      <c r="D858" s="12" t="s">
        <v>4099</v>
      </c>
      <c r="E858" s="12" t="s">
        <v>4100</v>
      </c>
      <c r="F858" s="7">
        <f>IFERROR(INDEX(测试!H:H,MATCH(E858,测试!A:A,0)),1)</f>
        <v>1</v>
      </c>
    </row>
    <row r="859" spans="1:6" hidden="1" x14ac:dyDescent="0.3">
      <c r="A859" s="27" t="s">
        <v>2948</v>
      </c>
      <c r="B859" s="21" t="s">
        <v>4101</v>
      </c>
      <c r="C859" s="12" t="s">
        <v>4102</v>
      </c>
      <c r="D859" s="12" t="s">
        <v>4103</v>
      </c>
      <c r="E859" s="12" t="s">
        <v>4104</v>
      </c>
      <c r="F859" s="7">
        <f>IFERROR(INDEX(测试!H:H,MATCH(E859,测试!A:A,0)),1)</f>
        <v>1</v>
      </c>
    </row>
    <row r="860" spans="1:6" hidden="1" x14ac:dyDescent="0.3">
      <c r="A860" s="27" t="s">
        <v>2948</v>
      </c>
      <c r="B860" s="21" t="s">
        <v>4105</v>
      </c>
      <c r="C860" s="12" t="s">
        <v>4106</v>
      </c>
      <c r="D860" s="12" t="s">
        <v>4107</v>
      </c>
      <c r="E860" s="12" t="s">
        <v>4108</v>
      </c>
      <c r="F860" s="7">
        <f>IFERROR(INDEX(测试!H:H,MATCH(E860,测试!A:A,0)),1)</f>
        <v>1</v>
      </c>
    </row>
    <row r="861" spans="1:6" hidden="1" x14ac:dyDescent="0.3">
      <c r="A861" s="27" t="s">
        <v>2956</v>
      </c>
      <c r="B861" s="21" t="s">
        <v>4109</v>
      </c>
      <c r="C861" s="12" t="s">
        <v>4110</v>
      </c>
      <c r="D861" s="12" t="s">
        <v>4111</v>
      </c>
      <c r="E861" s="12" t="s">
        <v>4112</v>
      </c>
      <c r="F861" s="7" t="str">
        <f>IFERROR(INDEX(测试!H:H,MATCH(E861,测试!A:A,0)),1)</f>
        <v>-</v>
      </c>
    </row>
    <row r="862" spans="1:6" hidden="1" x14ac:dyDescent="0.3">
      <c r="A862" s="27" t="s">
        <v>2956</v>
      </c>
      <c r="B862" s="21" t="s">
        <v>4113</v>
      </c>
      <c r="C862" s="12" t="s">
        <v>4114</v>
      </c>
      <c r="D862" s="12" t="s">
        <v>4115</v>
      </c>
      <c r="E862" s="12" t="s">
        <v>4116</v>
      </c>
      <c r="F862" s="7" t="str">
        <f>IFERROR(INDEX(测试!H:H,MATCH(E862,测试!A:A,0)),1)</f>
        <v>-</v>
      </c>
    </row>
    <row r="863" spans="1:6" hidden="1" x14ac:dyDescent="0.3">
      <c r="A863" s="24" t="s">
        <v>2948</v>
      </c>
      <c r="B863" s="21" t="s">
        <v>4117</v>
      </c>
      <c r="C863" s="12" t="s">
        <v>4118</v>
      </c>
      <c r="D863" s="12" t="s">
        <v>4119</v>
      </c>
      <c r="E863" s="12" t="s">
        <v>4120</v>
      </c>
      <c r="F863" s="7">
        <f>IFERROR(INDEX(测试!H:H,MATCH(E863,测试!A:A,0)),1)</f>
        <v>1</v>
      </c>
    </row>
    <row r="864" spans="1:6" hidden="1" x14ac:dyDescent="0.3">
      <c r="A864" s="24" t="s">
        <v>2948</v>
      </c>
      <c r="B864" s="21" t="s">
        <v>4121</v>
      </c>
      <c r="C864" s="12" t="s">
        <v>4122</v>
      </c>
      <c r="D864" s="12" t="s">
        <v>4123</v>
      </c>
      <c r="E864" s="12" t="s">
        <v>4124</v>
      </c>
      <c r="F864" s="7">
        <f>IFERROR(INDEX(测试!H:H,MATCH(E864,测试!A:A,0)),1)</f>
        <v>1</v>
      </c>
    </row>
    <row r="865" spans="1:6" hidden="1" x14ac:dyDescent="0.3">
      <c r="A865" s="24" t="s">
        <v>2948</v>
      </c>
      <c r="B865" s="21" t="s">
        <v>4125</v>
      </c>
      <c r="C865" s="12" t="s">
        <v>4126</v>
      </c>
      <c r="D865" s="12" t="s">
        <v>4127</v>
      </c>
      <c r="E865" s="12" t="s">
        <v>4128</v>
      </c>
      <c r="F865" s="7">
        <f>IFERROR(INDEX(测试!H:H,MATCH(E865,测试!A:A,0)),1)</f>
        <v>1</v>
      </c>
    </row>
    <row r="866" spans="1:6" hidden="1" x14ac:dyDescent="0.3">
      <c r="A866" s="24" t="s">
        <v>4141</v>
      </c>
      <c r="B866" s="21" t="s">
        <v>4129</v>
      </c>
      <c r="C866" s="12" t="s">
        <v>4130</v>
      </c>
      <c r="D866" s="12" t="s">
        <v>4131</v>
      </c>
      <c r="E866" s="12" t="s">
        <v>4132</v>
      </c>
      <c r="F866" s="7" t="str">
        <f>IFERROR(INDEX(测试!H:H,MATCH(E866,测试!A:A,0)),1)</f>
        <v>-</v>
      </c>
    </row>
    <row r="867" spans="1:6" hidden="1" x14ac:dyDescent="0.3">
      <c r="A867" s="24" t="s">
        <v>4141</v>
      </c>
      <c r="B867" s="21" t="s">
        <v>4133</v>
      </c>
      <c r="C867" s="12" t="s">
        <v>4134</v>
      </c>
      <c r="D867" s="12" t="s">
        <v>4135</v>
      </c>
      <c r="E867" s="12" t="s">
        <v>4136</v>
      </c>
      <c r="F867" s="7" t="str">
        <f>IFERROR(INDEX(测试!H:H,MATCH(E867,测试!A:A,0)),1)</f>
        <v>-</v>
      </c>
    </row>
    <row r="868" spans="1:6" hidden="1" x14ac:dyDescent="0.3">
      <c r="A868" s="24" t="s">
        <v>4141</v>
      </c>
      <c r="B868" s="23" t="s">
        <v>4142</v>
      </c>
      <c r="C868" s="12" t="s">
        <v>4138</v>
      </c>
      <c r="D868" s="12" t="s">
        <v>4139</v>
      </c>
      <c r="E868" s="12" t="s">
        <v>4140</v>
      </c>
      <c r="F868" s="7" t="str">
        <f>IFERROR(INDEX(测试!H:H,MATCH(E868,测试!A:A,0)),1)</f>
        <v>-</v>
      </c>
    </row>
    <row r="869" spans="1:6" hidden="1" x14ac:dyDescent="0.3">
      <c r="A869" s="28" t="s">
        <v>4168</v>
      </c>
      <c r="B869" t="s">
        <v>4143</v>
      </c>
      <c r="C869" t="s">
        <v>4144</v>
      </c>
      <c r="D869" t="s">
        <v>4145</v>
      </c>
      <c r="E869" t="s">
        <v>4146</v>
      </c>
      <c r="F869" s="7" t="str">
        <f>IFERROR(INDEX(测试!H:H,MATCH(E869,测试!A:A,0)),1)</f>
        <v>-</v>
      </c>
    </row>
    <row r="870" spans="1:6" hidden="1" x14ac:dyDescent="0.3">
      <c r="A870" t="s">
        <v>4167</v>
      </c>
      <c r="B870" t="s">
        <v>4147</v>
      </c>
      <c r="C870" t="s">
        <v>4148</v>
      </c>
      <c r="D870" t="s">
        <v>4149</v>
      </c>
      <c r="E870" t="s">
        <v>4150</v>
      </c>
      <c r="F870" s="7" t="str">
        <f>IFERROR(INDEX(测试!H:H,MATCH(E870,测试!A:A,0)),1)</f>
        <v>-</v>
      </c>
    </row>
    <row r="871" spans="1:6" hidden="1" x14ac:dyDescent="0.3">
      <c r="A871" t="s">
        <v>4167</v>
      </c>
      <c r="B871" t="s">
        <v>4151</v>
      </c>
      <c r="C871" t="s">
        <v>4152</v>
      </c>
      <c r="D871" t="s">
        <v>4153</v>
      </c>
      <c r="E871" t="s">
        <v>4154</v>
      </c>
      <c r="F871" s="7" t="str">
        <f>IFERROR(INDEX(测试!H:H,MATCH(E871,测试!A:A,0)),1)</f>
        <v>-</v>
      </c>
    </row>
    <row r="872" spans="1:6" hidden="1" x14ac:dyDescent="0.3">
      <c r="A872" t="s">
        <v>4167</v>
      </c>
      <c r="B872" t="s">
        <v>4155</v>
      </c>
      <c r="C872" t="s">
        <v>4156</v>
      </c>
      <c r="D872" t="s">
        <v>4157</v>
      </c>
      <c r="E872" t="s">
        <v>4158</v>
      </c>
      <c r="F872" s="7" t="str">
        <f>IFERROR(INDEX(测试!H:H,MATCH(E872,测试!A:A,0)),1)</f>
        <v>-</v>
      </c>
    </row>
    <row r="873" spans="1:6" hidden="1" x14ac:dyDescent="0.3">
      <c r="A873" t="s">
        <v>4167</v>
      </c>
      <c r="B873" t="s">
        <v>4159</v>
      </c>
      <c r="C873" t="s">
        <v>4160</v>
      </c>
      <c r="D873" t="s">
        <v>4161</v>
      </c>
      <c r="E873" t="s">
        <v>4162</v>
      </c>
      <c r="F873" s="7" t="str">
        <f>IFERROR(INDEX(测试!H:H,MATCH(E873,测试!A:A,0)),1)</f>
        <v>-</v>
      </c>
    </row>
    <row r="874" spans="1:6" hidden="1" x14ac:dyDescent="0.3">
      <c r="A874" t="s">
        <v>4167</v>
      </c>
      <c r="B874" t="s">
        <v>4163</v>
      </c>
      <c r="C874" t="s">
        <v>4164</v>
      </c>
      <c r="D874" t="s">
        <v>4165</v>
      </c>
      <c r="E874" t="s">
        <v>4166</v>
      </c>
      <c r="F874" s="7" t="str">
        <f>IFERROR(INDEX(测试!H:H,MATCH(E874,测试!A:A,0)),1)</f>
        <v>-</v>
      </c>
    </row>
    <row r="875" spans="1:6" hidden="1" x14ac:dyDescent="0.3">
      <c r="A875" t="s">
        <v>2954</v>
      </c>
      <c r="B875" t="s">
        <v>4169</v>
      </c>
      <c r="C875" t="s">
        <v>4170</v>
      </c>
      <c r="D875" t="s">
        <v>4171</v>
      </c>
      <c r="E875" t="s">
        <v>4172</v>
      </c>
      <c r="F875" s="7" t="str">
        <f>IFERROR(INDEX(测试!H:H,MATCH(E875,测试!A:A,0)),1)</f>
        <v>-</v>
      </c>
    </row>
    <row r="876" spans="1:6" hidden="1" x14ac:dyDescent="0.3">
      <c r="A876" t="s">
        <v>2954</v>
      </c>
      <c r="B876" t="s">
        <v>4173</v>
      </c>
      <c r="C876" t="s">
        <v>4174</v>
      </c>
      <c r="D876" t="s">
        <v>4175</v>
      </c>
      <c r="E876" t="s">
        <v>4176</v>
      </c>
      <c r="F876" s="7" t="str">
        <f>IFERROR(INDEX(测试!H:H,MATCH(E876,测试!A:A,0)),1)</f>
        <v>-</v>
      </c>
    </row>
    <row r="877" spans="1:6" hidden="1" x14ac:dyDescent="0.3">
      <c r="A877" t="s">
        <v>2954</v>
      </c>
      <c r="B877" t="s">
        <v>4177</v>
      </c>
      <c r="C877" t="s">
        <v>4178</v>
      </c>
      <c r="D877" t="s">
        <v>4179</v>
      </c>
      <c r="E877" t="s">
        <v>4180</v>
      </c>
      <c r="F877" s="7" t="str">
        <f>IFERROR(INDEX(测试!H:H,MATCH(E877,测试!A:A,0)),1)</f>
        <v>-</v>
      </c>
    </row>
    <row r="878" spans="1:6" hidden="1" x14ac:dyDescent="0.3">
      <c r="A878" t="s">
        <v>4181</v>
      </c>
      <c r="B878" t="s">
        <v>4182</v>
      </c>
      <c r="C878" t="s">
        <v>4183</v>
      </c>
      <c r="D878" t="s">
        <v>4184</v>
      </c>
      <c r="E878" t="s">
        <v>4185</v>
      </c>
      <c r="F878" s="7">
        <f>IFERROR(INDEX(测试!H:H,MATCH(E878,测试!A:A,0)),1)</f>
        <v>1</v>
      </c>
    </row>
    <row r="879" spans="1:6" hidden="1" x14ac:dyDescent="0.3">
      <c r="A879" t="s">
        <v>3311</v>
      </c>
      <c r="B879" t="s">
        <v>4186</v>
      </c>
      <c r="C879" t="s">
        <v>4187</v>
      </c>
      <c r="D879" t="s">
        <v>4188</v>
      </c>
      <c r="E879" t="s">
        <v>4189</v>
      </c>
      <c r="F879" s="7" t="str">
        <f>IFERROR(INDEX(测试!H:H,MATCH(E879,测试!A:A,0)),1)</f>
        <v>-</v>
      </c>
    </row>
    <row r="880" spans="1:6" hidden="1" x14ac:dyDescent="0.3">
      <c r="A880" t="s">
        <v>3311</v>
      </c>
      <c r="B880" t="s">
        <v>4190</v>
      </c>
      <c r="C880" t="s">
        <v>4191</v>
      </c>
      <c r="D880" t="s">
        <v>4192</v>
      </c>
      <c r="E880" t="s">
        <v>4193</v>
      </c>
      <c r="F880" s="7" t="str">
        <f>IFERROR(INDEX(测试!H:H,MATCH(E880,测试!A:A,0)),1)</f>
        <v>-</v>
      </c>
    </row>
    <row r="881" spans="1:6" hidden="1" x14ac:dyDescent="0.3">
      <c r="A881" s="21" t="s">
        <v>4194</v>
      </c>
      <c r="B881" s="21" t="s">
        <v>4195</v>
      </c>
      <c r="C881" s="12" t="s">
        <v>4196</v>
      </c>
      <c r="D881" s="12" t="s">
        <v>4197</v>
      </c>
      <c r="E881" s="12" t="s">
        <v>4198</v>
      </c>
      <c r="F881" s="7">
        <f>IFERROR(INDEX(测试!H:H,MATCH(E881,测试!A:A,0)),1)</f>
        <v>1</v>
      </c>
    </row>
    <row r="882" spans="1:6" hidden="1" x14ac:dyDescent="0.3">
      <c r="A882" s="21" t="s">
        <v>4194</v>
      </c>
      <c r="B882" s="21" t="s">
        <v>4199</v>
      </c>
      <c r="C882" s="12" t="s">
        <v>4200</v>
      </c>
      <c r="D882" s="12" t="s">
        <v>4201</v>
      </c>
      <c r="E882" s="12" t="s">
        <v>4202</v>
      </c>
      <c r="F882" s="7">
        <f>IFERROR(INDEX(测试!H:H,MATCH(E882,测试!A:A,0)),1)</f>
        <v>1</v>
      </c>
    </row>
    <row r="883" spans="1:6" hidden="1" x14ac:dyDescent="0.3">
      <c r="A883" s="21" t="s">
        <v>4194</v>
      </c>
      <c r="B883" s="21" t="s">
        <v>4203</v>
      </c>
      <c r="C883" s="12" t="s">
        <v>4204</v>
      </c>
      <c r="D883" s="12" t="s">
        <v>4205</v>
      </c>
      <c r="E883" s="12" t="s">
        <v>4206</v>
      </c>
      <c r="F883" s="7">
        <f>IFERROR(INDEX(测试!H:H,MATCH(E883,测试!A:A,0)),1)</f>
        <v>1</v>
      </c>
    </row>
    <row r="884" spans="1:6" hidden="1" x14ac:dyDescent="0.3">
      <c r="A884" s="21" t="s">
        <v>4194</v>
      </c>
      <c r="B884" s="21" t="s">
        <v>4207</v>
      </c>
      <c r="C884" s="12" t="s">
        <v>4208</v>
      </c>
      <c r="D884" s="12" t="s">
        <v>4209</v>
      </c>
      <c r="E884" s="12" t="s">
        <v>4210</v>
      </c>
      <c r="F884" s="7">
        <f>IFERROR(INDEX(测试!H:H,MATCH(E884,测试!A:A,0)),1)</f>
        <v>1</v>
      </c>
    </row>
    <row r="885" spans="1:6" hidden="1" x14ac:dyDescent="0.3">
      <c r="A885" s="21" t="s">
        <v>4194</v>
      </c>
      <c r="B885" s="21" t="s">
        <v>4211</v>
      </c>
      <c r="C885" s="12" t="s">
        <v>4212</v>
      </c>
      <c r="D885" s="12" t="s">
        <v>4213</v>
      </c>
      <c r="E885" s="12" t="s">
        <v>4214</v>
      </c>
      <c r="F885" s="7">
        <f>IFERROR(INDEX(测试!H:H,MATCH(E885,测试!A:A,0)),1)</f>
        <v>1</v>
      </c>
    </row>
    <row r="886" spans="1:6" hidden="1" x14ac:dyDescent="0.3">
      <c r="A886" s="21" t="s">
        <v>4194</v>
      </c>
      <c r="B886" s="21" t="s">
        <v>4215</v>
      </c>
      <c r="C886" s="12" t="s">
        <v>4216</v>
      </c>
      <c r="D886" s="12" t="s">
        <v>4217</v>
      </c>
      <c r="E886" s="12" t="s">
        <v>4218</v>
      </c>
      <c r="F886" s="7">
        <f>IFERROR(INDEX(测试!H:H,MATCH(E886,测试!A:A,0)),1)</f>
        <v>1</v>
      </c>
    </row>
    <row r="887" spans="1:6" hidden="1" x14ac:dyDescent="0.3">
      <c r="A887" s="21" t="s">
        <v>4194</v>
      </c>
      <c r="B887" s="21" t="s">
        <v>4219</v>
      </c>
      <c r="C887" s="12" t="s">
        <v>4220</v>
      </c>
      <c r="D887" s="12" t="s">
        <v>4221</v>
      </c>
      <c r="E887" s="12" t="s">
        <v>4222</v>
      </c>
      <c r="F887" s="7">
        <f>IFERROR(INDEX(测试!H:H,MATCH(E887,测试!A:A,0)),1)</f>
        <v>1</v>
      </c>
    </row>
    <row r="888" spans="1:6" hidden="1" x14ac:dyDescent="0.3">
      <c r="A888" t="s">
        <v>4223</v>
      </c>
      <c r="B888" t="s">
        <v>4224</v>
      </c>
      <c r="C888" t="s">
        <v>4225</v>
      </c>
      <c r="D888" t="s">
        <v>4226</v>
      </c>
      <c r="E888" t="s">
        <v>4227</v>
      </c>
      <c r="F888" s="7" t="str">
        <f>IFERROR(INDEX(测试!H:H,MATCH(E888,测试!A:A,0)),1)</f>
        <v>-</v>
      </c>
    </row>
    <row r="889" spans="1:6" hidden="1" x14ac:dyDescent="0.3">
      <c r="A889" t="s">
        <v>4223</v>
      </c>
      <c r="B889" t="s">
        <v>4228</v>
      </c>
      <c r="C889" t="s">
        <v>4229</v>
      </c>
      <c r="D889" t="s">
        <v>4230</v>
      </c>
      <c r="E889" t="s">
        <v>4231</v>
      </c>
      <c r="F889" s="7" t="str">
        <f>IFERROR(INDEX(测试!H:H,MATCH(E889,测试!A:A,0)),1)</f>
        <v>文件名错误</v>
      </c>
    </row>
    <row r="890" spans="1:6" hidden="1" x14ac:dyDescent="0.3">
      <c r="A890" t="s">
        <v>4223</v>
      </c>
      <c r="B890" t="s">
        <v>4232</v>
      </c>
      <c r="C890" t="s">
        <v>4233</v>
      </c>
      <c r="D890" t="s">
        <v>4234</v>
      </c>
      <c r="E890" t="s">
        <v>4235</v>
      </c>
      <c r="F890" s="7" t="str">
        <f>IFERROR(INDEX(测试!H:H,MATCH(E890,测试!A:A,0)),1)</f>
        <v>-</v>
      </c>
    </row>
    <row r="891" spans="1:6" hidden="1" x14ac:dyDescent="0.3">
      <c r="A891" t="s">
        <v>4223</v>
      </c>
      <c r="B891" t="s">
        <v>4236</v>
      </c>
      <c r="C891" t="s">
        <v>4237</v>
      </c>
      <c r="D891" t="s">
        <v>4238</v>
      </c>
      <c r="E891" t="s">
        <v>4239</v>
      </c>
      <c r="F891" s="7" t="str">
        <f>IFERROR(INDEX(测试!H:H,MATCH(E891,测试!A:A,0)),1)</f>
        <v>-</v>
      </c>
    </row>
    <row r="892" spans="1:6" hidden="1" x14ac:dyDescent="0.3">
      <c r="A892" t="s">
        <v>4223</v>
      </c>
      <c r="B892" t="s">
        <v>4240</v>
      </c>
      <c r="C892" t="s">
        <v>4241</v>
      </c>
      <c r="D892" t="s">
        <v>4242</v>
      </c>
      <c r="E892" t="s">
        <v>4243</v>
      </c>
      <c r="F892" s="7" t="str">
        <f>IFERROR(INDEX(测试!H:H,MATCH(E892,测试!A:A,0)),1)</f>
        <v>-</v>
      </c>
    </row>
    <row r="893" spans="1:6" hidden="1" x14ac:dyDescent="0.3">
      <c r="A893" t="s">
        <v>4223</v>
      </c>
      <c r="B893" t="s">
        <v>4244</v>
      </c>
      <c r="C893" t="s">
        <v>4245</v>
      </c>
      <c r="D893" t="s">
        <v>4246</v>
      </c>
      <c r="E893" t="s">
        <v>4247</v>
      </c>
      <c r="F893" s="7" t="str">
        <f>IFERROR(INDEX(测试!H:H,MATCH(E893,测试!A:A,0)),1)</f>
        <v>-</v>
      </c>
    </row>
    <row r="894" spans="1:6" hidden="1" x14ac:dyDescent="0.3">
      <c r="A894" t="s">
        <v>4223</v>
      </c>
      <c r="B894" t="s">
        <v>4248</v>
      </c>
      <c r="C894" t="s">
        <v>4249</v>
      </c>
      <c r="D894" t="s">
        <v>4250</v>
      </c>
      <c r="E894" t="s">
        <v>4251</v>
      </c>
      <c r="F894" s="7" t="str">
        <f>IFERROR(INDEX(测试!H:H,MATCH(E894,测试!A:A,0)),1)</f>
        <v>-</v>
      </c>
    </row>
    <row r="895" spans="1:6" hidden="1" x14ac:dyDescent="0.3">
      <c r="A895" t="s">
        <v>4223</v>
      </c>
      <c r="B895" t="s">
        <v>4252</v>
      </c>
      <c r="C895" t="s">
        <v>4253</v>
      </c>
      <c r="D895" t="s">
        <v>4254</v>
      </c>
      <c r="E895" t="s">
        <v>4255</v>
      </c>
      <c r="F895" s="7" t="str">
        <f>IFERROR(INDEX(测试!H:H,MATCH(E895,测试!A:A,0)),1)</f>
        <v>-</v>
      </c>
    </row>
    <row r="896" spans="1:6" hidden="1" x14ac:dyDescent="0.3">
      <c r="A896" t="s">
        <v>4223</v>
      </c>
      <c r="B896" t="s">
        <v>4256</v>
      </c>
      <c r="C896" t="s">
        <v>4257</v>
      </c>
      <c r="D896" t="s">
        <v>4258</v>
      </c>
      <c r="E896" t="s">
        <v>4259</v>
      </c>
      <c r="F896" s="7" t="str">
        <f>IFERROR(INDEX(测试!H:H,MATCH(E896,测试!A:A,0)),1)</f>
        <v>-</v>
      </c>
    </row>
    <row r="897" spans="1:6" hidden="1" x14ac:dyDescent="0.3">
      <c r="A897" t="s">
        <v>4223</v>
      </c>
      <c r="B897" t="s">
        <v>4260</v>
      </c>
      <c r="C897" t="s">
        <v>4261</v>
      </c>
      <c r="D897" t="s">
        <v>4262</v>
      </c>
      <c r="E897" t="s">
        <v>4263</v>
      </c>
      <c r="F897" s="7" t="str">
        <f>IFERROR(INDEX(测试!H:H,MATCH(E897,测试!A:A,0)),1)</f>
        <v>-</v>
      </c>
    </row>
    <row r="898" spans="1:6" hidden="1" x14ac:dyDescent="0.3">
      <c r="A898" t="s">
        <v>4223</v>
      </c>
      <c r="B898" t="s">
        <v>4264</v>
      </c>
      <c r="C898" t="s">
        <v>4265</v>
      </c>
      <c r="D898" t="s">
        <v>4266</v>
      </c>
      <c r="E898" t="s">
        <v>4267</v>
      </c>
      <c r="F898" s="7" t="str">
        <f>IFERROR(INDEX(测试!H:H,MATCH(E898,测试!A:A,0)),1)</f>
        <v>文件名错误</v>
      </c>
    </row>
    <row r="899" spans="1:6" hidden="1" x14ac:dyDescent="0.3">
      <c r="A899" t="s">
        <v>4223</v>
      </c>
      <c r="B899" t="s">
        <v>4268</v>
      </c>
      <c r="C899" t="s">
        <v>4269</v>
      </c>
      <c r="D899" t="s">
        <v>4270</v>
      </c>
      <c r="E899" t="s">
        <v>4271</v>
      </c>
      <c r="F899" s="7" t="str">
        <f>IFERROR(INDEX(测试!H:H,MATCH(E899,测试!A:A,0)),1)</f>
        <v>-</v>
      </c>
    </row>
    <row r="900" spans="1:6" hidden="1" x14ac:dyDescent="0.3">
      <c r="A900" t="s">
        <v>4223</v>
      </c>
      <c r="B900" t="s">
        <v>4272</v>
      </c>
      <c r="C900" t="s">
        <v>4273</v>
      </c>
      <c r="D900" t="s">
        <v>4274</v>
      </c>
      <c r="E900" t="s">
        <v>4275</v>
      </c>
      <c r="F900" s="7" t="str">
        <f>IFERROR(INDEX(测试!H:H,MATCH(E900,测试!A:A,0)),1)</f>
        <v>-</v>
      </c>
    </row>
    <row r="901" spans="1:6" hidden="1" x14ac:dyDescent="0.3">
      <c r="A901" t="s">
        <v>4223</v>
      </c>
      <c r="B901" t="s">
        <v>4276</v>
      </c>
      <c r="C901" t="s">
        <v>4277</v>
      </c>
      <c r="D901" t="s">
        <v>4278</v>
      </c>
      <c r="E901" t="s">
        <v>4279</v>
      </c>
      <c r="F901" s="7" t="str">
        <f>IFERROR(INDEX(测试!H:H,MATCH(E901,测试!A:A,0)),1)</f>
        <v>-</v>
      </c>
    </row>
    <row r="902" spans="1:6" hidden="1" x14ac:dyDescent="0.3">
      <c r="A902" t="s">
        <v>4223</v>
      </c>
      <c r="B902" t="s">
        <v>4280</v>
      </c>
      <c r="C902" t="s">
        <v>4281</v>
      </c>
      <c r="D902" t="s">
        <v>4282</v>
      </c>
      <c r="E902" t="s">
        <v>4283</v>
      </c>
      <c r="F902" s="7" t="str">
        <f>IFERROR(INDEX(测试!H:H,MATCH(E902,测试!A:A,0)),1)</f>
        <v>-</v>
      </c>
    </row>
    <row r="903" spans="1:6" hidden="1" x14ac:dyDescent="0.3">
      <c r="A903" t="s">
        <v>4223</v>
      </c>
      <c r="B903" t="s">
        <v>4284</v>
      </c>
      <c r="C903" t="s">
        <v>4285</v>
      </c>
      <c r="D903" t="s">
        <v>4286</v>
      </c>
      <c r="E903" t="s">
        <v>4287</v>
      </c>
      <c r="F903" s="7" t="str">
        <f>IFERROR(INDEX(测试!H:H,MATCH(E903,测试!A:A,0)),1)</f>
        <v>-</v>
      </c>
    </row>
    <row r="904" spans="1:6" hidden="1" x14ac:dyDescent="0.3">
      <c r="A904" t="s">
        <v>4223</v>
      </c>
      <c r="B904" t="s">
        <v>4288</v>
      </c>
      <c r="C904" t="s">
        <v>4289</v>
      </c>
      <c r="D904" t="s">
        <v>4290</v>
      </c>
      <c r="E904" t="s">
        <v>4291</v>
      </c>
      <c r="F904" s="7" t="str">
        <f>IFERROR(INDEX(测试!H:H,MATCH(E904,测试!A:A,0)),1)</f>
        <v>-</v>
      </c>
    </row>
    <row r="905" spans="1:6" hidden="1" x14ac:dyDescent="0.3">
      <c r="A905" t="s">
        <v>4223</v>
      </c>
      <c r="B905" t="s">
        <v>4292</v>
      </c>
      <c r="C905" t="s">
        <v>4293</v>
      </c>
      <c r="D905" t="s">
        <v>4294</v>
      </c>
      <c r="E905" t="s">
        <v>4295</v>
      </c>
      <c r="F905" s="7" t="str">
        <f>IFERROR(INDEX(测试!H:H,MATCH(E905,测试!A:A,0)),1)</f>
        <v>-</v>
      </c>
    </row>
    <row r="906" spans="1:6" hidden="1" x14ac:dyDescent="0.3">
      <c r="A906" t="s">
        <v>4223</v>
      </c>
      <c r="B906" t="s">
        <v>4296</v>
      </c>
      <c r="C906" t="s">
        <v>4297</v>
      </c>
      <c r="D906" t="s">
        <v>4298</v>
      </c>
      <c r="E906" t="s">
        <v>4299</v>
      </c>
      <c r="F906" s="7" t="str">
        <f>IFERROR(INDEX(测试!H:H,MATCH(E906,测试!A:A,0)),1)</f>
        <v>-</v>
      </c>
    </row>
    <row r="907" spans="1:6" hidden="1" x14ac:dyDescent="0.3">
      <c r="A907" t="s">
        <v>4223</v>
      </c>
      <c r="B907" t="s">
        <v>4300</v>
      </c>
      <c r="C907" t="s">
        <v>4301</v>
      </c>
      <c r="D907" t="s">
        <v>4302</v>
      </c>
      <c r="E907" t="s">
        <v>4303</v>
      </c>
      <c r="F907" s="7" t="str">
        <f>IFERROR(INDEX(测试!H:H,MATCH(E907,测试!A:A,0)),1)</f>
        <v>-</v>
      </c>
    </row>
    <row r="908" spans="1:6" hidden="1" x14ac:dyDescent="0.3">
      <c r="A908" t="s">
        <v>4223</v>
      </c>
      <c r="B908" t="s">
        <v>4304</v>
      </c>
      <c r="C908" t="s">
        <v>4305</v>
      </c>
      <c r="D908" t="s">
        <v>4306</v>
      </c>
      <c r="E908" t="s">
        <v>4307</v>
      </c>
      <c r="F908" s="7" t="str">
        <f>IFERROR(INDEX(测试!H:H,MATCH(E908,测试!A:A,0)),1)</f>
        <v>-</v>
      </c>
    </row>
    <row r="909" spans="1:6" hidden="1" x14ac:dyDescent="0.3">
      <c r="A909" t="s">
        <v>4223</v>
      </c>
      <c r="B909" t="s">
        <v>4308</v>
      </c>
      <c r="C909" t="s">
        <v>4309</v>
      </c>
      <c r="D909" t="s">
        <v>4310</v>
      </c>
      <c r="E909" t="s">
        <v>4311</v>
      </c>
      <c r="F909" s="7" t="str">
        <f>IFERROR(INDEX(测试!H:H,MATCH(E909,测试!A:A,0)),1)</f>
        <v>-</v>
      </c>
    </row>
    <row r="910" spans="1:6" hidden="1" x14ac:dyDescent="0.3">
      <c r="A910" t="s">
        <v>4223</v>
      </c>
      <c r="B910" t="s">
        <v>4312</v>
      </c>
      <c r="C910" t="s">
        <v>4313</v>
      </c>
      <c r="D910" t="s">
        <v>4314</v>
      </c>
      <c r="E910" t="s">
        <v>4315</v>
      </c>
      <c r="F910" s="7" t="str">
        <f>IFERROR(INDEX(测试!H:H,MATCH(E910,测试!A:A,0)),1)</f>
        <v>-</v>
      </c>
    </row>
    <row r="911" spans="1:6" hidden="1" x14ac:dyDescent="0.3">
      <c r="A911" t="s">
        <v>4223</v>
      </c>
      <c r="B911" t="s">
        <v>4316</v>
      </c>
      <c r="C911" t="s">
        <v>4317</v>
      </c>
      <c r="D911" t="s">
        <v>4318</v>
      </c>
      <c r="E911" t="s">
        <v>4319</v>
      </c>
      <c r="F911" s="7" t="str">
        <f>IFERROR(INDEX(测试!H:H,MATCH(E911,测试!A:A,0)),1)</f>
        <v>-</v>
      </c>
    </row>
    <row r="912" spans="1:6" hidden="1" x14ac:dyDescent="0.3">
      <c r="A912" t="s">
        <v>4223</v>
      </c>
      <c r="B912" t="s">
        <v>4320</v>
      </c>
      <c r="C912" t="s">
        <v>4321</v>
      </c>
      <c r="D912" t="s">
        <v>4322</v>
      </c>
      <c r="E912" t="s">
        <v>4323</v>
      </c>
      <c r="F912" s="7" t="str">
        <f>IFERROR(INDEX(测试!H:H,MATCH(E912,测试!A:A,0)),1)</f>
        <v>-</v>
      </c>
    </row>
    <row r="913" spans="1:6" hidden="1" x14ac:dyDescent="0.3">
      <c r="A913" t="s">
        <v>4223</v>
      </c>
      <c r="B913" t="s">
        <v>4324</v>
      </c>
      <c r="C913" t="s">
        <v>4325</v>
      </c>
      <c r="D913" t="s">
        <v>4326</v>
      </c>
      <c r="E913" t="s">
        <v>4327</v>
      </c>
      <c r="F913" s="7" t="str">
        <f>IFERROR(INDEX(测试!H:H,MATCH(E913,测试!A:A,0)),1)</f>
        <v>-</v>
      </c>
    </row>
    <row r="914" spans="1:6" hidden="1" x14ac:dyDescent="0.3">
      <c r="A914" t="s">
        <v>4223</v>
      </c>
      <c r="B914" t="s">
        <v>4328</v>
      </c>
      <c r="C914" t="s">
        <v>4329</v>
      </c>
      <c r="D914" t="s">
        <v>4330</v>
      </c>
      <c r="E914" t="s">
        <v>4331</v>
      </c>
      <c r="F914" s="7" t="str">
        <f>IFERROR(INDEX(测试!H:H,MATCH(E914,测试!A:A,0)),1)</f>
        <v>-</v>
      </c>
    </row>
    <row r="915" spans="1:6" hidden="1" x14ac:dyDescent="0.3">
      <c r="A915" t="s">
        <v>4223</v>
      </c>
      <c r="B915" t="s">
        <v>4332</v>
      </c>
      <c r="C915" t="s">
        <v>4333</v>
      </c>
      <c r="D915" t="s">
        <v>4334</v>
      </c>
      <c r="E915" t="s">
        <v>4335</v>
      </c>
      <c r="F915" s="7" t="str">
        <f>IFERROR(INDEX(测试!H:H,MATCH(E915,测试!A:A,0)),1)</f>
        <v>文件名错误</v>
      </c>
    </row>
    <row r="916" spans="1:6" hidden="1" x14ac:dyDescent="0.3">
      <c r="A916" t="s">
        <v>4223</v>
      </c>
      <c r="B916" t="s">
        <v>4336</v>
      </c>
      <c r="C916" t="s">
        <v>4337</v>
      </c>
      <c r="D916" t="s">
        <v>4338</v>
      </c>
      <c r="E916" t="s">
        <v>4339</v>
      </c>
      <c r="F916" s="7" t="str">
        <f>IFERROR(INDEX(测试!H:H,MATCH(E916,测试!A:A,0)),1)</f>
        <v>-</v>
      </c>
    </row>
    <row r="917" spans="1:6" hidden="1" x14ac:dyDescent="0.3">
      <c r="A917" t="s">
        <v>4223</v>
      </c>
      <c r="B917" t="s">
        <v>4340</v>
      </c>
      <c r="C917" t="s">
        <v>4341</v>
      </c>
      <c r="D917" t="s">
        <v>4342</v>
      </c>
      <c r="E917" t="s">
        <v>4343</v>
      </c>
      <c r="F917" s="7" t="str">
        <f>IFERROR(INDEX(测试!H:H,MATCH(E917,测试!A:A,0)),1)</f>
        <v>文件名错误</v>
      </c>
    </row>
    <row r="918" spans="1:6" hidden="1" x14ac:dyDescent="0.3">
      <c r="A918" t="s">
        <v>4223</v>
      </c>
      <c r="B918" t="s">
        <v>4344</v>
      </c>
      <c r="C918" t="s">
        <v>4345</v>
      </c>
      <c r="D918" t="s">
        <v>4346</v>
      </c>
      <c r="E918" t="s">
        <v>4347</v>
      </c>
      <c r="F918" s="7" t="str">
        <f>IFERROR(INDEX(测试!H:H,MATCH(E918,测试!A:A,0)),1)</f>
        <v>-</v>
      </c>
    </row>
    <row r="919" spans="1:6" hidden="1" x14ac:dyDescent="0.3">
      <c r="A919" t="s">
        <v>4223</v>
      </c>
      <c r="B919" t="s">
        <v>4348</v>
      </c>
      <c r="C919" t="s">
        <v>4349</v>
      </c>
      <c r="D919" t="s">
        <v>4350</v>
      </c>
      <c r="E919" t="s">
        <v>4351</v>
      </c>
      <c r="F919" s="7" t="str">
        <f>IFERROR(INDEX(测试!H:H,MATCH(E919,测试!A:A,0)),1)</f>
        <v>-</v>
      </c>
    </row>
    <row r="920" spans="1:6" hidden="1" x14ac:dyDescent="0.3">
      <c r="A920" t="s">
        <v>4223</v>
      </c>
      <c r="B920" t="s">
        <v>4352</v>
      </c>
      <c r="C920" t="s">
        <v>4353</v>
      </c>
      <c r="D920" t="s">
        <v>4354</v>
      </c>
      <c r="E920" t="s">
        <v>4355</v>
      </c>
      <c r="F920" s="7" t="str">
        <f>IFERROR(INDEX(测试!H:H,MATCH(E920,测试!A:A,0)),1)</f>
        <v>-</v>
      </c>
    </row>
    <row r="921" spans="1:6" hidden="1" x14ac:dyDescent="0.3">
      <c r="A921" t="s">
        <v>4223</v>
      </c>
      <c r="B921" t="s">
        <v>4356</v>
      </c>
      <c r="C921" t="s">
        <v>4357</v>
      </c>
      <c r="D921" t="s">
        <v>4358</v>
      </c>
      <c r="E921" t="s">
        <v>4359</v>
      </c>
      <c r="F921" s="7" t="str">
        <f>IFERROR(INDEX(测试!H:H,MATCH(E921,测试!A:A,0)),1)</f>
        <v>-</v>
      </c>
    </row>
    <row r="922" spans="1:6" hidden="1" x14ac:dyDescent="0.3">
      <c r="A922" t="s">
        <v>4223</v>
      </c>
      <c r="B922" t="s">
        <v>4360</v>
      </c>
      <c r="C922" t="s">
        <v>4361</v>
      </c>
      <c r="D922" t="s">
        <v>4362</v>
      </c>
      <c r="E922" t="s">
        <v>4363</v>
      </c>
      <c r="F922" s="7" t="str">
        <f>IFERROR(INDEX(测试!H:H,MATCH(E922,测试!A:A,0)),1)</f>
        <v>-</v>
      </c>
    </row>
    <row r="923" spans="1:6" hidden="1" x14ac:dyDescent="0.3">
      <c r="A923" t="s">
        <v>4223</v>
      </c>
      <c r="B923" t="s">
        <v>4364</v>
      </c>
      <c r="C923" t="s">
        <v>4365</v>
      </c>
      <c r="D923" t="s">
        <v>4366</v>
      </c>
      <c r="E923" t="s">
        <v>4367</v>
      </c>
      <c r="F923" s="7" t="str">
        <f>IFERROR(INDEX(测试!H:H,MATCH(E923,测试!A:A,0)),1)</f>
        <v>-</v>
      </c>
    </row>
    <row r="924" spans="1:6" hidden="1" x14ac:dyDescent="0.3">
      <c r="A924" t="s">
        <v>4223</v>
      </c>
      <c r="B924" t="s">
        <v>4368</v>
      </c>
      <c r="C924" t="s">
        <v>4369</v>
      </c>
      <c r="D924" t="s">
        <v>4370</v>
      </c>
      <c r="E924" t="s">
        <v>4371</v>
      </c>
      <c r="F924" s="7" t="str">
        <f>IFERROR(INDEX(测试!H:H,MATCH(E924,测试!A:A,0)),1)</f>
        <v>-</v>
      </c>
    </row>
    <row r="925" spans="1:6" hidden="1" x14ac:dyDescent="0.3">
      <c r="A925" t="s">
        <v>4223</v>
      </c>
      <c r="B925" t="s">
        <v>4372</v>
      </c>
      <c r="C925" t="s">
        <v>4373</v>
      </c>
      <c r="D925" t="s">
        <v>4374</v>
      </c>
      <c r="E925" t="s">
        <v>4375</v>
      </c>
      <c r="F925" s="7" t="str">
        <f>IFERROR(INDEX(测试!H:H,MATCH(E925,测试!A:A,0)),1)</f>
        <v>-</v>
      </c>
    </row>
    <row r="926" spans="1:6" hidden="1" x14ac:dyDescent="0.3">
      <c r="A926" t="s">
        <v>4223</v>
      </c>
      <c r="B926" t="s">
        <v>4376</v>
      </c>
      <c r="C926" t="s">
        <v>4377</v>
      </c>
      <c r="D926" t="s">
        <v>4378</v>
      </c>
      <c r="E926" t="s">
        <v>4379</v>
      </c>
      <c r="F926" s="7" t="str">
        <f>IFERROR(INDEX(测试!H:H,MATCH(E926,测试!A:A,0)),1)</f>
        <v>-</v>
      </c>
    </row>
    <row r="927" spans="1:6" hidden="1" x14ac:dyDescent="0.3">
      <c r="A927" t="s">
        <v>4223</v>
      </c>
      <c r="B927" t="s">
        <v>4380</v>
      </c>
      <c r="C927" t="s">
        <v>4381</v>
      </c>
      <c r="D927" t="s">
        <v>4382</v>
      </c>
      <c r="E927" t="s">
        <v>4383</v>
      </c>
      <c r="F927" s="7" t="str">
        <f>IFERROR(INDEX(测试!H:H,MATCH(E927,测试!A:A,0)),1)</f>
        <v>-</v>
      </c>
    </row>
    <row r="928" spans="1:6" hidden="1" x14ac:dyDescent="0.3">
      <c r="A928" t="s">
        <v>4223</v>
      </c>
      <c r="B928" t="s">
        <v>4384</v>
      </c>
      <c r="C928" t="s">
        <v>4385</v>
      </c>
      <c r="D928" t="s">
        <v>4386</v>
      </c>
      <c r="E928" t="s">
        <v>4387</v>
      </c>
      <c r="F928" s="7" t="str">
        <f>IFERROR(INDEX(测试!H:H,MATCH(E928,测试!A:A,0)),1)</f>
        <v>-</v>
      </c>
    </row>
    <row r="929" spans="1:6" hidden="1" x14ac:dyDescent="0.3">
      <c r="A929" t="s">
        <v>4223</v>
      </c>
      <c r="B929" t="s">
        <v>4388</v>
      </c>
      <c r="C929" t="s">
        <v>4389</v>
      </c>
      <c r="D929" t="s">
        <v>4390</v>
      </c>
      <c r="E929" t="s">
        <v>4391</v>
      </c>
      <c r="F929" s="7" t="str">
        <f>IFERROR(INDEX(测试!H:H,MATCH(E929,测试!A:A,0)),1)</f>
        <v>-</v>
      </c>
    </row>
    <row r="930" spans="1:6" hidden="1" x14ac:dyDescent="0.3">
      <c r="A930" t="s">
        <v>4223</v>
      </c>
      <c r="B930" t="s">
        <v>4392</v>
      </c>
      <c r="C930" t="s">
        <v>4393</v>
      </c>
      <c r="D930" t="s">
        <v>4394</v>
      </c>
      <c r="E930" t="s">
        <v>4395</v>
      </c>
      <c r="F930" s="7" t="str">
        <f>IFERROR(INDEX(测试!H:H,MATCH(E930,测试!A:A,0)),1)</f>
        <v>-</v>
      </c>
    </row>
    <row r="931" spans="1:6" hidden="1" x14ac:dyDescent="0.3">
      <c r="A931" t="s">
        <v>4223</v>
      </c>
      <c r="B931" t="s">
        <v>4396</v>
      </c>
      <c r="C931" t="s">
        <v>4397</v>
      </c>
      <c r="D931" t="s">
        <v>4398</v>
      </c>
      <c r="E931" t="s">
        <v>4399</v>
      </c>
      <c r="F931" s="7" t="str">
        <f>IFERROR(INDEX(测试!H:H,MATCH(E931,测试!A:A,0)),1)</f>
        <v>-</v>
      </c>
    </row>
    <row r="932" spans="1:6" hidden="1" x14ac:dyDescent="0.3">
      <c r="A932" t="s">
        <v>4223</v>
      </c>
      <c r="B932" t="s">
        <v>4400</v>
      </c>
      <c r="C932" t="s">
        <v>4401</v>
      </c>
      <c r="D932" t="s">
        <v>4402</v>
      </c>
      <c r="E932" t="s">
        <v>4403</v>
      </c>
      <c r="F932" s="7" t="str">
        <f>IFERROR(INDEX(测试!H:H,MATCH(E932,测试!A:A,0)),1)</f>
        <v>-</v>
      </c>
    </row>
    <row r="933" spans="1:6" hidden="1" x14ac:dyDescent="0.3">
      <c r="A933" t="s">
        <v>4223</v>
      </c>
      <c r="B933" t="s">
        <v>4404</v>
      </c>
      <c r="C933" t="s">
        <v>4405</v>
      </c>
      <c r="D933" t="s">
        <v>4406</v>
      </c>
      <c r="E933" t="s">
        <v>4407</v>
      </c>
      <c r="F933" s="7" t="str">
        <f>IFERROR(INDEX(测试!H:H,MATCH(E933,测试!A:A,0)),1)</f>
        <v>-</v>
      </c>
    </row>
    <row r="934" spans="1:6" hidden="1" x14ac:dyDescent="0.3">
      <c r="A934" t="s">
        <v>4223</v>
      </c>
      <c r="B934" t="s">
        <v>4408</v>
      </c>
      <c r="C934" t="s">
        <v>4409</v>
      </c>
      <c r="D934" t="s">
        <v>4410</v>
      </c>
      <c r="E934" t="s">
        <v>4411</v>
      </c>
      <c r="F934" s="7" t="str">
        <f>IFERROR(INDEX(测试!H:H,MATCH(E934,测试!A:A,0)),1)</f>
        <v>-</v>
      </c>
    </row>
    <row r="935" spans="1:6" hidden="1" x14ac:dyDescent="0.3">
      <c r="A935" t="s">
        <v>4223</v>
      </c>
      <c r="B935" t="s">
        <v>4412</v>
      </c>
      <c r="C935" t="s">
        <v>4413</v>
      </c>
      <c r="D935" t="s">
        <v>4414</v>
      </c>
      <c r="E935" t="s">
        <v>4415</v>
      </c>
      <c r="F935" s="7" t="str">
        <f>IFERROR(INDEX(测试!H:H,MATCH(E935,测试!A:A,0)),1)</f>
        <v>-</v>
      </c>
    </row>
    <row r="936" spans="1:6" hidden="1" x14ac:dyDescent="0.3">
      <c r="A936" t="s">
        <v>4167</v>
      </c>
      <c r="B936" t="s">
        <v>4444</v>
      </c>
      <c r="C936" t="s">
        <v>4445</v>
      </c>
      <c r="D936" t="s">
        <v>4446</v>
      </c>
      <c r="E936" t="s">
        <v>4447</v>
      </c>
      <c r="F936" s="7">
        <f>IFERROR(INDEX(测试!H:H,MATCH(E936,测试!A:A,0)),1)</f>
        <v>1</v>
      </c>
    </row>
    <row r="937" spans="1:6" hidden="1" x14ac:dyDescent="0.3">
      <c r="A937" t="s">
        <v>4167</v>
      </c>
      <c r="B937" t="s">
        <v>4530</v>
      </c>
      <c r="C937" t="s">
        <v>4531</v>
      </c>
      <c r="D937" t="s">
        <v>4532</v>
      </c>
      <c r="E937" t="s">
        <v>4533</v>
      </c>
      <c r="F937" s="7">
        <f>IFERROR(INDEX(测试!H:H,MATCH(E937,测试!A:A,0)),1)</f>
        <v>1</v>
      </c>
    </row>
    <row r="938" spans="1:6" hidden="1" x14ac:dyDescent="0.3">
      <c r="A938" t="s">
        <v>4167</v>
      </c>
      <c r="B938" t="s">
        <v>4534</v>
      </c>
      <c r="C938" t="s">
        <v>4535</v>
      </c>
      <c r="D938" t="s">
        <v>4536</v>
      </c>
      <c r="E938" t="s">
        <v>4537</v>
      </c>
      <c r="F938" s="7">
        <f>IFERROR(INDEX(测试!H:H,MATCH(E938,测试!A:A,0)),1)</f>
        <v>1</v>
      </c>
    </row>
    <row r="939" spans="1:6" hidden="1" x14ac:dyDescent="0.3">
      <c r="A939" t="s">
        <v>4141</v>
      </c>
      <c r="B939" t="s">
        <v>4448</v>
      </c>
      <c r="C939" t="s">
        <v>4449</v>
      </c>
      <c r="D939" t="s">
        <v>4450</v>
      </c>
      <c r="E939" t="s">
        <v>4451</v>
      </c>
      <c r="F939" s="7" t="str">
        <f>IFERROR(INDEX(测试!H:H,MATCH(E939,测试!A:A,0)),1)</f>
        <v>-</v>
      </c>
    </row>
    <row r="940" spans="1:6" hidden="1" x14ac:dyDescent="0.3">
      <c r="A940" t="s">
        <v>4141</v>
      </c>
      <c r="B940" t="s">
        <v>4452</v>
      </c>
      <c r="C940" t="s">
        <v>4453</v>
      </c>
      <c r="D940" t="s">
        <v>4454</v>
      </c>
      <c r="E940" t="s">
        <v>4455</v>
      </c>
      <c r="F940" s="7" t="str">
        <f>IFERROR(INDEX(测试!H:H,MATCH(E940,测试!A:A,0)),1)</f>
        <v>-</v>
      </c>
    </row>
    <row r="941" spans="1:6" hidden="1" x14ac:dyDescent="0.3">
      <c r="A941" t="s">
        <v>4141</v>
      </c>
      <c r="B941" t="s">
        <v>4456</v>
      </c>
      <c r="C941" t="s">
        <v>4457</v>
      </c>
      <c r="D941" t="s">
        <v>4458</v>
      </c>
      <c r="E941" t="s">
        <v>4459</v>
      </c>
      <c r="F941" s="7" t="str">
        <f>IFERROR(INDEX(测试!H:H,MATCH(E941,测试!A:A,0)),1)</f>
        <v>-</v>
      </c>
    </row>
    <row r="942" spans="1:6" hidden="1" x14ac:dyDescent="0.3">
      <c r="A942" t="s">
        <v>2949</v>
      </c>
      <c r="B942" t="s">
        <v>4477</v>
      </c>
      <c r="C942" t="s">
        <v>4478</v>
      </c>
      <c r="D942" t="s">
        <v>4479</v>
      </c>
      <c r="E942" t="s">
        <v>4480</v>
      </c>
      <c r="F942" s="7" t="str">
        <f>IFERROR(INDEX(测试!H:H,MATCH(E942,测试!A:A,0)),1)</f>
        <v>-</v>
      </c>
    </row>
    <row r="943" spans="1:6" hidden="1" x14ac:dyDescent="0.3">
      <c r="A943" t="s">
        <v>2949</v>
      </c>
      <c r="B943" t="s">
        <v>4481</v>
      </c>
      <c r="C943" t="s">
        <v>4482</v>
      </c>
      <c r="D943" t="s">
        <v>4483</v>
      </c>
      <c r="E943" t="s">
        <v>4484</v>
      </c>
      <c r="F943" s="7" t="str">
        <f>IFERROR(INDEX(测试!H:H,MATCH(E943,测试!A:A,0)),1)</f>
        <v>-</v>
      </c>
    </row>
    <row r="944" spans="1:6" hidden="1" x14ac:dyDescent="0.3">
      <c r="A944" t="s">
        <v>2949</v>
      </c>
      <c r="B944" t="s">
        <v>4485</v>
      </c>
      <c r="C944" t="s">
        <v>4486</v>
      </c>
      <c r="D944" t="s">
        <v>4487</v>
      </c>
      <c r="E944" t="s">
        <v>4488</v>
      </c>
      <c r="F944" s="7" t="str">
        <f>IFERROR(INDEX(测试!H:H,MATCH(E944,测试!A:A,0)),1)</f>
        <v>-</v>
      </c>
    </row>
    <row r="945" spans="1:6" hidden="1" x14ac:dyDescent="0.3">
      <c r="A945" t="s">
        <v>2949</v>
      </c>
      <c r="B945" t="s">
        <v>4538</v>
      </c>
      <c r="C945" t="s">
        <v>4539</v>
      </c>
      <c r="D945" t="s">
        <v>4540</v>
      </c>
      <c r="E945" t="s">
        <v>4541</v>
      </c>
      <c r="F945" s="7" t="str">
        <f>IFERROR(INDEX(测试!H:H,MATCH(E945,测试!A:A,0)),1)</f>
        <v>-</v>
      </c>
    </row>
    <row r="946" spans="1:6" hidden="1" x14ac:dyDescent="0.3">
      <c r="A946" t="s">
        <v>2949</v>
      </c>
      <c r="B946" t="s">
        <v>4542</v>
      </c>
      <c r="C946" t="s">
        <v>4543</v>
      </c>
      <c r="D946" t="s">
        <v>4544</v>
      </c>
      <c r="E946" t="s">
        <v>4545</v>
      </c>
      <c r="F946" s="7" t="str">
        <f>IFERROR(INDEX(测试!H:H,MATCH(E946,测试!A:A,0)),1)</f>
        <v>-</v>
      </c>
    </row>
    <row r="947" spans="1:6" hidden="1" x14ac:dyDescent="0.3">
      <c r="A947" t="s">
        <v>2949</v>
      </c>
      <c r="B947" t="s">
        <v>4546</v>
      </c>
      <c r="C947" t="s">
        <v>4547</v>
      </c>
      <c r="D947" t="s">
        <v>4548</v>
      </c>
      <c r="E947" t="s">
        <v>4549</v>
      </c>
      <c r="F947" s="7" t="str">
        <f>IFERROR(INDEX(测试!H:H,MATCH(E947,测试!A:A,0)),1)</f>
        <v>-</v>
      </c>
    </row>
    <row r="948" spans="1:6" hidden="1" x14ac:dyDescent="0.3">
      <c r="A948" t="s">
        <v>2949</v>
      </c>
      <c r="B948" t="s">
        <v>4550</v>
      </c>
      <c r="C948" t="s">
        <v>4551</v>
      </c>
      <c r="D948" t="s">
        <v>4552</v>
      </c>
      <c r="E948" t="s">
        <v>4553</v>
      </c>
      <c r="F948" s="7" t="str">
        <f>IFERROR(INDEX(测试!H:H,MATCH(E948,测试!A:A,0)),1)</f>
        <v>-</v>
      </c>
    </row>
    <row r="949" spans="1:6" hidden="1" x14ac:dyDescent="0.3">
      <c r="A949" t="s">
        <v>2949</v>
      </c>
      <c r="B949" t="s">
        <v>4554</v>
      </c>
      <c r="C949" t="s">
        <v>4555</v>
      </c>
      <c r="D949" t="s">
        <v>4556</v>
      </c>
      <c r="E949" t="s">
        <v>4557</v>
      </c>
      <c r="F949" s="7" t="str">
        <f>IFERROR(INDEX(测试!H:H,MATCH(E949,测试!A:A,0)),1)</f>
        <v>-</v>
      </c>
    </row>
    <row r="950" spans="1:6" hidden="1" x14ac:dyDescent="0.3">
      <c r="A950" t="s">
        <v>2949</v>
      </c>
      <c r="B950" t="s">
        <v>4558</v>
      </c>
      <c r="C950" t="s">
        <v>4559</v>
      </c>
      <c r="D950" t="s">
        <v>4560</v>
      </c>
      <c r="E950" t="s">
        <v>4561</v>
      </c>
      <c r="F950" s="7" t="str">
        <f>IFERROR(INDEX(测试!H:H,MATCH(E950,测试!A:A,0)),1)</f>
        <v>-</v>
      </c>
    </row>
    <row r="951" spans="1:6" hidden="1" x14ac:dyDescent="0.3">
      <c r="A951" t="s">
        <v>2949</v>
      </c>
      <c r="B951" t="s">
        <v>4562</v>
      </c>
      <c r="C951" t="s">
        <v>4563</v>
      </c>
      <c r="D951" t="s">
        <v>4564</v>
      </c>
      <c r="E951" t="s">
        <v>4565</v>
      </c>
      <c r="F951" s="7" t="str">
        <f>IFERROR(INDEX(测试!H:H,MATCH(E951,测试!A:A,0)),1)</f>
        <v>-</v>
      </c>
    </row>
    <row r="952" spans="1:6" hidden="1" x14ac:dyDescent="0.3">
      <c r="A952" t="s">
        <v>2948</v>
      </c>
      <c r="B952" t="s">
        <v>4489</v>
      </c>
      <c r="C952" t="s">
        <v>4490</v>
      </c>
      <c r="D952" t="s">
        <v>4491</v>
      </c>
      <c r="E952" t="s">
        <v>4492</v>
      </c>
      <c r="F952" s="7">
        <f>IFERROR(INDEX(测试!H:H,MATCH(E952,测试!A:A,0)),1)</f>
        <v>1</v>
      </c>
    </row>
    <row r="953" spans="1:6" hidden="1" x14ac:dyDescent="0.3">
      <c r="A953" t="s">
        <v>2948</v>
      </c>
      <c r="B953" t="s">
        <v>4493</v>
      </c>
      <c r="C953" t="s">
        <v>4494</v>
      </c>
      <c r="D953" t="s">
        <v>4495</v>
      </c>
      <c r="E953" t="s">
        <v>4496</v>
      </c>
      <c r="F953" s="7">
        <f>IFERROR(INDEX(测试!H:H,MATCH(E953,测试!A:A,0)),1)</f>
        <v>1</v>
      </c>
    </row>
    <row r="954" spans="1:6" hidden="1" x14ac:dyDescent="0.3">
      <c r="A954" t="s">
        <v>2948</v>
      </c>
      <c r="B954" t="s">
        <v>4497</v>
      </c>
      <c r="C954" t="s">
        <v>4498</v>
      </c>
      <c r="D954" t="s">
        <v>4499</v>
      </c>
      <c r="E954" t="s">
        <v>4500</v>
      </c>
      <c r="F954" s="7">
        <f>IFERROR(INDEX(测试!H:H,MATCH(E954,测试!A:A,0)),1)</f>
        <v>1</v>
      </c>
    </row>
    <row r="955" spans="1:6" hidden="1" x14ac:dyDescent="0.3">
      <c r="A955" t="s">
        <v>2948</v>
      </c>
      <c r="B955" t="s">
        <v>4501</v>
      </c>
      <c r="C955" t="s">
        <v>4502</v>
      </c>
      <c r="D955" t="s">
        <v>4503</v>
      </c>
      <c r="E955" t="s">
        <v>4504</v>
      </c>
      <c r="F955" s="7">
        <f>IFERROR(INDEX(测试!H:H,MATCH(E955,测试!A:A,0)),1)</f>
        <v>1</v>
      </c>
    </row>
    <row r="956" spans="1:6" hidden="1" x14ac:dyDescent="0.3">
      <c r="A956" t="s">
        <v>2948</v>
      </c>
      <c r="B956" t="s">
        <v>4505</v>
      </c>
      <c r="C956" t="s">
        <v>4506</v>
      </c>
      <c r="D956" t="s">
        <v>4507</v>
      </c>
      <c r="E956" t="s">
        <v>4508</v>
      </c>
      <c r="F956" s="7">
        <f>IFERROR(INDEX(测试!H:H,MATCH(E956,测试!A:A,0)),1)</f>
        <v>1</v>
      </c>
    </row>
    <row r="957" spans="1:6" hidden="1" x14ac:dyDescent="0.3">
      <c r="A957" t="s">
        <v>2948</v>
      </c>
      <c r="B957" t="s">
        <v>4509</v>
      </c>
      <c r="C957" t="s">
        <v>4510</v>
      </c>
      <c r="D957" t="s">
        <v>4511</v>
      </c>
      <c r="E957" t="s">
        <v>4512</v>
      </c>
      <c r="F957" s="7">
        <f>IFERROR(INDEX(测试!H:H,MATCH(E957,测试!A:A,0)),1)</f>
        <v>1</v>
      </c>
    </row>
    <row r="958" spans="1:6" hidden="1" x14ac:dyDescent="0.3">
      <c r="A958" t="s">
        <v>2948</v>
      </c>
      <c r="B958" t="s">
        <v>4513</v>
      </c>
      <c r="C958" t="s">
        <v>4514</v>
      </c>
      <c r="D958" t="s">
        <v>4515</v>
      </c>
      <c r="E958" t="s">
        <v>4516</v>
      </c>
      <c r="F958" s="7">
        <f>IFERROR(INDEX(测试!H:H,MATCH(E958,测试!A:A,0)),1)</f>
        <v>1</v>
      </c>
    </row>
    <row r="959" spans="1:6" hidden="1" x14ac:dyDescent="0.3">
      <c r="A959" t="s">
        <v>2948</v>
      </c>
      <c r="B959" t="s">
        <v>4586</v>
      </c>
      <c r="C959" t="s">
        <v>4566</v>
      </c>
      <c r="D959" t="s">
        <v>4567</v>
      </c>
      <c r="E959" t="s">
        <v>4568</v>
      </c>
      <c r="F959" s="7">
        <f>IFERROR(INDEX(测试!H:H,MATCH(E959,测试!A:A,0)),1)</f>
        <v>1</v>
      </c>
    </row>
    <row r="960" spans="1:6" x14ac:dyDescent="0.3">
      <c r="A960" t="s">
        <v>4517</v>
      </c>
      <c r="B960" t="s">
        <v>4518</v>
      </c>
      <c r="C960" t="s">
        <v>4519</v>
      </c>
      <c r="D960" t="s">
        <v>4520</v>
      </c>
      <c r="E960" t="s">
        <v>4521</v>
      </c>
      <c r="F960" s="7">
        <f>IFERROR(INDEX(测试!H:H,MATCH(E960,测试!A:A,0)),1)</f>
        <v>1</v>
      </c>
    </row>
    <row r="961" spans="1:6" x14ac:dyDescent="0.3">
      <c r="A961" t="s">
        <v>4517</v>
      </c>
      <c r="B961" t="s">
        <v>4569</v>
      </c>
      <c r="C961" t="s">
        <v>4570</v>
      </c>
      <c r="D961" t="s">
        <v>4571</v>
      </c>
      <c r="E961" t="s">
        <v>4572</v>
      </c>
      <c r="F961" s="7">
        <f>IFERROR(INDEX(测试!H:H,MATCH(E961,测试!A:A,0)),1)</f>
        <v>1</v>
      </c>
    </row>
    <row r="962" spans="1:6" x14ac:dyDescent="0.3">
      <c r="A962" t="s">
        <v>4517</v>
      </c>
      <c r="B962" t="s">
        <v>4573</v>
      </c>
      <c r="C962" t="s">
        <v>4574</v>
      </c>
      <c r="D962" t="s">
        <v>4575</v>
      </c>
      <c r="E962" t="s">
        <v>4576</v>
      </c>
      <c r="F962" s="7">
        <f>IFERROR(INDEX(测试!H:H,MATCH(E962,测试!A:A,0)),1)</f>
        <v>1</v>
      </c>
    </row>
    <row r="963" spans="1:6" hidden="1" x14ac:dyDescent="0.3">
      <c r="A963" t="s">
        <v>4577</v>
      </c>
      <c r="B963" t="s">
        <v>4578</v>
      </c>
      <c r="C963" t="s">
        <v>4579</v>
      </c>
      <c r="D963" t="s">
        <v>4580</v>
      </c>
      <c r="E963" t="s">
        <v>4581</v>
      </c>
      <c r="F963" s="7">
        <f>IFERROR(INDEX(测试!H:H,MATCH(E963,测试!A:A,0)),1)</f>
        <v>1</v>
      </c>
    </row>
    <row r="964" spans="1:6" hidden="1" x14ac:dyDescent="0.3">
      <c r="A964" t="s">
        <v>4577</v>
      </c>
      <c r="B964" t="s">
        <v>4582</v>
      </c>
      <c r="C964" t="s">
        <v>4583</v>
      </c>
      <c r="D964" t="s">
        <v>4584</v>
      </c>
      <c r="E964" t="s">
        <v>4585</v>
      </c>
      <c r="F964" s="7">
        <f>IFERROR(INDEX(测试!H:H,MATCH(E964,测试!A:A,0)),1)</f>
        <v>1</v>
      </c>
    </row>
  </sheetData>
  <autoFilter ref="A1:F964" xr:uid="{00000000-0009-0000-0000-000000000000}">
    <filterColumn colId="0">
      <filters>
        <filter val="Kirby"/>
        <filter val="The Legend of Zelda\The Legend of Zelda Tears of the Kingdom"/>
      </filters>
    </filterColumn>
  </autoFilter>
  <sortState xmlns:xlrd2="http://schemas.microsoft.com/office/spreadsheetml/2017/richdata2" ref="A2:E804">
    <sortCondition ref="A203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041"/>
  <sheetViews>
    <sheetView tabSelected="1" workbookViewId="0">
      <pane ySplit="1" topLeftCell="A647" activePane="bottomLeft" state="frozen"/>
      <selection pane="bottomLeft" activeCell="F788" sqref="F788"/>
    </sheetView>
  </sheetViews>
  <sheetFormatPr defaultRowHeight="14" x14ac:dyDescent="0.3"/>
  <cols>
    <col min="1" max="1" width="54.6640625" style="21" bestFit="1" customWidth="1"/>
    <col min="2" max="2" width="65.5" style="21" customWidth="1"/>
    <col min="3" max="3" width="20.4140625" style="1" bestFit="1" customWidth="1"/>
    <col min="4" max="4" width="27.58203125" style="1" bestFit="1" customWidth="1"/>
    <col min="5" max="5" width="17.25" style="1" bestFit="1" customWidth="1"/>
    <col min="6" max="6" width="12.9140625" style="7" customWidth="1"/>
  </cols>
  <sheetData>
    <row r="1" spans="1:6" x14ac:dyDescent="0.3">
      <c r="A1" s="21" t="s">
        <v>3816</v>
      </c>
      <c r="B1" s="21" t="s">
        <v>3817</v>
      </c>
      <c r="C1" s="12" t="s">
        <v>3818</v>
      </c>
      <c r="D1" s="12" t="s">
        <v>3819</v>
      </c>
      <c r="E1" s="12" t="s">
        <v>3826</v>
      </c>
      <c r="F1" s="7" t="s">
        <v>3820</v>
      </c>
    </row>
    <row r="2" spans="1:6" hidden="1" x14ac:dyDescent="0.3">
      <c r="A2" s="21" t="s">
        <v>2978</v>
      </c>
      <c r="B2" s="21" t="s">
        <v>423</v>
      </c>
      <c r="C2" s="12" t="s">
        <v>424</v>
      </c>
      <c r="D2" s="12" t="s">
        <v>3104</v>
      </c>
      <c r="E2" s="12" t="s">
        <v>426</v>
      </c>
      <c r="F2" s="7" t="str">
        <f>IFERROR(INDEX(测试!H:H,MATCH(E2,测试!A:A,0)),1)</f>
        <v>-</v>
      </c>
    </row>
    <row r="3" spans="1:6" hidden="1" x14ac:dyDescent="0.3">
      <c r="A3" s="21" t="s">
        <v>2978</v>
      </c>
      <c r="B3" s="21" t="s">
        <v>427</v>
      </c>
      <c r="C3" s="12" t="s">
        <v>424</v>
      </c>
      <c r="D3" s="12" t="s">
        <v>3105</v>
      </c>
      <c r="E3" s="12" t="s">
        <v>429</v>
      </c>
      <c r="F3" s="7" t="str">
        <f>IFERROR(INDEX(测试!H:H,MATCH(E3,测试!A:A,0)),1)</f>
        <v>-</v>
      </c>
    </row>
    <row r="4" spans="1:6" hidden="1" x14ac:dyDescent="0.3">
      <c r="A4" s="21" t="s">
        <v>2978</v>
      </c>
      <c r="B4" s="21" t="s">
        <v>430</v>
      </c>
      <c r="C4" s="12" t="s">
        <v>424</v>
      </c>
      <c r="D4" s="12" t="s">
        <v>3105</v>
      </c>
      <c r="E4" s="12" t="s">
        <v>431</v>
      </c>
      <c r="F4" s="7" t="str">
        <f>IFERROR(INDEX(测试!H:H,MATCH(E4,测试!A:A,0)),1)</f>
        <v>-</v>
      </c>
    </row>
    <row r="5" spans="1:6" hidden="1" x14ac:dyDescent="0.3">
      <c r="A5" s="21" t="s">
        <v>2978</v>
      </c>
      <c r="B5" s="21" t="s">
        <v>432</v>
      </c>
      <c r="C5" s="12" t="s">
        <v>424</v>
      </c>
      <c r="D5" s="12" t="s">
        <v>3105</v>
      </c>
      <c r="E5" s="12" t="s">
        <v>433</v>
      </c>
      <c r="F5" s="7" t="str">
        <f>IFERROR(INDEX(测试!H:H,MATCH(E5,测试!A:A,0)),1)</f>
        <v>-</v>
      </c>
    </row>
    <row r="6" spans="1:6" hidden="1" x14ac:dyDescent="0.3">
      <c r="A6" s="21" t="s">
        <v>2978</v>
      </c>
      <c r="B6" s="21" t="s">
        <v>434</v>
      </c>
      <c r="C6" s="12" t="s">
        <v>424</v>
      </c>
      <c r="D6" s="12" t="s">
        <v>3105</v>
      </c>
      <c r="E6" s="12" t="s">
        <v>435</v>
      </c>
      <c r="F6" s="7" t="str">
        <f>IFERROR(INDEX(测试!H:H,MATCH(E6,测试!A:A,0)),1)</f>
        <v>-</v>
      </c>
    </row>
    <row r="7" spans="1:6" hidden="1" x14ac:dyDescent="0.3">
      <c r="A7" s="21" t="s">
        <v>2978</v>
      </c>
      <c r="B7" s="21" t="s">
        <v>436</v>
      </c>
      <c r="C7" s="12" t="s">
        <v>424</v>
      </c>
      <c r="D7" s="12" t="s">
        <v>3105</v>
      </c>
      <c r="E7" s="12" t="s">
        <v>437</v>
      </c>
      <c r="F7" s="7" t="str">
        <f>IFERROR(INDEX(测试!H:H,MATCH(E7,测试!A:A,0)),1)</f>
        <v>-</v>
      </c>
    </row>
    <row r="8" spans="1:6" hidden="1" x14ac:dyDescent="0.3">
      <c r="A8" s="21" t="s">
        <v>2978</v>
      </c>
      <c r="B8" s="21" t="s">
        <v>41</v>
      </c>
      <c r="C8" s="12" t="s">
        <v>42</v>
      </c>
      <c r="D8" s="12" t="s">
        <v>3106</v>
      </c>
      <c r="E8" s="12" t="s">
        <v>44</v>
      </c>
      <c r="F8" s="7" t="str">
        <f>IFERROR(INDEX(测试!H:H,MATCH(E8,测试!A:A,0)),1)</f>
        <v>-</v>
      </c>
    </row>
    <row r="9" spans="1:6" hidden="1" x14ac:dyDescent="0.3">
      <c r="A9" s="21" t="s">
        <v>2978</v>
      </c>
      <c r="B9" s="21" t="s">
        <v>45</v>
      </c>
      <c r="C9" s="12" t="s">
        <v>46</v>
      </c>
      <c r="D9" s="12" t="s">
        <v>3107</v>
      </c>
      <c r="E9" s="12" t="s">
        <v>48</v>
      </c>
      <c r="F9" s="7" t="str">
        <f>IFERROR(INDEX(测试!H:H,MATCH(E9,测试!A:A,0)),1)</f>
        <v>-</v>
      </c>
    </row>
    <row r="10" spans="1:6" hidden="1" x14ac:dyDescent="0.3">
      <c r="A10" s="21" t="s">
        <v>2978</v>
      </c>
      <c r="B10" s="21" t="s">
        <v>49</v>
      </c>
      <c r="C10" s="12" t="s">
        <v>50</v>
      </c>
      <c r="D10" s="12" t="s">
        <v>3108</v>
      </c>
      <c r="E10" s="12" t="s">
        <v>52</v>
      </c>
      <c r="F10" s="7" t="str">
        <f>IFERROR(INDEX(测试!H:H,MATCH(E10,测试!A:A,0)),1)</f>
        <v>-</v>
      </c>
    </row>
    <row r="11" spans="1:6" hidden="1" x14ac:dyDescent="0.3">
      <c r="A11" s="21" t="s">
        <v>2978</v>
      </c>
      <c r="B11" s="21" t="s">
        <v>2977</v>
      </c>
      <c r="C11" s="12" t="s">
        <v>54</v>
      </c>
      <c r="D11" s="12" t="s">
        <v>3109</v>
      </c>
      <c r="E11" s="12" t="s">
        <v>56</v>
      </c>
      <c r="F11" s="7" t="str">
        <f>IFERROR(INDEX(测试!H:H,MATCH(E11,测试!A:A,0)),1)</f>
        <v>文件名错误</v>
      </c>
    </row>
    <row r="12" spans="1:6" hidden="1" x14ac:dyDescent="0.3">
      <c r="A12" s="21" t="s">
        <v>2978</v>
      </c>
      <c r="B12" s="21" t="s">
        <v>57</v>
      </c>
      <c r="C12" s="12" t="s">
        <v>58</v>
      </c>
      <c r="D12" s="12" t="s">
        <v>3110</v>
      </c>
      <c r="E12" s="12" t="s">
        <v>60</v>
      </c>
      <c r="F12" s="7" t="str">
        <f>IFERROR(INDEX(测试!H:H,MATCH(E12,测试!A:A,0)),1)</f>
        <v>-</v>
      </c>
    </row>
    <row r="13" spans="1:6" hidden="1" x14ac:dyDescent="0.3">
      <c r="A13" s="21" t="s">
        <v>2978</v>
      </c>
      <c r="B13" s="21" t="s">
        <v>61</v>
      </c>
      <c r="C13" s="12" t="s">
        <v>62</v>
      </c>
      <c r="D13" s="12" t="s">
        <v>3111</v>
      </c>
      <c r="E13" s="12" t="s">
        <v>64</v>
      </c>
      <c r="F13" s="7" t="str">
        <f>IFERROR(INDEX(测试!H:H,MATCH(E13,测试!A:A,0)),1)</f>
        <v>-</v>
      </c>
    </row>
    <row r="14" spans="1:6" hidden="1" x14ac:dyDescent="0.3">
      <c r="A14" s="21" t="s">
        <v>2978</v>
      </c>
      <c r="B14" s="21" t="s">
        <v>65</v>
      </c>
      <c r="C14" s="12" t="s">
        <v>66</v>
      </c>
      <c r="D14" s="12" t="s">
        <v>3112</v>
      </c>
      <c r="E14" s="12" t="s">
        <v>68</v>
      </c>
      <c r="F14" s="7" t="str">
        <f>IFERROR(INDEX(测试!H:H,MATCH(E14,测试!A:A,0)),1)</f>
        <v>-</v>
      </c>
    </row>
    <row r="15" spans="1:6" hidden="1" x14ac:dyDescent="0.3">
      <c r="A15" s="21" t="s">
        <v>2978</v>
      </c>
      <c r="B15" s="21" t="s">
        <v>69</v>
      </c>
      <c r="C15" s="12" t="s">
        <v>70</v>
      </c>
      <c r="D15" s="12" t="s">
        <v>3113</v>
      </c>
      <c r="E15" s="12" t="s">
        <v>72</v>
      </c>
      <c r="F15" s="7" t="str">
        <f>IFERROR(INDEX(测试!H:H,MATCH(E15,测试!A:A,0)),1)</f>
        <v>-</v>
      </c>
    </row>
    <row r="16" spans="1:6" hidden="1" x14ac:dyDescent="0.3">
      <c r="A16" s="21" t="s">
        <v>2978</v>
      </c>
      <c r="B16" s="21" t="s">
        <v>73</v>
      </c>
      <c r="C16" s="12" t="s">
        <v>74</v>
      </c>
      <c r="D16" s="12" t="s">
        <v>3114</v>
      </c>
      <c r="E16" s="12" t="s">
        <v>76</v>
      </c>
      <c r="F16" s="7" t="str">
        <f>IFERROR(INDEX(测试!H:H,MATCH(E16,测试!A:A,0)),1)</f>
        <v>-</v>
      </c>
    </row>
    <row r="17" spans="1:6" hidden="1" x14ac:dyDescent="0.3">
      <c r="A17" s="21" t="s">
        <v>2978</v>
      </c>
      <c r="B17" s="21" t="s">
        <v>77</v>
      </c>
      <c r="C17" s="12" t="s">
        <v>78</v>
      </c>
      <c r="D17" s="12" t="s">
        <v>3115</v>
      </c>
      <c r="E17" s="12" t="s">
        <v>80</v>
      </c>
      <c r="F17" s="7" t="str">
        <f>IFERROR(INDEX(测试!H:H,MATCH(E17,测试!A:A,0)),1)</f>
        <v>-</v>
      </c>
    </row>
    <row r="18" spans="1:6" hidden="1" x14ac:dyDescent="0.3">
      <c r="A18" s="21" t="s">
        <v>2978</v>
      </c>
      <c r="B18" s="21" t="s">
        <v>81</v>
      </c>
      <c r="C18" s="12" t="s">
        <v>82</v>
      </c>
      <c r="D18" s="12" t="s">
        <v>3116</v>
      </c>
      <c r="E18" s="12" t="s">
        <v>84</v>
      </c>
      <c r="F18" s="7" t="str">
        <f>IFERROR(INDEX(测试!H:H,MATCH(E18,测试!A:A,0)),1)</f>
        <v>-</v>
      </c>
    </row>
    <row r="19" spans="1:6" hidden="1" x14ac:dyDescent="0.3">
      <c r="A19" s="21" t="s">
        <v>2978</v>
      </c>
      <c r="B19" s="21" t="s">
        <v>85</v>
      </c>
      <c r="C19" s="12" t="s">
        <v>86</v>
      </c>
      <c r="D19" s="12" t="s">
        <v>3117</v>
      </c>
      <c r="E19" s="12" t="s">
        <v>88</v>
      </c>
      <c r="F19" s="7" t="str">
        <f>IFERROR(INDEX(测试!H:H,MATCH(E19,测试!A:A,0)),1)</f>
        <v>-</v>
      </c>
    </row>
    <row r="20" spans="1:6" hidden="1" x14ac:dyDescent="0.3">
      <c r="A20" s="21" t="s">
        <v>2978</v>
      </c>
      <c r="B20" s="21" t="s">
        <v>89</v>
      </c>
      <c r="C20" s="12" t="s">
        <v>90</v>
      </c>
      <c r="D20" s="12" t="s">
        <v>3118</v>
      </c>
      <c r="E20" s="12" t="s">
        <v>92</v>
      </c>
      <c r="F20" s="7" t="str">
        <f>IFERROR(INDEX(测试!H:H,MATCH(E20,测试!A:A,0)),1)</f>
        <v>-</v>
      </c>
    </row>
    <row r="21" spans="1:6" hidden="1" x14ac:dyDescent="0.3">
      <c r="A21" s="21" t="s">
        <v>2978</v>
      </c>
      <c r="B21" s="21" t="s">
        <v>93</v>
      </c>
      <c r="C21" s="12" t="s">
        <v>94</v>
      </c>
      <c r="D21" s="12" t="s">
        <v>3119</v>
      </c>
      <c r="E21" s="12" t="s">
        <v>96</v>
      </c>
      <c r="F21" s="7" t="str">
        <f>IFERROR(INDEX(测试!H:H,MATCH(E21,测试!A:A,0)),1)</f>
        <v>-</v>
      </c>
    </row>
    <row r="22" spans="1:6" hidden="1" x14ac:dyDescent="0.3">
      <c r="A22" s="21" t="s">
        <v>2978</v>
      </c>
      <c r="B22" s="21" t="s">
        <v>97</v>
      </c>
      <c r="C22" s="12" t="s">
        <v>98</v>
      </c>
      <c r="D22" s="12" t="s">
        <v>3120</v>
      </c>
      <c r="E22" s="12" t="s">
        <v>100</v>
      </c>
      <c r="F22" s="7" t="str">
        <f>IFERROR(INDEX(测试!H:H,MATCH(E22,测试!A:A,0)),1)</f>
        <v>-</v>
      </c>
    </row>
    <row r="23" spans="1:6" hidden="1" x14ac:dyDescent="0.3">
      <c r="A23" s="21" t="s">
        <v>2978</v>
      </c>
      <c r="B23" s="21" t="s">
        <v>101</v>
      </c>
      <c r="C23" s="12" t="s">
        <v>102</v>
      </c>
      <c r="D23" s="12" t="s">
        <v>3121</v>
      </c>
      <c r="E23" s="12" t="s">
        <v>104</v>
      </c>
      <c r="F23" s="7" t="str">
        <f>IFERROR(INDEX(测试!H:H,MATCH(E23,测试!A:A,0)),1)</f>
        <v>-</v>
      </c>
    </row>
    <row r="24" spans="1:6" hidden="1" x14ac:dyDescent="0.3">
      <c r="A24" s="21" t="s">
        <v>2978</v>
      </c>
      <c r="B24" s="21" t="s">
        <v>105</v>
      </c>
      <c r="C24" s="12" t="s">
        <v>106</v>
      </c>
      <c r="D24" s="12" t="s">
        <v>3122</v>
      </c>
      <c r="E24" s="12" t="s">
        <v>108</v>
      </c>
      <c r="F24" s="7" t="str">
        <f>IFERROR(INDEX(测试!H:H,MATCH(E24,测试!A:A,0)),1)</f>
        <v>-</v>
      </c>
    </row>
    <row r="25" spans="1:6" hidden="1" x14ac:dyDescent="0.3">
      <c r="A25" s="21" t="s">
        <v>2978</v>
      </c>
      <c r="B25" s="21" t="s">
        <v>109</v>
      </c>
      <c r="C25" s="12" t="s">
        <v>110</v>
      </c>
      <c r="D25" s="12" t="s">
        <v>3123</v>
      </c>
      <c r="E25" s="12" t="s">
        <v>112</v>
      </c>
      <c r="F25" s="7" t="str">
        <f>IFERROR(INDEX(测试!H:H,MATCH(E25,测试!A:A,0)),1)</f>
        <v>-</v>
      </c>
    </row>
    <row r="26" spans="1:6" hidden="1" x14ac:dyDescent="0.3">
      <c r="A26" s="21" t="s">
        <v>2978</v>
      </c>
      <c r="B26" s="21" t="s">
        <v>113</v>
      </c>
      <c r="C26" s="12" t="s">
        <v>114</v>
      </c>
      <c r="D26" s="12" t="s">
        <v>3124</v>
      </c>
      <c r="E26" s="12" t="s">
        <v>116</v>
      </c>
      <c r="F26" s="7" t="str">
        <f>IFERROR(INDEX(测试!H:H,MATCH(E26,测试!A:A,0)),1)</f>
        <v>-</v>
      </c>
    </row>
    <row r="27" spans="1:6" hidden="1" x14ac:dyDescent="0.3">
      <c r="A27" s="21" t="s">
        <v>2978</v>
      </c>
      <c r="B27" s="21" t="s">
        <v>117</v>
      </c>
      <c r="C27" s="12" t="s">
        <v>118</v>
      </c>
      <c r="D27" s="12" t="s">
        <v>3125</v>
      </c>
      <c r="E27" s="12" t="s">
        <v>120</v>
      </c>
      <c r="F27" s="7" t="str">
        <f>IFERROR(INDEX(测试!H:H,MATCH(E27,测试!A:A,0)),1)</f>
        <v>-</v>
      </c>
    </row>
    <row r="28" spans="1:6" hidden="1" x14ac:dyDescent="0.3">
      <c r="A28" s="21" t="s">
        <v>2978</v>
      </c>
      <c r="B28" s="21" t="s">
        <v>121</v>
      </c>
      <c r="C28" s="12" t="s">
        <v>122</v>
      </c>
      <c r="D28" s="12" t="s">
        <v>3126</v>
      </c>
      <c r="E28" s="12" t="s">
        <v>124</v>
      </c>
      <c r="F28" s="7" t="str">
        <f>IFERROR(INDEX(测试!H:H,MATCH(E28,测试!A:A,0)),1)</f>
        <v>-</v>
      </c>
    </row>
    <row r="29" spans="1:6" hidden="1" x14ac:dyDescent="0.3">
      <c r="A29" s="21" t="s">
        <v>2978</v>
      </c>
      <c r="B29" s="21" t="s">
        <v>125</v>
      </c>
      <c r="C29" s="12" t="s">
        <v>126</v>
      </c>
      <c r="D29" s="12" t="s">
        <v>3127</v>
      </c>
      <c r="E29" s="12" t="s">
        <v>128</v>
      </c>
      <c r="F29" s="7" t="str">
        <f>IFERROR(INDEX(测试!H:H,MATCH(E29,测试!A:A,0)),1)</f>
        <v>-</v>
      </c>
    </row>
    <row r="30" spans="1:6" hidden="1" x14ac:dyDescent="0.3">
      <c r="A30" s="21" t="s">
        <v>2978</v>
      </c>
      <c r="B30" s="21" t="s">
        <v>129</v>
      </c>
      <c r="C30" s="12" t="s">
        <v>130</v>
      </c>
      <c r="D30" s="12" t="s">
        <v>3128</v>
      </c>
      <c r="E30" s="12" t="s">
        <v>132</v>
      </c>
      <c r="F30" s="7" t="str">
        <f>IFERROR(INDEX(测试!H:H,MATCH(E30,测试!A:A,0)),1)</f>
        <v>-</v>
      </c>
    </row>
    <row r="31" spans="1:6" hidden="1" x14ac:dyDescent="0.3">
      <c r="A31" s="21" t="s">
        <v>2978</v>
      </c>
      <c r="B31" s="21" t="s">
        <v>133</v>
      </c>
      <c r="C31" s="12" t="s">
        <v>134</v>
      </c>
      <c r="D31" s="12" t="s">
        <v>3129</v>
      </c>
      <c r="E31" s="12" t="s">
        <v>136</v>
      </c>
      <c r="F31" s="7" t="str">
        <f>IFERROR(INDEX(测试!H:H,MATCH(E31,测试!A:A,0)),1)</f>
        <v>-</v>
      </c>
    </row>
    <row r="32" spans="1:6" hidden="1" x14ac:dyDescent="0.3">
      <c r="A32" s="21" t="s">
        <v>2978</v>
      </c>
      <c r="B32" s="21" t="s">
        <v>137</v>
      </c>
      <c r="C32" s="12" t="s">
        <v>138</v>
      </c>
      <c r="D32" s="12" t="s">
        <v>3130</v>
      </c>
      <c r="E32" s="12" t="s">
        <v>140</v>
      </c>
      <c r="F32" s="7" t="str">
        <f>IFERROR(INDEX(测试!H:H,MATCH(E32,测试!A:A,0)),1)</f>
        <v>-</v>
      </c>
    </row>
    <row r="33" spans="1:6" hidden="1" x14ac:dyDescent="0.3">
      <c r="A33" s="21" t="s">
        <v>2978</v>
      </c>
      <c r="B33" s="21" t="s">
        <v>141</v>
      </c>
      <c r="C33" s="12" t="s">
        <v>142</v>
      </c>
      <c r="D33" s="12" t="s">
        <v>3131</v>
      </c>
      <c r="E33" s="12" t="s">
        <v>144</v>
      </c>
      <c r="F33" s="7" t="str">
        <f>IFERROR(INDEX(测试!H:H,MATCH(E33,测试!A:A,0)),1)</f>
        <v>-</v>
      </c>
    </row>
    <row r="34" spans="1:6" hidden="1" x14ac:dyDescent="0.3">
      <c r="A34" s="21" t="s">
        <v>2978</v>
      </c>
      <c r="B34" s="21" t="s">
        <v>145</v>
      </c>
      <c r="C34" s="12" t="s">
        <v>146</v>
      </c>
      <c r="D34" s="12" t="s">
        <v>3132</v>
      </c>
      <c r="E34" s="12" t="s">
        <v>148</v>
      </c>
      <c r="F34" s="7" t="str">
        <f>IFERROR(INDEX(测试!H:H,MATCH(E34,测试!A:A,0)),1)</f>
        <v>-</v>
      </c>
    </row>
    <row r="35" spans="1:6" hidden="1" x14ac:dyDescent="0.3">
      <c r="A35" s="21" t="s">
        <v>2978</v>
      </c>
      <c r="B35" s="21" t="s">
        <v>149</v>
      </c>
      <c r="C35" s="12" t="s">
        <v>150</v>
      </c>
      <c r="D35" s="12" t="s">
        <v>3133</v>
      </c>
      <c r="E35" s="12" t="s">
        <v>152</v>
      </c>
      <c r="F35" s="7" t="str">
        <f>IFERROR(INDEX(测试!H:H,MATCH(E35,测试!A:A,0)),1)</f>
        <v>-</v>
      </c>
    </row>
    <row r="36" spans="1:6" hidden="1" x14ac:dyDescent="0.3">
      <c r="A36" s="21" t="s">
        <v>2978</v>
      </c>
      <c r="B36" s="21" t="s">
        <v>153</v>
      </c>
      <c r="C36" s="12" t="s">
        <v>154</v>
      </c>
      <c r="D36" s="12" t="s">
        <v>3134</v>
      </c>
      <c r="E36" s="12" t="s">
        <v>156</v>
      </c>
      <c r="F36" s="7" t="str">
        <f>IFERROR(INDEX(测试!H:H,MATCH(E36,测试!A:A,0)),1)</f>
        <v>-</v>
      </c>
    </row>
    <row r="37" spans="1:6" hidden="1" x14ac:dyDescent="0.3">
      <c r="A37" s="21" t="s">
        <v>2978</v>
      </c>
      <c r="B37" s="21" t="s">
        <v>157</v>
      </c>
      <c r="C37" s="12" t="s">
        <v>158</v>
      </c>
      <c r="D37" s="12" t="s">
        <v>3135</v>
      </c>
      <c r="E37" s="12" t="s">
        <v>160</v>
      </c>
      <c r="F37" s="7" t="str">
        <f>IFERROR(INDEX(测试!H:H,MATCH(E37,测试!A:A,0)),1)</f>
        <v>-</v>
      </c>
    </row>
    <row r="38" spans="1:6" hidden="1" x14ac:dyDescent="0.3">
      <c r="A38" s="21" t="s">
        <v>2978</v>
      </c>
      <c r="B38" s="21" t="s">
        <v>161</v>
      </c>
      <c r="C38" s="12" t="s">
        <v>162</v>
      </c>
      <c r="D38" s="12" t="s">
        <v>3136</v>
      </c>
      <c r="E38" s="12" t="s">
        <v>164</v>
      </c>
      <c r="F38" s="7" t="str">
        <f>IFERROR(INDEX(测试!H:H,MATCH(E38,测试!A:A,0)),1)</f>
        <v>-</v>
      </c>
    </row>
    <row r="39" spans="1:6" hidden="1" x14ac:dyDescent="0.3">
      <c r="A39" s="21" t="s">
        <v>2978</v>
      </c>
      <c r="B39" s="21" t="s">
        <v>165</v>
      </c>
      <c r="C39" s="12" t="s">
        <v>166</v>
      </c>
      <c r="D39" s="12" t="s">
        <v>3137</v>
      </c>
      <c r="E39" s="12" t="s">
        <v>168</v>
      </c>
      <c r="F39" s="7" t="str">
        <f>IFERROR(INDEX(测试!H:H,MATCH(E39,测试!A:A,0)),1)</f>
        <v>-</v>
      </c>
    </row>
    <row r="40" spans="1:6" hidden="1" x14ac:dyDescent="0.3">
      <c r="A40" s="21" t="s">
        <v>2978</v>
      </c>
      <c r="B40" s="21" t="s">
        <v>169</v>
      </c>
      <c r="C40" s="12" t="s">
        <v>170</v>
      </c>
      <c r="D40" s="12" t="s">
        <v>3138</v>
      </c>
      <c r="E40" s="12" t="s">
        <v>172</v>
      </c>
      <c r="F40" s="7" t="str">
        <f>IFERROR(INDEX(测试!H:H,MATCH(E40,测试!A:A,0)),1)</f>
        <v>-</v>
      </c>
    </row>
    <row r="41" spans="1:6" hidden="1" x14ac:dyDescent="0.3">
      <c r="A41" s="21" t="s">
        <v>2978</v>
      </c>
      <c r="B41" s="21" t="s">
        <v>173</v>
      </c>
      <c r="C41" s="12" t="s">
        <v>174</v>
      </c>
      <c r="D41" s="12" t="s">
        <v>3139</v>
      </c>
      <c r="E41" s="12" t="s">
        <v>176</v>
      </c>
      <c r="F41" s="7" t="str">
        <f>IFERROR(INDEX(测试!H:H,MATCH(E41,测试!A:A,0)),1)</f>
        <v>-</v>
      </c>
    </row>
    <row r="42" spans="1:6" hidden="1" x14ac:dyDescent="0.3">
      <c r="A42" s="21" t="s">
        <v>2978</v>
      </c>
      <c r="B42" s="21" t="s">
        <v>177</v>
      </c>
      <c r="C42" s="12" t="s">
        <v>178</v>
      </c>
      <c r="D42" s="12" t="s">
        <v>3140</v>
      </c>
      <c r="E42" s="12" t="s">
        <v>180</v>
      </c>
      <c r="F42" s="7" t="str">
        <f>IFERROR(INDEX(测试!H:H,MATCH(E42,测试!A:A,0)),1)</f>
        <v>-</v>
      </c>
    </row>
    <row r="43" spans="1:6" hidden="1" x14ac:dyDescent="0.3">
      <c r="A43" s="21" t="s">
        <v>2978</v>
      </c>
      <c r="B43" s="21" t="s">
        <v>181</v>
      </c>
      <c r="C43" s="12" t="s">
        <v>182</v>
      </c>
      <c r="D43" s="12" t="s">
        <v>3141</v>
      </c>
      <c r="E43" s="12" t="s">
        <v>184</v>
      </c>
      <c r="F43" s="7" t="str">
        <f>IFERROR(INDEX(测试!H:H,MATCH(E43,测试!A:A,0)),1)</f>
        <v>-</v>
      </c>
    </row>
    <row r="44" spans="1:6" hidden="1" x14ac:dyDescent="0.3">
      <c r="A44" s="21" t="s">
        <v>2978</v>
      </c>
      <c r="B44" s="21" t="s">
        <v>185</v>
      </c>
      <c r="C44" s="12" t="s">
        <v>186</v>
      </c>
      <c r="D44" s="12" t="s">
        <v>3142</v>
      </c>
      <c r="E44" s="12" t="s">
        <v>188</v>
      </c>
      <c r="F44" s="7" t="str">
        <f>IFERROR(INDEX(测试!H:H,MATCH(E44,测试!A:A,0)),1)</f>
        <v>-</v>
      </c>
    </row>
    <row r="45" spans="1:6" hidden="1" x14ac:dyDescent="0.3">
      <c r="A45" s="21" t="s">
        <v>2978</v>
      </c>
      <c r="B45" s="21" t="s">
        <v>189</v>
      </c>
      <c r="C45" s="12" t="s">
        <v>190</v>
      </c>
      <c r="D45" s="12" t="s">
        <v>3143</v>
      </c>
      <c r="E45" s="12" t="s">
        <v>192</v>
      </c>
      <c r="F45" s="7" t="str">
        <f>IFERROR(INDEX(测试!H:H,MATCH(E45,测试!A:A,0)),1)</f>
        <v>-</v>
      </c>
    </row>
    <row r="46" spans="1:6" hidden="1" x14ac:dyDescent="0.3">
      <c r="A46" s="21" t="s">
        <v>2978</v>
      </c>
      <c r="B46" s="21" t="s">
        <v>193</v>
      </c>
      <c r="C46" s="12" t="s">
        <v>194</v>
      </c>
      <c r="D46" s="12" t="s">
        <v>3144</v>
      </c>
      <c r="E46" s="12" t="s">
        <v>196</v>
      </c>
      <c r="F46" s="7" t="str">
        <f>IFERROR(INDEX(测试!H:H,MATCH(E46,测试!A:A,0)),1)</f>
        <v>-</v>
      </c>
    </row>
    <row r="47" spans="1:6" hidden="1" x14ac:dyDescent="0.3">
      <c r="A47" s="21" t="s">
        <v>2978</v>
      </c>
      <c r="B47" s="21" t="s">
        <v>197</v>
      </c>
      <c r="C47" s="12" t="s">
        <v>198</v>
      </c>
      <c r="D47" s="12" t="s">
        <v>3145</v>
      </c>
      <c r="E47" s="12" t="s">
        <v>3146</v>
      </c>
      <c r="F47" s="7" t="str">
        <f>IFERROR(INDEX(测试!H:H,MATCH(E47,测试!A:A,0)),1)</f>
        <v>-</v>
      </c>
    </row>
    <row r="48" spans="1:6" hidden="1" x14ac:dyDescent="0.3">
      <c r="A48" s="21" t="s">
        <v>2978</v>
      </c>
      <c r="B48" s="21" t="s">
        <v>200</v>
      </c>
      <c r="C48" s="12" t="s">
        <v>201</v>
      </c>
      <c r="D48" s="12" t="s">
        <v>3147</v>
      </c>
      <c r="E48" s="12" t="s">
        <v>203</v>
      </c>
      <c r="F48" s="7" t="str">
        <f>IFERROR(INDEX(测试!H:H,MATCH(E48,测试!A:A,0)),1)</f>
        <v>-</v>
      </c>
    </row>
    <row r="49" spans="1:6" hidden="1" x14ac:dyDescent="0.3">
      <c r="A49" s="21" t="s">
        <v>2978</v>
      </c>
      <c r="B49" s="21" t="s">
        <v>204</v>
      </c>
      <c r="C49" s="12" t="s">
        <v>205</v>
      </c>
      <c r="D49" s="12" t="s">
        <v>3148</v>
      </c>
      <c r="E49" s="12" t="s">
        <v>3090</v>
      </c>
      <c r="F49" s="7" t="str">
        <f>IFERROR(INDEX(测试!H:H,MATCH(E49,测试!A:A,0)),1)</f>
        <v>-</v>
      </c>
    </row>
    <row r="50" spans="1:6" hidden="1" x14ac:dyDescent="0.3">
      <c r="A50" s="21" t="s">
        <v>2978</v>
      </c>
      <c r="B50" s="21" t="s">
        <v>207</v>
      </c>
      <c r="C50" s="12" t="s">
        <v>208</v>
      </c>
      <c r="D50" s="12" t="s">
        <v>3149</v>
      </c>
      <c r="E50" s="12" t="s">
        <v>210</v>
      </c>
      <c r="F50" s="7" t="str">
        <f>IFERROR(INDEX(测试!H:H,MATCH(E50,测试!A:A,0)),1)</f>
        <v>-</v>
      </c>
    </row>
    <row r="51" spans="1:6" hidden="1" x14ac:dyDescent="0.3">
      <c r="A51" s="21" t="s">
        <v>2978</v>
      </c>
      <c r="B51" s="21" t="s">
        <v>211</v>
      </c>
      <c r="C51" s="12" t="s">
        <v>212</v>
      </c>
      <c r="D51" s="12" t="s">
        <v>3150</v>
      </c>
      <c r="E51" s="12" t="s">
        <v>214</v>
      </c>
      <c r="F51" s="7" t="str">
        <f>IFERROR(INDEX(测试!H:H,MATCH(E51,测试!A:A,0)),1)</f>
        <v>-</v>
      </c>
    </row>
    <row r="52" spans="1:6" hidden="1" x14ac:dyDescent="0.3">
      <c r="A52" s="21" t="s">
        <v>2978</v>
      </c>
      <c r="B52" s="21" t="s">
        <v>215</v>
      </c>
      <c r="C52" s="12" t="s">
        <v>216</v>
      </c>
      <c r="D52" s="12" t="s">
        <v>3151</v>
      </c>
      <c r="E52" s="12" t="s">
        <v>218</v>
      </c>
      <c r="F52" s="7" t="str">
        <f>IFERROR(INDEX(测试!H:H,MATCH(E52,测试!A:A,0)),1)</f>
        <v>-</v>
      </c>
    </row>
    <row r="53" spans="1:6" hidden="1" x14ac:dyDescent="0.3">
      <c r="A53" s="21" t="s">
        <v>2978</v>
      </c>
      <c r="B53" s="21" t="s">
        <v>219</v>
      </c>
      <c r="C53" s="12" t="s">
        <v>220</v>
      </c>
      <c r="D53" s="12" t="s">
        <v>3152</v>
      </c>
      <c r="E53" s="12" t="s">
        <v>222</v>
      </c>
      <c r="F53" s="7" t="str">
        <f>IFERROR(INDEX(测试!H:H,MATCH(E53,测试!A:A,0)),1)</f>
        <v>-</v>
      </c>
    </row>
    <row r="54" spans="1:6" hidden="1" x14ac:dyDescent="0.3">
      <c r="A54" s="21" t="s">
        <v>2978</v>
      </c>
      <c r="B54" s="21" t="s">
        <v>223</v>
      </c>
      <c r="C54" s="12" t="s">
        <v>224</v>
      </c>
      <c r="D54" s="12" t="s">
        <v>3153</v>
      </c>
      <c r="E54" s="12" t="s">
        <v>226</v>
      </c>
      <c r="F54" s="7" t="str">
        <f>IFERROR(INDEX(测试!H:H,MATCH(E54,测试!A:A,0)),1)</f>
        <v>-</v>
      </c>
    </row>
    <row r="55" spans="1:6" hidden="1" x14ac:dyDescent="0.3">
      <c r="A55" s="21" t="s">
        <v>2978</v>
      </c>
      <c r="B55" s="21" t="s">
        <v>227</v>
      </c>
      <c r="C55" s="12" t="s">
        <v>228</v>
      </c>
      <c r="D55" s="12" t="s">
        <v>3154</v>
      </c>
      <c r="E55" s="12" t="s">
        <v>230</v>
      </c>
      <c r="F55" s="7" t="str">
        <f>IFERROR(INDEX(测试!H:H,MATCH(E55,测试!A:A,0)),1)</f>
        <v>-</v>
      </c>
    </row>
    <row r="56" spans="1:6" hidden="1" x14ac:dyDescent="0.3">
      <c r="A56" s="21" t="s">
        <v>2978</v>
      </c>
      <c r="B56" s="21" t="s">
        <v>231</v>
      </c>
      <c r="C56" s="12" t="s">
        <v>232</v>
      </c>
      <c r="D56" s="12" t="s">
        <v>3155</v>
      </c>
      <c r="E56" s="12" t="s">
        <v>234</v>
      </c>
      <c r="F56" s="7" t="str">
        <f>IFERROR(INDEX(测试!H:H,MATCH(E56,测试!A:A,0)),1)</f>
        <v>-</v>
      </c>
    </row>
    <row r="57" spans="1:6" hidden="1" x14ac:dyDescent="0.3">
      <c r="A57" s="21" t="s">
        <v>2978</v>
      </c>
      <c r="B57" s="21" t="s">
        <v>235</v>
      </c>
      <c r="C57" s="12" t="s">
        <v>236</v>
      </c>
      <c r="D57" s="12" t="s">
        <v>3156</v>
      </c>
      <c r="E57" s="12" t="s">
        <v>238</v>
      </c>
      <c r="F57" s="7" t="str">
        <f>IFERROR(INDEX(测试!H:H,MATCH(E57,测试!A:A,0)),1)</f>
        <v>-</v>
      </c>
    </row>
    <row r="58" spans="1:6" hidden="1" x14ac:dyDescent="0.3">
      <c r="A58" s="21" t="s">
        <v>2978</v>
      </c>
      <c r="B58" s="21" t="s">
        <v>239</v>
      </c>
      <c r="C58" s="12" t="s">
        <v>240</v>
      </c>
      <c r="D58" s="12" t="s">
        <v>3157</v>
      </c>
      <c r="E58" s="12" t="s">
        <v>242</v>
      </c>
      <c r="F58" s="7" t="str">
        <f>IFERROR(INDEX(测试!H:H,MATCH(E58,测试!A:A,0)),1)</f>
        <v>-</v>
      </c>
    </row>
    <row r="59" spans="1:6" hidden="1" x14ac:dyDescent="0.3">
      <c r="A59" s="21" t="s">
        <v>2978</v>
      </c>
      <c r="B59" s="21" t="s">
        <v>243</v>
      </c>
      <c r="C59" s="12" t="s">
        <v>244</v>
      </c>
      <c r="D59" s="12" t="s">
        <v>3158</v>
      </c>
      <c r="E59" s="12" t="s">
        <v>246</v>
      </c>
      <c r="F59" s="7" t="str">
        <f>IFERROR(INDEX(测试!H:H,MATCH(E59,测试!A:A,0)),1)</f>
        <v>-</v>
      </c>
    </row>
    <row r="60" spans="1:6" hidden="1" x14ac:dyDescent="0.3">
      <c r="A60" s="21" t="s">
        <v>2978</v>
      </c>
      <c r="B60" s="21" t="s">
        <v>247</v>
      </c>
      <c r="C60" s="12" t="s">
        <v>248</v>
      </c>
      <c r="D60" s="12" t="s">
        <v>3159</v>
      </c>
      <c r="E60" s="12" t="s">
        <v>250</v>
      </c>
      <c r="F60" s="7" t="str">
        <f>IFERROR(INDEX(测试!H:H,MATCH(E60,测试!A:A,0)),1)</f>
        <v>-</v>
      </c>
    </row>
    <row r="61" spans="1:6" hidden="1" x14ac:dyDescent="0.3">
      <c r="A61" s="21" t="s">
        <v>2978</v>
      </c>
      <c r="B61" s="21" t="s">
        <v>251</v>
      </c>
      <c r="C61" s="12" t="s">
        <v>252</v>
      </c>
      <c r="D61" s="12" t="s">
        <v>3160</v>
      </c>
      <c r="E61" s="12" t="s">
        <v>254</v>
      </c>
      <c r="F61" s="7" t="str">
        <f>IFERROR(INDEX(测试!H:H,MATCH(E61,测试!A:A,0)),1)</f>
        <v>-</v>
      </c>
    </row>
    <row r="62" spans="1:6" hidden="1" x14ac:dyDescent="0.3">
      <c r="A62" s="21" t="s">
        <v>2978</v>
      </c>
      <c r="B62" s="21" t="s">
        <v>255</v>
      </c>
      <c r="C62" s="12" t="s">
        <v>256</v>
      </c>
      <c r="D62" s="12" t="s">
        <v>3161</v>
      </c>
      <c r="E62" s="12" t="s">
        <v>258</v>
      </c>
      <c r="F62" s="7" t="str">
        <f>IFERROR(INDEX(测试!H:H,MATCH(E62,测试!A:A,0)),1)</f>
        <v>-</v>
      </c>
    </row>
    <row r="63" spans="1:6" hidden="1" x14ac:dyDescent="0.3">
      <c r="A63" s="21" t="s">
        <v>2978</v>
      </c>
      <c r="B63" s="21" t="s">
        <v>259</v>
      </c>
      <c r="C63" s="12" t="s">
        <v>260</v>
      </c>
      <c r="D63" s="12" t="s">
        <v>3162</v>
      </c>
      <c r="E63" s="12" t="s">
        <v>262</v>
      </c>
      <c r="F63" s="7" t="str">
        <f>IFERROR(INDEX(测试!H:H,MATCH(E63,测试!A:A,0)),1)</f>
        <v>-</v>
      </c>
    </row>
    <row r="64" spans="1:6" hidden="1" x14ac:dyDescent="0.3">
      <c r="A64" s="21" t="s">
        <v>2978</v>
      </c>
      <c r="B64" s="21" t="s">
        <v>263</v>
      </c>
      <c r="C64" s="12" t="s">
        <v>264</v>
      </c>
      <c r="D64" s="12" t="s">
        <v>3163</v>
      </c>
      <c r="E64" s="12" t="s">
        <v>266</v>
      </c>
      <c r="F64" s="7" t="str">
        <f>IFERROR(INDEX(测试!H:H,MATCH(E64,测试!A:A,0)),1)</f>
        <v>-</v>
      </c>
    </row>
    <row r="65" spans="1:6" hidden="1" x14ac:dyDescent="0.3">
      <c r="A65" s="21" t="s">
        <v>2978</v>
      </c>
      <c r="B65" s="21" t="s">
        <v>267</v>
      </c>
      <c r="C65" s="12" t="s">
        <v>268</v>
      </c>
      <c r="D65" s="12" t="s">
        <v>3164</v>
      </c>
      <c r="E65" s="12" t="s">
        <v>270</v>
      </c>
      <c r="F65" s="7" t="str">
        <f>IFERROR(INDEX(测试!H:H,MATCH(E65,测试!A:A,0)),1)</f>
        <v>-</v>
      </c>
    </row>
    <row r="66" spans="1:6" hidden="1" x14ac:dyDescent="0.3">
      <c r="A66" s="21" t="s">
        <v>2978</v>
      </c>
      <c r="B66" s="21" t="s">
        <v>271</v>
      </c>
      <c r="C66" s="12" t="s">
        <v>272</v>
      </c>
      <c r="D66" s="12" t="s">
        <v>3165</v>
      </c>
      <c r="E66" s="12" t="s">
        <v>274</v>
      </c>
      <c r="F66" s="7" t="str">
        <f>IFERROR(INDEX(测试!H:H,MATCH(E66,测试!A:A,0)),1)</f>
        <v>-</v>
      </c>
    </row>
    <row r="67" spans="1:6" hidden="1" x14ac:dyDescent="0.3">
      <c r="A67" s="21" t="s">
        <v>2978</v>
      </c>
      <c r="B67" s="21" t="s">
        <v>275</v>
      </c>
      <c r="C67" s="12" t="s">
        <v>276</v>
      </c>
      <c r="D67" s="12" t="s">
        <v>3166</v>
      </c>
      <c r="E67" s="12" t="s">
        <v>278</v>
      </c>
      <c r="F67" s="7" t="str">
        <f>IFERROR(INDEX(测试!H:H,MATCH(E67,测试!A:A,0)),1)</f>
        <v>-</v>
      </c>
    </row>
    <row r="68" spans="1:6" hidden="1" x14ac:dyDescent="0.3">
      <c r="A68" s="21" t="s">
        <v>2978</v>
      </c>
      <c r="B68" s="21" t="s">
        <v>279</v>
      </c>
      <c r="C68" s="12" t="s">
        <v>280</v>
      </c>
      <c r="D68" s="12" t="s">
        <v>3167</v>
      </c>
      <c r="E68" s="12" t="s">
        <v>282</v>
      </c>
      <c r="F68" s="7" t="str">
        <f>IFERROR(INDEX(测试!H:H,MATCH(E68,测试!A:A,0)),1)</f>
        <v>-</v>
      </c>
    </row>
    <row r="69" spans="1:6" hidden="1" x14ac:dyDescent="0.3">
      <c r="A69" s="21" t="s">
        <v>2978</v>
      </c>
      <c r="B69" s="21" t="s">
        <v>283</v>
      </c>
      <c r="C69" s="12" t="s">
        <v>284</v>
      </c>
      <c r="D69" s="12" t="s">
        <v>3168</v>
      </c>
      <c r="E69" s="12" t="s">
        <v>286</v>
      </c>
      <c r="F69" s="7" t="str">
        <f>IFERROR(INDEX(测试!H:H,MATCH(E69,测试!A:A,0)),1)</f>
        <v>-</v>
      </c>
    </row>
    <row r="70" spans="1:6" hidden="1" x14ac:dyDescent="0.3">
      <c r="A70" s="21" t="s">
        <v>2978</v>
      </c>
      <c r="B70" s="21" t="s">
        <v>287</v>
      </c>
      <c r="C70" s="12" t="s">
        <v>288</v>
      </c>
      <c r="D70" s="12" t="s">
        <v>3169</v>
      </c>
      <c r="E70" s="12" t="s">
        <v>290</v>
      </c>
      <c r="F70" s="7" t="str">
        <f>IFERROR(INDEX(测试!H:H,MATCH(E70,测试!A:A,0)),1)</f>
        <v>-</v>
      </c>
    </row>
    <row r="71" spans="1:6" hidden="1" x14ac:dyDescent="0.3">
      <c r="A71" s="21" t="s">
        <v>2978</v>
      </c>
      <c r="B71" s="21" t="s">
        <v>291</v>
      </c>
      <c r="C71" s="12" t="s">
        <v>292</v>
      </c>
      <c r="D71" s="12" t="s">
        <v>3170</v>
      </c>
      <c r="E71" s="12" t="s">
        <v>294</v>
      </c>
      <c r="F71" s="7" t="str">
        <f>IFERROR(INDEX(测试!H:H,MATCH(E71,测试!A:A,0)),1)</f>
        <v>-</v>
      </c>
    </row>
    <row r="72" spans="1:6" hidden="1" x14ac:dyDescent="0.3">
      <c r="A72" s="21" t="s">
        <v>2978</v>
      </c>
      <c r="B72" s="21" t="s">
        <v>295</v>
      </c>
      <c r="C72" s="12" t="s">
        <v>296</v>
      </c>
      <c r="D72" s="12" t="s">
        <v>3171</v>
      </c>
      <c r="E72" s="12" t="s">
        <v>298</v>
      </c>
      <c r="F72" s="7" t="str">
        <f>IFERROR(INDEX(测试!H:H,MATCH(E72,测试!A:A,0)),1)</f>
        <v>-</v>
      </c>
    </row>
    <row r="73" spans="1:6" hidden="1" x14ac:dyDescent="0.3">
      <c r="A73" s="21" t="s">
        <v>2978</v>
      </c>
      <c r="B73" s="21" t="s">
        <v>299</v>
      </c>
      <c r="C73" s="12" t="s">
        <v>300</v>
      </c>
      <c r="D73" s="12" t="s">
        <v>3172</v>
      </c>
      <c r="E73" s="12" t="s">
        <v>302</v>
      </c>
      <c r="F73" s="7" t="str">
        <f>IFERROR(INDEX(测试!H:H,MATCH(E73,测试!A:A,0)),1)</f>
        <v>-</v>
      </c>
    </row>
    <row r="74" spans="1:6" hidden="1" x14ac:dyDescent="0.3">
      <c r="A74" s="21" t="s">
        <v>2978</v>
      </c>
      <c r="B74" s="21" t="s">
        <v>303</v>
      </c>
      <c r="C74" s="12" t="s">
        <v>304</v>
      </c>
      <c r="D74" s="12" t="s">
        <v>3173</v>
      </c>
      <c r="E74" s="12" t="s">
        <v>306</v>
      </c>
      <c r="F74" s="7" t="str">
        <f>IFERROR(INDEX(测试!H:H,MATCH(E74,测试!A:A,0)),1)</f>
        <v>-</v>
      </c>
    </row>
    <row r="75" spans="1:6" hidden="1" x14ac:dyDescent="0.3">
      <c r="A75" s="21" t="s">
        <v>2978</v>
      </c>
      <c r="B75" s="21" t="s">
        <v>307</v>
      </c>
      <c r="C75" s="12" t="s">
        <v>308</v>
      </c>
      <c r="D75" s="12" t="s">
        <v>3174</v>
      </c>
      <c r="E75" s="12" t="s">
        <v>310</v>
      </c>
      <c r="F75" s="7" t="str">
        <f>IFERROR(INDEX(测试!H:H,MATCH(E75,测试!A:A,0)),1)</f>
        <v>-</v>
      </c>
    </row>
    <row r="76" spans="1:6" hidden="1" x14ac:dyDescent="0.3">
      <c r="A76" s="21" t="s">
        <v>2978</v>
      </c>
      <c r="B76" s="21" t="s">
        <v>311</v>
      </c>
      <c r="C76" s="12" t="s">
        <v>312</v>
      </c>
      <c r="D76" s="12" t="s">
        <v>3175</v>
      </c>
      <c r="E76" s="12" t="s">
        <v>314</v>
      </c>
      <c r="F76" s="7" t="str">
        <f>IFERROR(INDEX(测试!H:H,MATCH(E76,测试!A:A,0)),1)</f>
        <v>-</v>
      </c>
    </row>
    <row r="77" spans="1:6" hidden="1" x14ac:dyDescent="0.3">
      <c r="A77" s="21" t="s">
        <v>2978</v>
      </c>
      <c r="B77" s="21" t="s">
        <v>315</v>
      </c>
      <c r="C77" s="12" t="s">
        <v>316</v>
      </c>
      <c r="D77" s="12" t="s">
        <v>3176</v>
      </c>
      <c r="E77" s="12" t="s">
        <v>318</v>
      </c>
      <c r="F77" s="7" t="str">
        <f>IFERROR(INDEX(测试!H:H,MATCH(E77,测试!A:A,0)),1)</f>
        <v>-</v>
      </c>
    </row>
    <row r="78" spans="1:6" hidden="1" x14ac:dyDescent="0.3">
      <c r="A78" s="21" t="s">
        <v>2978</v>
      </c>
      <c r="B78" s="21" t="s">
        <v>319</v>
      </c>
      <c r="C78" s="12" t="s">
        <v>320</v>
      </c>
      <c r="D78" s="12" t="s">
        <v>3177</v>
      </c>
      <c r="E78" s="12" t="s">
        <v>322</v>
      </c>
      <c r="F78" s="7" t="str">
        <f>IFERROR(INDEX(测试!H:H,MATCH(E78,测试!A:A,0)),1)</f>
        <v>-</v>
      </c>
    </row>
    <row r="79" spans="1:6" hidden="1" x14ac:dyDescent="0.3">
      <c r="A79" s="21" t="s">
        <v>2978</v>
      </c>
      <c r="B79" s="21" t="s">
        <v>323</v>
      </c>
      <c r="C79" s="12" t="s">
        <v>324</v>
      </c>
      <c r="D79" s="12" t="s">
        <v>3178</v>
      </c>
      <c r="E79" s="12" t="s">
        <v>326</v>
      </c>
      <c r="F79" s="7" t="str">
        <f>IFERROR(INDEX(测试!H:H,MATCH(E79,测试!A:A,0)),1)</f>
        <v>-</v>
      </c>
    </row>
    <row r="80" spans="1:6" hidden="1" x14ac:dyDescent="0.3">
      <c r="A80" s="21" t="s">
        <v>2978</v>
      </c>
      <c r="B80" s="21" t="s">
        <v>327</v>
      </c>
      <c r="C80" s="12" t="s">
        <v>328</v>
      </c>
      <c r="D80" s="12" t="s">
        <v>3179</v>
      </c>
      <c r="E80" s="12" t="s">
        <v>330</v>
      </c>
      <c r="F80" s="7" t="str">
        <f>IFERROR(INDEX(测试!H:H,MATCH(E80,测试!A:A,0)),1)</f>
        <v>-</v>
      </c>
    </row>
    <row r="81" spans="1:6" hidden="1" x14ac:dyDescent="0.3">
      <c r="A81" s="21" t="s">
        <v>2978</v>
      </c>
      <c r="B81" s="21" t="s">
        <v>331</v>
      </c>
      <c r="C81" s="12" t="s">
        <v>332</v>
      </c>
      <c r="D81" s="12" t="s">
        <v>3180</v>
      </c>
      <c r="E81" s="12" t="s">
        <v>334</v>
      </c>
      <c r="F81" s="7" t="str">
        <f>IFERROR(INDEX(测试!H:H,MATCH(E81,测试!A:A,0)),1)</f>
        <v>-</v>
      </c>
    </row>
    <row r="82" spans="1:6" hidden="1" x14ac:dyDescent="0.3">
      <c r="A82" s="21" t="s">
        <v>2978</v>
      </c>
      <c r="B82" s="21" t="s">
        <v>335</v>
      </c>
      <c r="C82" s="12" t="s">
        <v>336</v>
      </c>
      <c r="D82" s="12" t="s">
        <v>3181</v>
      </c>
      <c r="E82" s="12" t="s">
        <v>338</v>
      </c>
      <c r="F82" s="7" t="str">
        <f>IFERROR(INDEX(测试!H:H,MATCH(E82,测试!A:A,0)),1)</f>
        <v>-</v>
      </c>
    </row>
    <row r="83" spans="1:6" hidden="1" x14ac:dyDescent="0.3">
      <c r="A83" s="21" t="s">
        <v>2978</v>
      </c>
      <c r="B83" s="21" t="s">
        <v>339</v>
      </c>
      <c r="C83" s="12" t="s">
        <v>340</v>
      </c>
      <c r="D83" s="12" t="s">
        <v>3182</v>
      </c>
      <c r="E83" s="12" t="s">
        <v>342</v>
      </c>
      <c r="F83" s="7" t="str">
        <f>IFERROR(INDEX(测试!H:H,MATCH(E83,测试!A:A,0)),1)</f>
        <v>-</v>
      </c>
    </row>
    <row r="84" spans="1:6" hidden="1" x14ac:dyDescent="0.3">
      <c r="A84" s="21" t="s">
        <v>2978</v>
      </c>
      <c r="B84" s="21" t="s">
        <v>343</v>
      </c>
      <c r="C84" s="12" t="s">
        <v>344</v>
      </c>
      <c r="D84" s="12" t="s">
        <v>3183</v>
      </c>
      <c r="E84" s="12" t="s">
        <v>346</v>
      </c>
      <c r="F84" s="7" t="str">
        <f>IFERROR(INDEX(测试!H:H,MATCH(E84,测试!A:A,0)),1)</f>
        <v>-</v>
      </c>
    </row>
    <row r="85" spans="1:6" hidden="1" x14ac:dyDescent="0.3">
      <c r="A85" s="21" t="s">
        <v>2978</v>
      </c>
      <c r="B85" s="21" t="s">
        <v>347</v>
      </c>
      <c r="C85" s="12" t="s">
        <v>348</v>
      </c>
      <c r="D85" s="12" t="s">
        <v>3184</v>
      </c>
      <c r="E85" s="12" t="s">
        <v>350</v>
      </c>
      <c r="F85" s="7" t="str">
        <f>IFERROR(INDEX(测试!H:H,MATCH(E85,测试!A:A,0)),1)</f>
        <v>-</v>
      </c>
    </row>
    <row r="86" spans="1:6" hidden="1" x14ac:dyDescent="0.3">
      <c r="A86" s="21" t="s">
        <v>2978</v>
      </c>
      <c r="B86" s="21" t="s">
        <v>351</v>
      </c>
      <c r="C86" s="12" t="s">
        <v>352</v>
      </c>
      <c r="D86" s="12" t="s">
        <v>3185</v>
      </c>
      <c r="E86" s="12" t="s">
        <v>354</v>
      </c>
      <c r="F86" s="7" t="str">
        <f>IFERROR(INDEX(测试!H:H,MATCH(E86,测试!A:A,0)),1)</f>
        <v>-</v>
      </c>
    </row>
    <row r="87" spans="1:6" hidden="1" x14ac:dyDescent="0.3">
      <c r="A87" s="21" t="s">
        <v>2978</v>
      </c>
      <c r="B87" s="21" t="s">
        <v>355</v>
      </c>
      <c r="C87" s="12" t="s">
        <v>356</v>
      </c>
      <c r="D87" s="12" t="s">
        <v>3186</v>
      </c>
      <c r="E87" s="12" t="s">
        <v>358</v>
      </c>
      <c r="F87" s="7" t="str">
        <f>IFERROR(INDEX(测试!H:H,MATCH(E87,测试!A:A,0)),1)</f>
        <v>-</v>
      </c>
    </row>
    <row r="88" spans="1:6" hidden="1" x14ac:dyDescent="0.3">
      <c r="A88" s="21" t="s">
        <v>2978</v>
      </c>
      <c r="B88" s="21" t="s">
        <v>359</v>
      </c>
      <c r="C88" s="12" t="s">
        <v>360</v>
      </c>
      <c r="D88" s="12" t="s">
        <v>3187</v>
      </c>
      <c r="E88" s="12" t="s">
        <v>362</v>
      </c>
      <c r="F88" s="7" t="str">
        <f>IFERROR(INDEX(测试!H:H,MATCH(E88,测试!A:A,0)),1)</f>
        <v>-</v>
      </c>
    </row>
    <row r="89" spans="1:6" hidden="1" x14ac:dyDescent="0.3">
      <c r="A89" s="21" t="s">
        <v>2978</v>
      </c>
      <c r="B89" s="21" t="s">
        <v>363</v>
      </c>
      <c r="C89" s="12" t="s">
        <v>364</v>
      </c>
      <c r="D89" s="12" t="s">
        <v>3188</v>
      </c>
      <c r="E89" s="12" t="s">
        <v>366</v>
      </c>
      <c r="F89" s="7" t="str">
        <f>IFERROR(INDEX(测试!H:H,MATCH(E89,测试!A:A,0)),1)</f>
        <v>-</v>
      </c>
    </row>
    <row r="90" spans="1:6" hidden="1" x14ac:dyDescent="0.3">
      <c r="A90" s="21" t="s">
        <v>2978</v>
      </c>
      <c r="B90" s="21" t="s">
        <v>367</v>
      </c>
      <c r="C90" s="12" t="s">
        <v>368</v>
      </c>
      <c r="D90" s="12" t="s">
        <v>3189</v>
      </c>
      <c r="E90" s="12" t="s">
        <v>370</v>
      </c>
      <c r="F90" s="7" t="str">
        <f>IFERROR(INDEX(测试!H:H,MATCH(E90,测试!A:A,0)),1)</f>
        <v>-</v>
      </c>
    </row>
    <row r="91" spans="1:6" hidden="1" x14ac:dyDescent="0.3">
      <c r="A91" s="21" t="s">
        <v>2978</v>
      </c>
      <c r="B91" s="21" t="s">
        <v>371</v>
      </c>
      <c r="C91" s="12" t="s">
        <v>372</v>
      </c>
      <c r="D91" s="12" t="s">
        <v>3190</v>
      </c>
      <c r="E91" s="12" t="s">
        <v>374</v>
      </c>
      <c r="F91" s="7" t="str">
        <f>IFERROR(INDEX(测试!H:H,MATCH(E91,测试!A:A,0)),1)</f>
        <v>-</v>
      </c>
    </row>
    <row r="92" spans="1:6" hidden="1" x14ac:dyDescent="0.3">
      <c r="A92" s="21" t="s">
        <v>2978</v>
      </c>
      <c r="B92" s="21" t="s">
        <v>375</v>
      </c>
      <c r="C92" s="12" t="s">
        <v>376</v>
      </c>
      <c r="D92" s="12" t="s">
        <v>3191</v>
      </c>
      <c r="E92" s="12" t="s">
        <v>378</v>
      </c>
      <c r="F92" s="7" t="str">
        <f>IFERROR(INDEX(测试!H:H,MATCH(E92,测试!A:A,0)),1)</f>
        <v>-</v>
      </c>
    </row>
    <row r="93" spans="1:6" hidden="1" x14ac:dyDescent="0.3">
      <c r="A93" s="21" t="s">
        <v>2978</v>
      </c>
      <c r="B93" s="21" t="s">
        <v>379</v>
      </c>
      <c r="C93" s="12" t="s">
        <v>380</v>
      </c>
      <c r="D93" s="12" t="s">
        <v>3192</v>
      </c>
      <c r="E93" s="12" t="s">
        <v>382</v>
      </c>
      <c r="F93" s="7" t="str">
        <f>IFERROR(INDEX(测试!H:H,MATCH(E93,测试!A:A,0)),1)</f>
        <v>-</v>
      </c>
    </row>
    <row r="94" spans="1:6" hidden="1" x14ac:dyDescent="0.3">
      <c r="A94" s="21" t="s">
        <v>2978</v>
      </c>
      <c r="B94" s="21" t="s">
        <v>383</v>
      </c>
      <c r="C94" s="12" t="s">
        <v>384</v>
      </c>
      <c r="D94" s="12" t="s">
        <v>3193</v>
      </c>
      <c r="E94" s="12" t="s">
        <v>386</v>
      </c>
      <c r="F94" s="7" t="str">
        <f>IFERROR(INDEX(测试!H:H,MATCH(E94,测试!A:A,0)),1)</f>
        <v>-</v>
      </c>
    </row>
    <row r="95" spans="1:6" hidden="1" x14ac:dyDescent="0.3">
      <c r="A95" s="21" t="s">
        <v>2978</v>
      </c>
      <c r="B95" s="21" t="s">
        <v>387</v>
      </c>
      <c r="C95" s="12" t="s">
        <v>388</v>
      </c>
      <c r="D95" s="12" t="s">
        <v>3194</v>
      </c>
      <c r="E95" s="12" t="s">
        <v>390</v>
      </c>
      <c r="F95" s="7" t="str">
        <f>IFERROR(INDEX(测试!H:H,MATCH(E95,测试!A:A,0)),1)</f>
        <v>-</v>
      </c>
    </row>
    <row r="96" spans="1:6" hidden="1" x14ac:dyDescent="0.3">
      <c r="A96" s="21" t="s">
        <v>2978</v>
      </c>
      <c r="B96" s="21" t="s">
        <v>391</v>
      </c>
      <c r="C96" s="12" t="s">
        <v>392</v>
      </c>
      <c r="D96" s="12" t="s">
        <v>3195</v>
      </c>
      <c r="E96" s="12" t="s">
        <v>394</v>
      </c>
      <c r="F96" s="7" t="str">
        <f>IFERROR(INDEX(测试!H:H,MATCH(E96,测试!A:A,0)),1)</f>
        <v>-</v>
      </c>
    </row>
    <row r="97" spans="1:6" hidden="1" x14ac:dyDescent="0.3">
      <c r="A97" s="21" t="s">
        <v>2978</v>
      </c>
      <c r="B97" s="21" t="s">
        <v>395</v>
      </c>
      <c r="C97" s="12" t="s">
        <v>396</v>
      </c>
      <c r="D97" s="12" t="s">
        <v>3196</v>
      </c>
      <c r="E97" s="12" t="s">
        <v>398</v>
      </c>
      <c r="F97" s="7" t="str">
        <f>IFERROR(INDEX(测试!H:H,MATCH(E97,测试!A:A,0)),1)</f>
        <v>-</v>
      </c>
    </row>
    <row r="98" spans="1:6" hidden="1" x14ac:dyDescent="0.3">
      <c r="A98" s="21" t="s">
        <v>2978</v>
      </c>
      <c r="B98" s="21" t="s">
        <v>399</v>
      </c>
      <c r="C98" s="12" t="s">
        <v>2</v>
      </c>
      <c r="D98" s="12" t="s">
        <v>3197</v>
      </c>
      <c r="E98" s="12" t="s">
        <v>400</v>
      </c>
      <c r="F98" s="7" t="str">
        <f>IFERROR(INDEX(测试!H:H,MATCH(E98,测试!A:A,0)),1)</f>
        <v>-</v>
      </c>
    </row>
    <row r="99" spans="1:6" hidden="1" x14ac:dyDescent="0.3">
      <c r="A99" s="21" t="s">
        <v>2978</v>
      </c>
      <c r="B99" s="21" t="s">
        <v>401</v>
      </c>
      <c r="C99" s="12" t="s">
        <v>4</v>
      </c>
      <c r="D99" s="12" t="s">
        <v>3198</v>
      </c>
      <c r="E99" s="12" t="s">
        <v>402</v>
      </c>
      <c r="F99" s="7" t="str">
        <f>IFERROR(INDEX(测试!H:H,MATCH(E99,测试!A:A,0)),1)</f>
        <v>-</v>
      </c>
    </row>
    <row r="100" spans="1:6" hidden="1" x14ac:dyDescent="0.3">
      <c r="A100" s="21" t="s">
        <v>2978</v>
      </c>
      <c r="B100" s="21" t="s">
        <v>403</v>
      </c>
      <c r="C100" s="12" t="s">
        <v>6</v>
      </c>
      <c r="D100" s="12" t="s">
        <v>3199</v>
      </c>
      <c r="E100" s="12" t="s">
        <v>404</v>
      </c>
      <c r="F100" s="7" t="str">
        <f>IFERROR(INDEX(测试!H:H,MATCH(E100,测试!A:A,0)),1)</f>
        <v>-</v>
      </c>
    </row>
    <row r="101" spans="1:6" hidden="1" x14ac:dyDescent="0.3">
      <c r="A101" s="21" t="s">
        <v>2978</v>
      </c>
      <c r="B101" s="21" t="s">
        <v>405</v>
      </c>
      <c r="C101" s="12" t="s">
        <v>8</v>
      </c>
      <c r="D101" s="12" t="s">
        <v>3200</v>
      </c>
      <c r="E101" s="12" t="s">
        <v>406</v>
      </c>
      <c r="F101" s="7" t="str">
        <f>IFERROR(INDEX(测试!H:H,MATCH(E101,测试!A:A,0)),1)</f>
        <v>-</v>
      </c>
    </row>
    <row r="102" spans="1:6" hidden="1" x14ac:dyDescent="0.3">
      <c r="A102" s="21" t="s">
        <v>2978</v>
      </c>
      <c r="B102" s="21" t="s">
        <v>407</v>
      </c>
      <c r="C102" s="12" t="s">
        <v>408</v>
      </c>
      <c r="D102" s="12" t="s">
        <v>3201</v>
      </c>
      <c r="E102" s="12" t="s">
        <v>410</v>
      </c>
      <c r="F102" s="7" t="str">
        <f>IFERROR(INDEX(测试!H:H,MATCH(E102,测试!A:A,0)),1)</f>
        <v>-</v>
      </c>
    </row>
    <row r="103" spans="1:6" hidden="1" x14ac:dyDescent="0.3">
      <c r="A103" s="21" t="s">
        <v>2978</v>
      </c>
      <c r="B103" s="21" t="s">
        <v>411</v>
      </c>
      <c r="C103" s="12" t="s">
        <v>412</v>
      </c>
      <c r="D103" s="12" t="s">
        <v>3202</v>
      </c>
      <c r="E103" s="12" t="s">
        <v>414</v>
      </c>
      <c r="F103" s="7" t="str">
        <f>IFERROR(INDEX(测试!H:H,MATCH(E103,测试!A:A,0)),1)</f>
        <v>-</v>
      </c>
    </row>
    <row r="104" spans="1:6" hidden="1" x14ac:dyDescent="0.3">
      <c r="A104" s="21" t="s">
        <v>2978</v>
      </c>
      <c r="B104" s="21" t="s">
        <v>415</v>
      </c>
      <c r="C104" s="12" t="s">
        <v>416</v>
      </c>
      <c r="D104" s="12" t="s">
        <v>3203</v>
      </c>
      <c r="E104" s="12" t="s">
        <v>418</v>
      </c>
      <c r="F104" s="7" t="str">
        <f>IFERROR(INDEX(测试!H:H,MATCH(E104,测试!A:A,0)),1)</f>
        <v>-</v>
      </c>
    </row>
    <row r="105" spans="1:6" hidden="1" x14ac:dyDescent="0.3">
      <c r="A105" s="21" t="s">
        <v>2978</v>
      </c>
      <c r="B105" s="21" t="s">
        <v>419</v>
      </c>
      <c r="C105" s="12" t="s">
        <v>420</v>
      </c>
      <c r="D105" s="12" t="s">
        <v>3204</v>
      </c>
      <c r="E105" s="12" t="s">
        <v>422</v>
      </c>
      <c r="F105" s="7" t="str">
        <f>IFERROR(INDEX(测试!H:H,MATCH(E105,测试!A:A,0)),1)</f>
        <v>-</v>
      </c>
    </row>
    <row r="106" spans="1:6" hidden="1" x14ac:dyDescent="0.3">
      <c r="A106" s="21" t="s">
        <v>2978</v>
      </c>
      <c r="B106" s="21" t="s">
        <v>37</v>
      </c>
      <c r="C106" s="12" t="s">
        <v>38</v>
      </c>
      <c r="D106" s="12" t="s">
        <v>3205</v>
      </c>
      <c r="E106" s="12" t="s">
        <v>40</v>
      </c>
      <c r="F106" s="7" t="str">
        <f>IFERROR(INDEX(测试!H:H,MATCH(E106,测试!A:A,0)),1)</f>
        <v>-</v>
      </c>
    </row>
    <row r="107" spans="1:6" hidden="1" x14ac:dyDescent="0.3">
      <c r="A107" t="s">
        <v>2985</v>
      </c>
      <c r="B107" t="s">
        <v>2920</v>
      </c>
      <c r="C107" t="s">
        <v>2921</v>
      </c>
      <c r="D107" t="s">
        <v>3810</v>
      </c>
      <c r="E107" t="s">
        <v>2923</v>
      </c>
      <c r="F107" s="7" t="str">
        <f>IFERROR(INDEX(测试!H:H,MATCH(E107,测试!A:A,0)),1)</f>
        <v>-</v>
      </c>
    </row>
    <row r="108" spans="1:6" hidden="1" x14ac:dyDescent="0.3">
      <c r="A108" t="s">
        <v>2985</v>
      </c>
      <c r="B108" t="s">
        <v>2924</v>
      </c>
      <c r="C108" t="s">
        <v>2925</v>
      </c>
      <c r="D108" t="s">
        <v>3811</v>
      </c>
      <c r="E108" t="s">
        <v>2927</v>
      </c>
      <c r="F108" s="7" t="str">
        <f>IFERROR(INDEX(测试!H:H,MATCH(E108,测试!A:A,0)),1)</f>
        <v>-</v>
      </c>
    </row>
    <row r="109" spans="1:6" hidden="1" x14ac:dyDescent="0.3">
      <c r="A109" t="s">
        <v>2985</v>
      </c>
      <c r="B109" t="s">
        <v>2928</v>
      </c>
      <c r="C109" t="s">
        <v>2929</v>
      </c>
      <c r="D109" t="s">
        <v>3812</v>
      </c>
      <c r="E109" t="s">
        <v>2931</v>
      </c>
      <c r="F109" s="7" t="str">
        <f>IFERROR(INDEX(测试!H:H,MATCH(E109,测试!A:A,0)),1)</f>
        <v>-</v>
      </c>
    </row>
    <row r="110" spans="1:6" hidden="1" x14ac:dyDescent="0.3">
      <c r="A110" t="s">
        <v>2985</v>
      </c>
      <c r="B110" t="s">
        <v>2932</v>
      </c>
      <c r="C110" t="s">
        <v>2933</v>
      </c>
      <c r="D110" t="s">
        <v>3813</v>
      </c>
      <c r="E110" t="s">
        <v>2935</v>
      </c>
      <c r="F110" s="7" t="str">
        <f>IFERROR(INDEX(测试!H:H,MATCH(E110,测试!A:A,0)),1)</f>
        <v>-</v>
      </c>
    </row>
    <row r="111" spans="1:6" hidden="1" x14ac:dyDescent="0.3">
      <c r="A111" t="s">
        <v>2985</v>
      </c>
      <c r="B111" t="s">
        <v>2936</v>
      </c>
      <c r="C111" t="s">
        <v>2937</v>
      </c>
      <c r="D111" t="s">
        <v>3814</v>
      </c>
      <c r="E111" t="s">
        <v>2939</v>
      </c>
      <c r="F111" s="7" t="str">
        <f>IFERROR(INDEX(测试!H:H,MATCH(E111,测试!A:A,0)),1)</f>
        <v>-</v>
      </c>
    </row>
    <row r="112" spans="1:6" hidden="1" x14ac:dyDescent="0.3">
      <c r="A112" t="s">
        <v>2985</v>
      </c>
      <c r="B112" t="s">
        <v>2940</v>
      </c>
      <c r="C112" t="s">
        <v>2941</v>
      </c>
      <c r="D112" t="s">
        <v>3815</v>
      </c>
      <c r="E112" t="s">
        <v>2943</v>
      </c>
      <c r="F112" s="7" t="str">
        <f>IFERROR(INDEX(测试!H:H,MATCH(E112,测试!A:A,0)),1)</f>
        <v>-</v>
      </c>
    </row>
    <row r="113" spans="1:6" hidden="1" x14ac:dyDescent="0.3">
      <c r="A113" t="s">
        <v>2984</v>
      </c>
      <c r="B113" t="s">
        <v>4416</v>
      </c>
      <c r="C113" t="s">
        <v>2909</v>
      </c>
      <c r="D113" t="s">
        <v>3805</v>
      </c>
      <c r="E113" t="s">
        <v>2911</v>
      </c>
      <c r="F113" s="7" t="str">
        <f>IFERROR(INDEX(测试!H:H,MATCH(E113,测试!A:A,0)),1)</f>
        <v>文件名错误</v>
      </c>
    </row>
    <row r="114" spans="1:6" hidden="1" x14ac:dyDescent="0.3">
      <c r="A114" t="s">
        <v>2984</v>
      </c>
      <c r="B114" t="s">
        <v>4417</v>
      </c>
      <c r="C114" t="s">
        <v>2913</v>
      </c>
      <c r="D114" t="s">
        <v>3806</v>
      </c>
      <c r="E114" t="s">
        <v>2915</v>
      </c>
      <c r="F114" s="7" t="str">
        <f>IFERROR(INDEX(测试!H:H,MATCH(E114,测试!A:A,0)),1)</f>
        <v>文件名错误</v>
      </c>
    </row>
    <row r="115" spans="1:6" hidden="1" x14ac:dyDescent="0.3">
      <c r="A115" t="s">
        <v>2984</v>
      </c>
      <c r="B115" t="s">
        <v>4418</v>
      </c>
      <c r="C115" t="s">
        <v>2917</v>
      </c>
      <c r="D115" t="s">
        <v>3807</v>
      </c>
      <c r="E115" t="s">
        <v>2919</v>
      </c>
      <c r="F115" s="7" t="str">
        <f>IFERROR(INDEX(测试!H:H,MATCH(E115,测试!A:A,0)),1)</f>
        <v>文件名错误</v>
      </c>
    </row>
    <row r="116" spans="1:6" hidden="1" x14ac:dyDescent="0.3">
      <c r="A116" t="s">
        <v>2984</v>
      </c>
      <c r="B116" t="s">
        <v>4419</v>
      </c>
      <c r="C116" t="s">
        <v>2901</v>
      </c>
      <c r="D116" t="s">
        <v>3808</v>
      </c>
      <c r="E116" t="s">
        <v>2903</v>
      </c>
      <c r="F116" s="7" t="str">
        <f>IFERROR(INDEX(测试!H:H,MATCH(E116,测试!A:A,0)),1)</f>
        <v>文件名错误</v>
      </c>
    </row>
    <row r="117" spans="1:6" hidden="1" x14ac:dyDescent="0.3">
      <c r="A117" t="s">
        <v>2984</v>
      </c>
      <c r="B117" t="s">
        <v>4420</v>
      </c>
      <c r="C117" t="s">
        <v>2905</v>
      </c>
      <c r="D117" t="s">
        <v>3809</v>
      </c>
      <c r="E117" t="s">
        <v>2907</v>
      </c>
      <c r="F117" s="7" t="str">
        <f>IFERROR(INDEX(测试!H:H,MATCH(E117,测试!A:A,0)),1)</f>
        <v>文件名错误</v>
      </c>
    </row>
    <row r="118" spans="1:6" hidden="1" x14ac:dyDescent="0.3">
      <c r="A118" t="s">
        <v>2983</v>
      </c>
      <c r="B118" t="s">
        <v>2512</v>
      </c>
      <c r="C118" t="s">
        <v>424</v>
      </c>
      <c r="D118" t="s">
        <v>3104</v>
      </c>
      <c r="E118" t="s">
        <v>2513</v>
      </c>
      <c r="F118" s="7" t="str">
        <f>IFERROR(INDEX(测试!H:H,MATCH(E118,测试!A:A,0)),1)</f>
        <v>-</v>
      </c>
    </row>
    <row r="119" spans="1:6" hidden="1" x14ac:dyDescent="0.3">
      <c r="A119" t="s">
        <v>2983</v>
      </c>
      <c r="B119" t="s">
        <v>2514</v>
      </c>
      <c r="C119" t="s">
        <v>2515</v>
      </c>
      <c r="D119" t="s">
        <v>3706</v>
      </c>
      <c r="E119" t="s">
        <v>2517</v>
      </c>
      <c r="F119" s="7" t="str">
        <f>IFERROR(INDEX(测试!H:H,MATCH(E119,测试!A:A,0)),1)</f>
        <v>-</v>
      </c>
    </row>
    <row r="120" spans="1:6" hidden="1" x14ac:dyDescent="0.3">
      <c r="A120" t="s">
        <v>2983</v>
      </c>
      <c r="B120" t="s">
        <v>2518</v>
      </c>
      <c r="C120" t="s">
        <v>2519</v>
      </c>
      <c r="D120" t="s">
        <v>3707</v>
      </c>
      <c r="E120" t="s">
        <v>3048</v>
      </c>
      <c r="F120" s="7" t="str">
        <f>IFERROR(INDEX(测试!H:H,MATCH(E120,测试!A:A,0)),1)</f>
        <v>-</v>
      </c>
    </row>
    <row r="121" spans="1:6" hidden="1" x14ac:dyDescent="0.3">
      <c r="A121" t="s">
        <v>2983</v>
      </c>
      <c r="B121" t="s">
        <v>2521</v>
      </c>
      <c r="C121" t="s">
        <v>2522</v>
      </c>
      <c r="D121" t="s">
        <v>3708</v>
      </c>
      <c r="E121" t="s">
        <v>2524</v>
      </c>
      <c r="F121" s="7" t="str">
        <f>IFERROR(INDEX(测试!H:H,MATCH(E121,测试!A:A,0)),1)</f>
        <v>-</v>
      </c>
    </row>
    <row r="122" spans="1:6" hidden="1" x14ac:dyDescent="0.3">
      <c r="A122" t="s">
        <v>2983</v>
      </c>
      <c r="B122" t="s">
        <v>4421</v>
      </c>
      <c r="C122" t="s">
        <v>2525</v>
      </c>
      <c r="D122" t="s">
        <v>3709</v>
      </c>
      <c r="E122" t="s">
        <v>2527</v>
      </c>
      <c r="F122" s="7" t="str">
        <f>IFERROR(INDEX(测试!H:H,MATCH(E122,测试!A:A,0)),1)</f>
        <v>-</v>
      </c>
    </row>
    <row r="123" spans="1:6" hidden="1" x14ac:dyDescent="0.3">
      <c r="A123" t="s">
        <v>2983</v>
      </c>
      <c r="B123" t="s">
        <v>2528</v>
      </c>
      <c r="C123" t="s">
        <v>2529</v>
      </c>
      <c r="D123" t="s">
        <v>3710</v>
      </c>
      <c r="E123" t="s">
        <v>2531</v>
      </c>
      <c r="F123" s="7" t="str">
        <f>IFERROR(INDEX(测试!H:H,MATCH(E123,测试!A:A,0)),1)</f>
        <v>-</v>
      </c>
    </row>
    <row r="124" spans="1:6" hidden="1" x14ac:dyDescent="0.3">
      <c r="A124" t="s">
        <v>2983</v>
      </c>
      <c r="B124" t="s">
        <v>2532</v>
      </c>
      <c r="C124" t="s">
        <v>2533</v>
      </c>
      <c r="D124" t="s">
        <v>3711</v>
      </c>
      <c r="E124" t="s">
        <v>2535</v>
      </c>
      <c r="F124" s="7" t="str">
        <f>IFERROR(INDEX(测试!H:H,MATCH(E124,测试!A:A,0)),1)</f>
        <v>-</v>
      </c>
    </row>
    <row r="125" spans="1:6" hidden="1" x14ac:dyDescent="0.3">
      <c r="A125" t="s">
        <v>2983</v>
      </c>
      <c r="B125" t="s">
        <v>2536</v>
      </c>
      <c r="C125" t="s">
        <v>2537</v>
      </c>
      <c r="D125" t="s">
        <v>3712</v>
      </c>
      <c r="E125" t="s">
        <v>2539</v>
      </c>
      <c r="F125" s="7" t="str">
        <f>IFERROR(INDEX(测试!H:H,MATCH(E125,测试!A:A,0)),1)</f>
        <v>-</v>
      </c>
    </row>
    <row r="126" spans="1:6" hidden="1" x14ac:dyDescent="0.3">
      <c r="A126" t="s">
        <v>2983</v>
      </c>
      <c r="B126" t="s">
        <v>2540</v>
      </c>
      <c r="C126" t="s">
        <v>2541</v>
      </c>
      <c r="D126" t="s">
        <v>3713</v>
      </c>
      <c r="E126" t="s">
        <v>2543</v>
      </c>
      <c r="F126" s="7" t="str">
        <f>IFERROR(INDEX(测试!H:H,MATCH(E126,测试!A:A,0)),1)</f>
        <v>-</v>
      </c>
    </row>
    <row r="127" spans="1:6" hidden="1" x14ac:dyDescent="0.3">
      <c r="A127" t="s">
        <v>2983</v>
      </c>
      <c r="B127" t="s">
        <v>2544</v>
      </c>
      <c r="C127" t="s">
        <v>2545</v>
      </c>
      <c r="D127" t="s">
        <v>3714</v>
      </c>
      <c r="E127" t="s">
        <v>2547</v>
      </c>
      <c r="F127" s="7" t="str">
        <f>IFERROR(INDEX(测试!H:H,MATCH(E127,测试!A:A,0)),1)</f>
        <v>-</v>
      </c>
    </row>
    <row r="128" spans="1:6" hidden="1" x14ac:dyDescent="0.3">
      <c r="A128" t="s">
        <v>2983</v>
      </c>
      <c r="B128" t="s">
        <v>2548</v>
      </c>
      <c r="C128" t="s">
        <v>2549</v>
      </c>
      <c r="D128" t="s">
        <v>3715</v>
      </c>
      <c r="E128" t="s">
        <v>2551</v>
      </c>
      <c r="F128" s="7" t="str">
        <f>IFERROR(INDEX(测试!H:H,MATCH(E128,测试!A:A,0)),1)</f>
        <v>-</v>
      </c>
    </row>
    <row r="129" spans="1:6" hidden="1" x14ac:dyDescent="0.3">
      <c r="A129" t="s">
        <v>2983</v>
      </c>
      <c r="B129" t="s">
        <v>2552</v>
      </c>
      <c r="C129" t="s">
        <v>2553</v>
      </c>
      <c r="D129" t="s">
        <v>3716</v>
      </c>
      <c r="E129" t="s">
        <v>2555</v>
      </c>
      <c r="F129" s="7" t="str">
        <f>IFERROR(INDEX(测试!H:H,MATCH(E129,测试!A:A,0)),1)</f>
        <v>-</v>
      </c>
    </row>
    <row r="130" spans="1:6" hidden="1" x14ac:dyDescent="0.3">
      <c r="A130" t="s">
        <v>2983</v>
      </c>
      <c r="B130" t="s">
        <v>2556</v>
      </c>
      <c r="C130" t="s">
        <v>2557</v>
      </c>
      <c r="D130" t="s">
        <v>3717</v>
      </c>
      <c r="E130" t="s">
        <v>3049</v>
      </c>
      <c r="F130" s="7" t="str">
        <f>IFERROR(INDEX(测试!H:H,MATCH(E130,测试!A:A,0)),1)</f>
        <v>-</v>
      </c>
    </row>
    <row r="131" spans="1:6" hidden="1" x14ac:dyDescent="0.3">
      <c r="A131" t="s">
        <v>2983</v>
      </c>
      <c r="B131" t="s">
        <v>2559</v>
      </c>
      <c r="C131" t="s">
        <v>2560</v>
      </c>
      <c r="D131" t="s">
        <v>3718</v>
      </c>
      <c r="E131" t="s">
        <v>2562</v>
      </c>
      <c r="F131" s="7" t="str">
        <f>IFERROR(INDEX(测试!H:H,MATCH(E131,测试!A:A,0)),1)</f>
        <v>-</v>
      </c>
    </row>
    <row r="132" spans="1:6" hidden="1" x14ac:dyDescent="0.3">
      <c r="A132" t="s">
        <v>2983</v>
      </c>
      <c r="B132" t="s">
        <v>2563</v>
      </c>
      <c r="C132" t="s">
        <v>2564</v>
      </c>
      <c r="D132" t="s">
        <v>3719</v>
      </c>
      <c r="E132" t="s">
        <v>3050</v>
      </c>
      <c r="F132" s="7" t="str">
        <f>IFERROR(INDEX(测试!H:H,MATCH(E132,测试!A:A,0)),1)</f>
        <v>-</v>
      </c>
    </row>
    <row r="133" spans="1:6" hidden="1" x14ac:dyDescent="0.3">
      <c r="A133" t="s">
        <v>2983</v>
      </c>
      <c r="B133" t="s">
        <v>2566</v>
      </c>
      <c r="C133" t="s">
        <v>2567</v>
      </c>
      <c r="D133" t="s">
        <v>3720</v>
      </c>
      <c r="E133" t="s">
        <v>2569</v>
      </c>
      <c r="F133" s="7" t="str">
        <f>IFERROR(INDEX(测试!H:H,MATCH(E133,测试!A:A,0)),1)</f>
        <v>-</v>
      </c>
    </row>
    <row r="134" spans="1:6" hidden="1" x14ac:dyDescent="0.3">
      <c r="A134" t="s">
        <v>2983</v>
      </c>
      <c r="B134" t="s">
        <v>2570</v>
      </c>
      <c r="C134" t="s">
        <v>2571</v>
      </c>
      <c r="D134" t="s">
        <v>3721</v>
      </c>
      <c r="E134" t="s">
        <v>2573</v>
      </c>
      <c r="F134" s="7" t="str">
        <f>IFERROR(INDEX(测试!H:H,MATCH(E134,测试!A:A,0)),1)</f>
        <v>-</v>
      </c>
    </row>
    <row r="135" spans="1:6" hidden="1" x14ac:dyDescent="0.3">
      <c r="A135" t="s">
        <v>2983</v>
      </c>
      <c r="B135" t="s">
        <v>2574</v>
      </c>
      <c r="C135" t="s">
        <v>2575</v>
      </c>
      <c r="D135" t="s">
        <v>3722</v>
      </c>
      <c r="E135" t="s">
        <v>2577</v>
      </c>
      <c r="F135" s="7" t="str">
        <f>IFERROR(INDEX(测试!H:H,MATCH(E135,测试!A:A,0)),1)</f>
        <v>-</v>
      </c>
    </row>
    <row r="136" spans="1:6" hidden="1" x14ac:dyDescent="0.3">
      <c r="A136" t="s">
        <v>2983</v>
      </c>
      <c r="B136" t="s">
        <v>2578</v>
      </c>
      <c r="C136" t="s">
        <v>2579</v>
      </c>
      <c r="D136" t="s">
        <v>3723</v>
      </c>
      <c r="E136" t="s">
        <v>2581</v>
      </c>
      <c r="F136" s="7" t="str">
        <f>IFERROR(INDEX(测试!H:H,MATCH(E136,测试!A:A,0)),1)</f>
        <v>-</v>
      </c>
    </row>
    <row r="137" spans="1:6" hidden="1" x14ac:dyDescent="0.3">
      <c r="A137" t="s">
        <v>2983</v>
      </c>
      <c r="B137" t="s">
        <v>2582</v>
      </c>
      <c r="C137" t="s">
        <v>2583</v>
      </c>
      <c r="D137" t="s">
        <v>3724</v>
      </c>
      <c r="E137" t="s">
        <v>2585</v>
      </c>
      <c r="F137" s="7" t="str">
        <f>IFERROR(INDEX(测试!H:H,MATCH(E137,测试!A:A,0)),1)</f>
        <v>-</v>
      </c>
    </row>
    <row r="138" spans="1:6" hidden="1" x14ac:dyDescent="0.3">
      <c r="A138" t="s">
        <v>2983</v>
      </c>
      <c r="B138" t="s">
        <v>2586</v>
      </c>
      <c r="C138" t="s">
        <v>2587</v>
      </c>
      <c r="D138" t="s">
        <v>3725</v>
      </c>
      <c r="E138" t="s">
        <v>2589</v>
      </c>
      <c r="F138" s="7" t="str">
        <f>IFERROR(INDEX(测试!H:H,MATCH(E138,测试!A:A,0)),1)</f>
        <v>-</v>
      </c>
    </row>
    <row r="139" spans="1:6" hidden="1" x14ac:dyDescent="0.3">
      <c r="A139" t="s">
        <v>2983</v>
      </c>
      <c r="B139" t="s">
        <v>2590</v>
      </c>
      <c r="C139" t="s">
        <v>2591</v>
      </c>
      <c r="D139" t="s">
        <v>3726</v>
      </c>
      <c r="E139" t="s">
        <v>2593</v>
      </c>
      <c r="F139" s="7" t="str">
        <f>IFERROR(INDEX(测试!H:H,MATCH(E139,测试!A:A,0)),1)</f>
        <v>-</v>
      </c>
    </row>
    <row r="140" spans="1:6" hidden="1" x14ac:dyDescent="0.3">
      <c r="A140" t="s">
        <v>2983</v>
      </c>
      <c r="B140" t="s">
        <v>2594</v>
      </c>
      <c r="C140" t="s">
        <v>2595</v>
      </c>
      <c r="D140" t="s">
        <v>3727</v>
      </c>
      <c r="E140" t="s">
        <v>2597</v>
      </c>
      <c r="F140" s="7" t="str">
        <f>IFERROR(INDEX(测试!H:H,MATCH(E140,测试!A:A,0)),1)</f>
        <v>-</v>
      </c>
    </row>
    <row r="141" spans="1:6" hidden="1" x14ac:dyDescent="0.3">
      <c r="A141" t="s">
        <v>2983</v>
      </c>
      <c r="B141" t="s">
        <v>2598</v>
      </c>
      <c r="C141" t="s">
        <v>2599</v>
      </c>
      <c r="D141" t="s">
        <v>3728</v>
      </c>
      <c r="E141" t="s">
        <v>2601</v>
      </c>
      <c r="F141" s="7" t="str">
        <f>IFERROR(INDEX(测试!H:H,MATCH(E141,测试!A:A,0)),1)</f>
        <v>-</v>
      </c>
    </row>
    <row r="142" spans="1:6" hidden="1" x14ac:dyDescent="0.3">
      <c r="A142" t="s">
        <v>2983</v>
      </c>
      <c r="B142" t="s">
        <v>2602</v>
      </c>
      <c r="C142" t="s">
        <v>2603</v>
      </c>
      <c r="D142" t="s">
        <v>3729</v>
      </c>
      <c r="E142" t="s">
        <v>2605</v>
      </c>
      <c r="F142" s="7" t="str">
        <f>IFERROR(INDEX(测试!H:H,MATCH(E142,测试!A:A,0)),1)</f>
        <v>-</v>
      </c>
    </row>
    <row r="143" spans="1:6" hidden="1" x14ac:dyDescent="0.3">
      <c r="A143" t="s">
        <v>2983</v>
      </c>
      <c r="B143" t="s">
        <v>4422</v>
      </c>
      <c r="C143" t="s">
        <v>2607</v>
      </c>
      <c r="D143" t="s">
        <v>3730</v>
      </c>
      <c r="E143" t="s">
        <v>2609</v>
      </c>
      <c r="F143" s="7" t="str">
        <f>IFERROR(INDEX(测试!H:H,MATCH(E143,测试!A:A,0)),1)</f>
        <v>文件名错误</v>
      </c>
    </row>
    <row r="144" spans="1:6" hidden="1" x14ac:dyDescent="0.3">
      <c r="A144" t="s">
        <v>2983</v>
      </c>
      <c r="B144" t="s">
        <v>2610</v>
      </c>
      <c r="C144" t="s">
        <v>2611</v>
      </c>
      <c r="D144" t="s">
        <v>3731</v>
      </c>
      <c r="E144" t="s">
        <v>2613</v>
      </c>
      <c r="F144" s="7" t="str">
        <f>IFERROR(INDEX(测试!H:H,MATCH(E144,测试!A:A,0)),1)</f>
        <v>-</v>
      </c>
    </row>
    <row r="145" spans="1:6" hidden="1" x14ac:dyDescent="0.3">
      <c r="A145" t="s">
        <v>2983</v>
      </c>
      <c r="B145" t="s">
        <v>2614</v>
      </c>
      <c r="C145" t="s">
        <v>2615</v>
      </c>
      <c r="D145" t="s">
        <v>3732</v>
      </c>
      <c r="E145" t="s">
        <v>2617</v>
      </c>
      <c r="F145" s="7" t="str">
        <f>IFERROR(INDEX(测试!H:H,MATCH(E145,测试!A:A,0)),1)</f>
        <v>-</v>
      </c>
    </row>
    <row r="146" spans="1:6" hidden="1" x14ac:dyDescent="0.3">
      <c r="A146" t="s">
        <v>2983</v>
      </c>
      <c r="B146" t="s">
        <v>2618</v>
      </c>
      <c r="C146" t="s">
        <v>2619</v>
      </c>
      <c r="D146" t="s">
        <v>3733</v>
      </c>
      <c r="E146" t="s">
        <v>2621</v>
      </c>
      <c r="F146" s="7" t="str">
        <f>IFERROR(INDEX(测试!H:H,MATCH(E146,测试!A:A,0)),1)</f>
        <v>-</v>
      </c>
    </row>
    <row r="147" spans="1:6" hidden="1" x14ac:dyDescent="0.3">
      <c r="A147" t="s">
        <v>2983</v>
      </c>
      <c r="B147" t="s">
        <v>2622</v>
      </c>
      <c r="C147" t="s">
        <v>2623</v>
      </c>
      <c r="D147" t="s">
        <v>3734</v>
      </c>
      <c r="E147" t="s">
        <v>2625</v>
      </c>
      <c r="F147" s="7" t="str">
        <f>IFERROR(INDEX(测试!H:H,MATCH(E147,测试!A:A,0)),1)</f>
        <v>-</v>
      </c>
    </row>
    <row r="148" spans="1:6" hidden="1" x14ac:dyDescent="0.3">
      <c r="A148" t="s">
        <v>2983</v>
      </c>
      <c r="B148" t="s">
        <v>2626</v>
      </c>
      <c r="C148" t="s">
        <v>2627</v>
      </c>
      <c r="D148" t="s">
        <v>3735</v>
      </c>
      <c r="E148" t="s">
        <v>2629</v>
      </c>
      <c r="F148" s="7" t="str">
        <f>IFERROR(INDEX(测试!H:H,MATCH(E148,测试!A:A,0)),1)</f>
        <v>-</v>
      </c>
    </row>
    <row r="149" spans="1:6" hidden="1" x14ac:dyDescent="0.3">
      <c r="A149" t="s">
        <v>2983</v>
      </c>
      <c r="B149" t="s">
        <v>2630</v>
      </c>
      <c r="C149" t="s">
        <v>2631</v>
      </c>
      <c r="D149" t="s">
        <v>3736</v>
      </c>
      <c r="E149" t="s">
        <v>2633</v>
      </c>
      <c r="F149" s="7" t="str">
        <f>IFERROR(INDEX(测试!H:H,MATCH(E149,测试!A:A,0)),1)</f>
        <v>-</v>
      </c>
    </row>
    <row r="150" spans="1:6" hidden="1" x14ac:dyDescent="0.3">
      <c r="A150" t="s">
        <v>2983</v>
      </c>
      <c r="B150" t="s">
        <v>2634</v>
      </c>
      <c r="C150" t="s">
        <v>2635</v>
      </c>
      <c r="D150" t="s">
        <v>3737</v>
      </c>
      <c r="E150" t="s">
        <v>2637</v>
      </c>
      <c r="F150" s="7" t="str">
        <f>IFERROR(INDEX(测试!H:H,MATCH(E150,测试!A:A,0)),1)</f>
        <v>-</v>
      </c>
    </row>
    <row r="151" spans="1:6" hidden="1" x14ac:dyDescent="0.3">
      <c r="A151" t="s">
        <v>2983</v>
      </c>
      <c r="B151" t="s">
        <v>2638</v>
      </c>
      <c r="C151" t="s">
        <v>2639</v>
      </c>
      <c r="D151" t="s">
        <v>3738</v>
      </c>
      <c r="E151" t="s">
        <v>2641</v>
      </c>
      <c r="F151" s="7" t="str">
        <f>IFERROR(INDEX(测试!H:H,MATCH(E151,测试!A:A,0)),1)</f>
        <v>-</v>
      </c>
    </row>
    <row r="152" spans="1:6" hidden="1" x14ac:dyDescent="0.3">
      <c r="A152" t="s">
        <v>2983</v>
      </c>
      <c r="B152" t="s">
        <v>2642</v>
      </c>
      <c r="C152" t="s">
        <v>2643</v>
      </c>
      <c r="D152" t="s">
        <v>3739</v>
      </c>
      <c r="E152" t="s">
        <v>2645</v>
      </c>
      <c r="F152" s="7" t="str">
        <f>IFERROR(INDEX(测试!H:H,MATCH(E152,测试!A:A,0)),1)</f>
        <v>-</v>
      </c>
    </row>
    <row r="153" spans="1:6" hidden="1" x14ac:dyDescent="0.3">
      <c r="A153" t="s">
        <v>2983</v>
      </c>
      <c r="B153" t="s">
        <v>2646</v>
      </c>
      <c r="C153" t="s">
        <v>2647</v>
      </c>
      <c r="D153" t="s">
        <v>3740</v>
      </c>
      <c r="E153" t="s">
        <v>2649</v>
      </c>
      <c r="F153" s="7" t="str">
        <f>IFERROR(INDEX(测试!H:H,MATCH(E153,测试!A:A,0)),1)</f>
        <v>-</v>
      </c>
    </row>
    <row r="154" spans="1:6" hidden="1" x14ac:dyDescent="0.3">
      <c r="A154" t="s">
        <v>2983</v>
      </c>
      <c r="B154" t="s">
        <v>2650</v>
      </c>
      <c r="C154" t="s">
        <v>2651</v>
      </c>
      <c r="D154" t="s">
        <v>3741</v>
      </c>
      <c r="E154" t="s">
        <v>2653</v>
      </c>
      <c r="F154" s="7" t="str">
        <f>IFERROR(INDEX(测试!H:H,MATCH(E154,测试!A:A,0)),1)</f>
        <v>-</v>
      </c>
    </row>
    <row r="155" spans="1:6" hidden="1" x14ac:dyDescent="0.3">
      <c r="A155" t="s">
        <v>2983</v>
      </c>
      <c r="B155" t="s">
        <v>2654</v>
      </c>
      <c r="C155" t="s">
        <v>2655</v>
      </c>
      <c r="D155" t="s">
        <v>3742</v>
      </c>
      <c r="E155" t="s">
        <v>2657</v>
      </c>
      <c r="F155" s="7" t="str">
        <f>IFERROR(INDEX(测试!H:H,MATCH(E155,测试!A:A,0)),1)</f>
        <v>-</v>
      </c>
    </row>
    <row r="156" spans="1:6" hidden="1" x14ac:dyDescent="0.3">
      <c r="A156" t="s">
        <v>2983</v>
      </c>
      <c r="B156" t="s">
        <v>2658</v>
      </c>
      <c r="C156" t="s">
        <v>2659</v>
      </c>
      <c r="D156" t="s">
        <v>3743</v>
      </c>
      <c r="E156" t="s">
        <v>2661</v>
      </c>
      <c r="F156" s="7" t="str">
        <f>IFERROR(INDEX(测试!H:H,MATCH(E156,测试!A:A,0)),1)</f>
        <v>-</v>
      </c>
    </row>
    <row r="157" spans="1:6" hidden="1" x14ac:dyDescent="0.3">
      <c r="A157" t="s">
        <v>2983</v>
      </c>
      <c r="B157" t="s">
        <v>2662</v>
      </c>
      <c r="C157" t="s">
        <v>2663</v>
      </c>
      <c r="D157" t="s">
        <v>3744</v>
      </c>
      <c r="E157" t="s">
        <v>2665</v>
      </c>
      <c r="F157" s="7" t="str">
        <f>IFERROR(INDEX(测试!H:H,MATCH(E157,测试!A:A,0)),1)</f>
        <v>-</v>
      </c>
    </row>
    <row r="158" spans="1:6" hidden="1" x14ac:dyDescent="0.3">
      <c r="A158" t="s">
        <v>2983</v>
      </c>
      <c r="B158" t="s">
        <v>2666</v>
      </c>
      <c r="C158" t="s">
        <v>2667</v>
      </c>
      <c r="D158" t="s">
        <v>3745</v>
      </c>
      <c r="E158" t="s">
        <v>2669</v>
      </c>
      <c r="F158" s="7" t="str">
        <f>IFERROR(INDEX(测试!H:H,MATCH(E158,测试!A:A,0)),1)</f>
        <v>-</v>
      </c>
    </row>
    <row r="159" spans="1:6" hidden="1" x14ac:dyDescent="0.3">
      <c r="A159" t="s">
        <v>2983</v>
      </c>
      <c r="B159" t="s">
        <v>2670</v>
      </c>
      <c r="C159" t="s">
        <v>2671</v>
      </c>
      <c r="D159" t="s">
        <v>3746</v>
      </c>
      <c r="E159" t="s">
        <v>2673</v>
      </c>
      <c r="F159" s="7" t="str">
        <f>IFERROR(INDEX(测试!H:H,MATCH(E159,测试!A:A,0)),1)</f>
        <v>-</v>
      </c>
    </row>
    <row r="160" spans="1:6" hidden="1" x14ac:dyDescent="0.3">
      <c r="A160" t="s">
        <v>2983</v>
      </c>
      <c r="B160" t="s">
        <v>2674</v>
      </c>
      <c r="C160" t="s">
        <v>2675</v>
      </c>
      <c r="D160" t="s">
        <v>3747</v>
      </c>
      <c r="E160" t="s">
        <v>3051</v>
      </c>
      <c r="F160" s="7" t="str">
        <f>IFERROR(INDEX(测试!H:H,MATCH(E160,测试!A:A,0)),1)</f>
        <v>-</v>
      </c>
    </row>
    <row r="161" spans="1:6" hidden="1" x14ac:dyDescent="0.3">
      <c r="A161" t="s">
        <v>2983</v>
      </c>
      <c r="B161" t="s">
        <v>2677</v>
      </c>
      <c r="C161" t="s">
        <v>2678</v>
      </c>
      <c r="D161" t="s">
        <v>3748</v>
      </c>
      <c r="E161" t="s">
        <v>2680</v>
      </c>
      <c r="F161" s="7" t="str">
        <f>IFERROR(INDEX(测试!H:H,MATCH(E161,测试!A:A,0)),1)</f>
        <v>-</v>
      </c>
    </row>
    <row r="162" spans="1:6" hidden="1" x14ac:dyDescent="0.3">
      <c r="A162" t="s">
        <v>2983</v>
      </c>
      <c r="B162" t="s">
        <v>2681</v>
      </c>
      <c r="C162" t="s">
        <v>2682</v>
      </c>
      <c r="D162" t="s">
        <v>3749</v>
      </c>
      <c r="E162" t="s">
        <v>2684</v>
      </c>
      <c r="F162" s="7" t="str">
        <f>IFERROR(INDEX(测试!H:H,MATCH(E162,测试!A:A,0)),1)</f>
        <v>-</v>
      </c>
    </row>
    <row r="163" spans="1:6" hidden="1" x14ac:dyDescent="0.3">
      <c r="A163" t="s">
        <v>2983</v>
      </c>
      <c r="B163" t="s">
        <v>2685</v>
      </c>
      <c r="C163" t="s">
        <v>2686</v>
      </c>
      <c r="D163" t="s">
        <v>3750</v>
      </c>
      <c r="E163" t="s">
        <v>2688</v>
      </c>
      <c r="F163" s="7" t="str">
        <f>IFERROR(INDEX(测试!H:H,MATCH(E163,测试!A:A,0)),1)</f>
        <v>-</v>
      </c>
    </row>
    <row r="164" spans="1:6" hidden="1" x14ac:dyDescent="0.3">
      <c r="A164" t="s">
        <v>2983</v>
      </c>
      <c r="B164" t="s">
        <v>2689</v>
      </c>
      <c r="C164" t="s">
        <v>2690</v>
      </c>
      <c r="D164" t="s">
        <v>3751</v>
      </c>
      <c r="E164" t="s">
        <v>2692</v>
      </c>
      <c r="F164" s="7" t="str">
        <f>IFERROR(INDEX(测试!H:H,MATCH(E164,测试!A:A,0)),1)</f>
        <v>-</v>
      </c>
    </row>
    <row r="165" spans="1:6" hidden="1" x14ac:dyDescent="0.3">
      <c r="A165" t="s">
        <v>2983</v>
      </c>
      <c r="B165" t="s">
        <v>2693</v>
      </c>
      <c r="C165" t="s">
        <v>2694</v>
      </c>
      <c r="D165" t="s">
        <v>3752</v>
      </c>
      <c r="E165" t="s">
        <v>2696</v>
      </c>
      <c r="F165" s="7" t="str">
        <f>IFERROR(INDEX(测试!H:H,MATCH(E165,测试!A:A,0)),1)</f>
        <v>-</v>
      </c>
    </row>
    <row r="166" spans="1:6" hidden="1" x14ac:dyDescent="0.3">
      <c r="A166" t="s">
        <v>2983</v>
      </c>
      <c r="B166" t="s">
        <v>2697</v>
      </c>
      <c r="C166" t="s">
        <v>2698</v>
      </c>
      <c r="D166" t="s">
        <v>3753</v>
      </c>
      <c r="E166" t="s">
        <v>2700</v>
      </c>
      <c r="F166" s="7" t="str">
        <f>IFERROR(INDEX(测试!H:H,MATCH(E166,测试!A:A,0)),1)</f>
        <v>-</v>
      </c>
    </row>
    <row r="167" spans="1:6" hidden="1" x14ac:dyDescent="0.3">
      <c r="A167" t="s">
        <v>2983</v>
      </c>
      <c r="B167" t="s">
        <v>2701</v>
      </c>
      <c r="C167" t="s">
        <v>2702</v>
      </c>
      <c r="D167" t="s">
        <v>3754</v>
      </c>
      <c r="E167" t="s">
        <v>2704</v>
      </c>
      <c r="F167" s="7" t="str">
        <f>IFERROR(INDEX(测试!H:H,MATCH(E167,测试!A:A,0)),1)</f>
        <v>-</v>
      </c>
    </row>
    <row r="168" spans="1:6" hidden="1" x14ac:dyDescent="0.3">
      <c r="A168" t="s">
        <v>2983</v>
      </c>
      <c r="B168" t="s">
        <v>2705</v>
      </c>
      <c r="C168" t="s">
        <v>2706</v>
      </c>
      <c r="D168" t="s">
        <v>3755</v>
      </c>
      <c r="E168" t="s">
        <v>2708</v>
      </c>
      <c r="F168" s="7" t="str">
        <f>IFERROR(INDEX(测试!H:H,MATCH(E168,测试!A:A,0)),1)</f>
        <v>-</v>
      </c>
    </row>
    <row r="169" spans="1:6" hidden="1" x14ac:dyDescent="0.3">
      <c r="A169" t="s">
        <v>2983</v>
      </c>
      <c r="B169" t="s">
        <v>2709</v>
      </c>
      <c r="C169" t="s">
        <v>2710</v>
      </c>
      <c r="D169" t="s">
        <v>3756</v>
      </c>
      <c r="E169" t="s">
        <v>3052</v>
      </c>
      <c r="F169" s="7" t="str">
        <f>IFERROR(INDEX(测试!H:H,MATCH(E169,测试!A:A,0)),1)</f>
        <v>-</v>
      </c>
    </row>
    <row r="170" spans="1:6" hidden="1" x14ac:dyDescent="0.3">
      <c r="A170" t="s">
        <v>2983</v>
      </c>
      <c r="B170" t="s">
        <v>2712</v>
      </c>
      <c r="C170" t="s">
        <v>2713</v>
      </c>
      <c r="D170" t="s">
        <v>3757</v>
      </c>
      <c r="E170" t="s">
        <v>2715</v>
      </c>
      <c r="F170" s="7" t="str">
        <f>IFERROR(INDEX(测试!H:H,MATCH(E170,测试!A:A,0)),1)</f>
        <v>-</v>
      </c>
    </row>
    <row r="171" spans="1:6" hidden="1" x14ac:dyDescent="0.3">
      <c r="A171" t="s">
        <v>2983</v>
      </c>
      <c r="B171" t="s">
        <v>2716</v>
      </c>
      <c r="C171" t="s">
        <v>2717</v>
      </c>
      <c r="D171" t="s">
        <v>3758</v>
      </c>
      <c r="E171" t="s">
        <v>3053</v>
      </c>
      <c r="F171" s="7" t="str">
        <f>IFERROR(INDEX(测试!H:H,MATCH(E171,测试!A:A,0)),1)</f>
        <v>-</v>
      </c>
    </row>
    <row r="172" spans="1:6" hidden="1" x14ac:dyDescent="0.3">
      <c r="A172" t="s">
        <v>2983</v>
      </c>
      <c r="B172" t="s">
        <v>2719</v>
      </c>
      <c r="C172" t="s">
        <v>2720</v>
      </c>
      <c r="D172" t="s">
        <v>3759</v>
      </c>
      <c r="E172" t="s">
        <v>2722</v>
      </c>
      <c r="F172" s="7" t="str">
        <f>IFERROR(INDEX(测试!H:H,MATCH(E172,测试!A:A,0)),1)</f>
        <v>-</v>
      </c>
    </row>
    <row r="173" spans="1:6" hidden="1" x14ac:dyDescent="0.3">
      <c r="A173" t="s">
        <v>2983</v>
      </c>
      <c r="B173" t="s">
        <v>2723</v>
      </c>
      <c r="C173" t="s">
        <v>2724</v>
      </c>
      <c r="D173" t="s">
        <v>3760</v>
      </c>
      <c r="E173" t="s">
        <v>2726</v>
      </c>
      <c r="F173" s="7" t="str">
        <f>IFERROR(INDEX(测试!H:H,MATCH(E173,测试!A:A,0)),1)</f>
        <v>-</v>
      </c>
    </row>
    <row r="174" spans="1:6" hidden="1" x14ac:dyDescent="0.3">
      <c r="A174" t="s">
        <v>2983</v>
      </c>
      <c r="B174" t="s">
        <v>2727</v>
      </c>
      <c r="C174" t="s">
        <v>2728</v>
      </c>
      <c r="D174" t="s">
        <v>3761</v>
      </c>
      <c r="E174" t="s">
        <v>2730</v>
      </c>
      <c r="F174" s="7" t="str">
        <f>IFERROR(INDEX(测试!H:H,MATCH(E174,测试!A:A,0)),1)</f>
        <v>-</v>
      </c>
    </row>
    <row r="175" spans="1:6" hidden="1" x14ac:dyDescent="0.3">
      <c r="A175" t="s">
        <v>2983</v>
      </c>
      <c r="B175" t="s">
        <v>2731</v>
      </c>
      <c r="C175" t="s">
        <v>2732</v>
      </c>
      <c r="D175" t="s">
        <v>3762</v>
      </c>
      <c r="E175" t="s">
        <v>2734</v>
      </c>
      <c r="F175" s="7" t="str">
        <f>IFERROR(INDEX(测试!H:H,MATCH(E175,测试!A:A,0)),1)</f>
        <v>-</v>
      </c>
    </row>
    <row r="176" spans="1:6" hidden="1" x14ac:dyDescent="0.3">
      <c r="A176" t="s">
        <v>2983</v>
      </c>
      <c r="B176" t="s">
        <v>2735</v>
      </c>
      <c r="C176" t="s">
        <v>2736</v>
      </c>
      <c r="D176" t="s">
        <v>3763</v>
      </c>
      <c r="E176" t="s">
        <v>2738</v>
      </c>
      <c r="F176" s="7" t="str">
        <f>IFERROR(INDEX(测试!H:H,MATCH(E176,测试!A:A,0)),1)</f>
        <v>-</v>
      </c>
    </row>
    <row r="177" spans="1:6" hidden="1" x14ac:dyDescent="0.3">
      <c r="A177" t="s">
        <v>2983</v>
      </c>
      <c r="B177" t="s">
        <v>2739</v>
      </c>
      <c r="C177" t="s">
        <v>2740</v>
      </c>
      <c r="D177" t="s">
        <v>3764</v>
      </c>
      <c r="E177" t="s">
        <v>2742</v>
      </c>
      <c r="F177" s="7" t="str">
        <f>IFERROR(INDEX(测试!H:H,MATCH(E177,测试!A:A,0)),1)</f>
        <v>-</v>
      </c>
    </row>
    <row r="178" spans="1:6" hidden="1" x14ac:dyDescent="0.3">
      <c r="A178" t="s">
        <v>2983</v>
      </c>
      <c r="B178" t="s">
        <v>2743</v>
      </c>
      <c r="C178" t="s">
        <v>2744</v>
      </c>
      <c r="D178" t="s">
        <v>3765</v>
      </c>
      <c r="E178" t="s">
        <v>2746</v>
      </c>
      <c r="F178" s="7" t="str">
        <f>IFERROR(INDEX(测试!H:H,MATCH(E178,测试!A:A,0)),1)</f>
        <v>-</v>
      </c>
    </row>
    <row r="179" spans="1:6" hidden="1" x14ac:dyDescent="0.3">
      <c r="A179" t="s">
        <v>2983</v>
      </c>
      <c r="B179" t="s">
        <v>2747</v>
      </c>
      <c r="C179" t="s">
        <v>2748</v>
      </c>
      <c r="D179" t="s">
        <v>3766</v>
      </c>
      <c r="E179" t="s">
        <v>2750</v>
      </c>
      <c r="F179" s="7" t="str">
        <f>IFERROR(INDEX(测试!H:H,MATCH(E179,测试!A:A,0)),1)</f>
        <v>-</v>
      </c>
    </row>
    <row r="180" spans="1:6" hidden="1" x14ac:dyDescent="0.3">
      <c r="A180" t="s">
        <v>2983</v>
      </c>
      <c r="B180" t="s">
        <v>2751</v>
      </c>
      <c r="C180" t="s">
        <v>2752</v>
      </c>
      <c r="D180" t="s">
        <v>3767</v>
      </c>
      <c r="E180" t="s">
        <v>2754</v>
      </c>
      <c r="F180" s="7" t="str">
        <f>IFERROR(INDEX(测试!H:H,MATCH(E180,测试!A:A,0)),1)</f>
        <v>-</v>
      </c>
    </row>
    <row r="181" spans="1:6" hidden="1" x14ac:dyDescent="0.3">
      <c r="A181" t="s">
        <v>2983</v>
      </c>
      <c r="B181" t="s">
        <v>2755</v>
      </c>
      <c r="C181" t="s">
        <v>2756</v>
      </c>
      <c r="D181" t="s">
        <v>3768</v>
      </c>
      <c r="E181" t="s">
        <v>2758</v>
      </c>
      <c r="F181" s="7" t="str">
        <f>IFERROR(INDEX(测试!H:H,MATCH(E181,测试!A:A,0)),1)</f>
        <v>-</v>
      </c>
    </row>
    <row r="182" spans="1:6" hidden="1" x14ac:dyDescent="0.3">
      <c r="A182" t="s">
        <v>2983</v>
      </c>
      <c r="B182" t="s">
        <v>2759</v>
      </c>
      <c r="C182" t="s">
        <v>2760</v>
      </c>
      <c r="D182" t="s">
        <v>3769</v>
      </c>
      <c r="E182" t="s">
        <v>2762</v>
      </c>
      <c r="F182" s="7" t="str">
        <f>IFERROR(INDEX(测试!H:H,MATCH(E182,测试!A:A,0)),1)</f>
        <v>-</v>
      </c>
    </row>
    <row r="183" spans="1:6" hidden="1" x14ac:dyDescent="0.3">
      <c r="A183" t="s">
        <v>2983</v>
      </c>
      <c r="B183" t="s">
        <v>2763</v>
      </c>
      <c r="C183" t="s">
        <v>2764</v>
      </c>
      <c r="D183" t="s">
        <v>3770</v>
      </c>
      <c r="E183" t="s">
        <v>2766</v>
      </c>
      <c r="F183" s="7" t="str">
        <f>IFERROR(INDEX(测试!H:H,MATCH(E183,测试!A:A,0)),1)</f>
        <v>-</v>
      </c>
    </row>
    <row r="184" spans="1:6" hidden="1" x14ac:dyDescent="0.3">
      <c r="A184" t="s">
        <v>2983</v>
      </c>
      <c r="B184" t="s">
        <v>2767</v>
      </c>
      <c r="C184" t="s">
        <v>2768</v>
      </c>
      <c r="D184" t="s">
        <v>3771</v>
      </c>
      <c r="E184" t="s">
        <v>2770</v>
      </c>
      <c r="F184" s="7" t="str">
        <f>IFERROR(INDEX(测试!H:H,MATCH(E184,测试!A:A,0)),1)</f>
        <v>-</v>
      </c>
    </row>
    <row r="185" spans="1:6" hidden="1" x14ac:dyDescent="0.3">
      <c r="A185" t="s">
        <v>2983</v>
      </c>
      <c r="B185" t="s">
        <v>2771</v>
      </c>
      <c r="C185" t="s">
        <v>2772</v>
      </c>
      <c r="D185" t="s">
        <v>3772</v>
      </c>
      <c r="E185" t="s">
        <v>2774</v>
      </c>
      <c r="F185" s="7" t="str">
        <f>IFERROR(INDEX(测试!H:H,MATCH(E185,测试!A:A,0)),1)</f>
        <v>-</v>
      </c>
    </row>
    <row r="186" spans="1:6" hidden="1" x14ac:dyDescent="0.3">
      <c r="A186" t="s">
        <v>2983</v>
      </c>
      <c r="B186" t="s">
        <v>2775</v>
      </c>
      <c r="C186" t="s">
        <v>2776</v>
      </c>
      <c r="D186" t="s">
        <v>3773</v>
      </c>
      <c r="E186" t="s">
        <v>2778</v>
      </c>
      <c r="F186" s="7" t="str">
        <f>IFERROR(INDEX(测试!H:H,MATCH(E186,测试!A:A,0)),1)</f>
        <v>-</v>
      </c>
    </row>
    <row r="187" spans="1:6" hidden="1" x14ac:dyDescent="0.3">
      <c r="A187" t="s">
        <v>2983</v>
      </c>
      <c r="B187" t="s">
        <v>2779</v>
      </c>
      <c r="C187" t="s">
        <v>2780</v>
      </c>
      <c r="D187" t="s">
        <v>3774</v>
      </c>
      <c r="E187" t="s">
        <v>2782</v>
      </c>
      <c r="F187" s="7" t="str">
        <f>IFERROR(INDEX(测试!H:H,MATCH(E187,测试!A:A,0)),1)</f>
        <v>-</v>
      </c>
    </row>
    <row r="188" spans="1:6" hidden="1" x14ac:dyDescent="0.3">
      <c r="A188" t="s">
        <v>2983</v>
      </c>
      <c r="B188" t="s">
        <v>2783</v>
      </c>
      <c r="C188" t="s">
        <v>2784</v>
      </c>
      <c r="D188" t="s">
        <v>3775</v>
      </c>
      <c r="E188" t="s">
        <v>2786</v>
      </c>
      <c r="F188" s="7" t="str">
        <f>IFERROR(INDEX(测试!H:H,MATCH(E188,测试!A:A,0)),1)</f>
        <v>-</v>
      </c>
    </row>
    <row r="189" spans="1:6" hidden="1" x14ac:dyDescent="0.3">
      <c r="A189" t="s">
        <v>2983</v>
      </c>
      <c r="B189" t="s">
        <v>2787</v>
      </c>
      <c r="C189" t="s">
        <v>2788</v>
      </c>
      <c r="D189" t="s">
        <v>3776</v>
      </c>
      <c r="E189" t="s">
        <v>3054</v>
      </c>
      <c r="F189" s="7" t="str">
        <f>IFERROR(INDEX(测试!H:H,MATCH(E189,测试!A:A,0)),1)</f>
        <v>-</v>
      </c>
    </row>
    <row r="190" spans="1:6" hidden="1" x14ac:dyDescent="0.3">
      <c r="A190" t="s">
        <v>2983</v>
      </c>
      <c r="B190" t="s">
        <v>2790</v>
      </c>
      <c r="C190" t="s">
        <v>2791</v>
      </c>
      <c r="D190" t="s">
        <v>3777</v>
      </c>
      <c r="E190" t="s">
        <v>2793</v>
      </c>
      <c r="F190" s="7" t="str">
        <f>IFERROR(INDEX(测试!H:H,MATCH(E190,测试!A:A,0)),1)</f>
        <v>-</v>
      </c>
    </row>
    <row r="191" spans="1:6" hidden="1" x14ac:dyDescent="0.3">
      <c r="A191" t="s">
        <v>2983</v>
      </c>
      <c r="B191" t="s">
        <v>2794</v>
      </c>
      <c r="C191" t="s">
        <v>2795</v>
      </c>
      <c r="D191" t="s">
        <v>3778</v>
      </c>
      <c r="E191" t="s">
        <v>3055</v>
      </c>
      <c r="F191" s="7" t="str">
        <f>IFERROR(INDEX(测试!H:H,MATCH(E191,测试!A:A,0)),1)</f>
        <v>-</v>
      </c>
    </row>
    <row r="192" spans="1:6" hidden="1" x14ac:dyDescent="0.3">
      <c r="A192" t="s">
        <v>2983</v>
      </c>
      <c r="B192" t="s">
        <v>2797</v>
      </c>
      <c r="C192" t="s">
        <v>2798</v>
      </c>
      <c r="D192" t="s">
        <v>3779</v>
      </c>
      <c r="E192" t="s">
        <v>2800</v>
      </c>
      <c r="F192" s="7" t="str">
        <f>IFERROR(INDEX(测试!H:H,MATCH(E192,测试!A:A,0)),1)</f>
        <v>-</v>
      </c>
    </row>
    <row r="193" spans="1:6" hidden="1" x14ac:dyDescent="0.3">
      <c r="A193" t="s">
        <v>2983</v>
      </c>
      <c r="B193" t="s">
        <v>2801</v>
      </c>
      <c r="C193" t="s">
        <v>2802</v>
      </c>
      <c r="D193" t="s">
        <v>3780</v>
      </c>
      <c r="E193" t="s">
        <v>2804</v>
      </c>
      <c r="F193" s="7" t="str">
        <f>IFERROR(INDEX(测试!H:H,MATCH(E193,测试!A:A,0)),1)</f>
        <v>-</v>
      </c>
    </row>
    <row r="194" spans="1:6" hidden="1" x14ac:dyDescent="0.3">
      <c r="A194" t="s">
        <v>2983</v>
      </c>
      <c r="B194" t="s">
        <v>2805</v>
      </c>
      <c r="C194" t="s">
        <v>2806</v>
      </c>
      <c r="D194" t="s">
        <v>3781</v>
      </c>
      <c r="E194" t="s">
        <v>2808</v>
      </c>
      <c r="F194" s="7" t="str">
        <f>IFERROR(INDEX(测试!H:H,MATCH(E194,测试!A:A,0)),1)</f>
        <v>-</v>
      </c>
    </row>
    <row r="195" spans="1:6" hidden="1" x14ac:dyDescent="0.3">
      <c r="A195" t="s">
        <v>2983</v>
      </c>
      <c r="B195" t="s">
        <v>2809</v>
      </c>
      <c r="C195" t="s">
        <v>2810</v>
      </c>
      <c r="D195" t="s">
        <v>3782</v>
      </c>
      <c r="E195" t="s">
        <v>3056</v>
      </c>
      <c r="F195" s="7" t="str">
        <f>IFERROR(INDEX(测试!H:H,MATCH(E195,测试!A:A,0)),1)</f>
        <v>-</v>
      </c>
    </row>
    <row r="196" spans="1:6" hidden="1" x14ac:dyDescent="0.3">
      <c r="A196" t="s">
        <v>2983</v>
      </c>
      <c r="B196" t="s">
        <v>2812</v>
      </c>
      <c r="C196" t="s">
        <v>2813</v>
      </c>
      <c r="D196" t="s">
        <v>3783</v>
      </c>
      <c r="E196" t="s">
        <v>2815</v>
      </c>
      <c r="F196" s="7" t="str">
        <f>IFERROR(INDEX(测试!H:H,MATCH(E196,测试!A:A,0)),1)</f>
        <v>-</v>
      </c>
    </row>
    <row r="197" spans="1:6" hidden="1" x14ac:dyDescent="0.3">
      <c r="A197" t="s">
        <v>2983</v>
      </c>
      <c r="B197" t="s">
        <v>2816</v>
      </c>
      <c r="C197" t="s">
        <v>2817</v>
      </c>
      <c r="D197" t="s">
        <v>3784</v>
      </c>
      <c r="E197" t="s">
        <v>2819</v>
      </c>
      <c r="F197" s="7" t="str">
        <f>IFERROR(INDEX(测试!H:H,MATCH(E197,测试!A:A,0)),1)</f>
        <v>-</v>
      </c>
    </row>
    <row r="198" spans="1:6" hidden="1" x14ac:dyDescent="0.3">
      <c r="A198" t="s">
        <v>2983</v>
      </c>
      <c r="B198" t="s">
        <v>2820</v>
      </c>
      <c r="C198" t="s">
        <v>2821</v>
      </c>
      <c r="D198" t="s">
        <v>3785</v>
      </c>
      <c r="E198" t="s">
        <v>2823</v>
      </c>
      <c r="F198" s="7" t="str">
        <f>IFERROR(INDEX(测试!H:H,MATCH(E198,测试!A:A,0)),1)</f>
        <v>-</v>
      </c>
    </row>
    <row r="199" spans="1:6" hidden="1" x14ac:dyDescent="0.3">
      <c r="A199" t="s">
        <v>2983</v>
      </c>
      <c r="B199" t="s">
        <v>2824</v>
      </c>
      <c r="C199" t="s">
        <v>2825</v>
      </c>
      <c r="D199" t="s">
        <v>3786</v>
      </c>
      <c r="E199" t="s">
        <v>2827</v>
      </c>
      <c r="F199" s="7" t="str">
        <f>IFERROR(INDEX(测试!H:H,MATCH(E199,测试!A:A,0)),1)</f>
        <v>-</v>
      </c>
    </row>
    <row r="200" spans="1:6" hidden="1" x14ac:dyDescent="0.3">
      <c r="A200" t="s">
        <v>2983</v>
      </c>
      <c r="B200" t="s">
        <v>2828</v>
      </c>
      <c r="C200" t="s">
        <v>2829</v>
      </c>
      <c r="D200" t="s">
        <v>3787</v>
      </c>
      <c r="E200" t="s">
        <v>2831</v>
      </c>
      <c r="F200" s="7" t="str">
        <f>IFERROR(INDEX(测试!H:H,MATCH(E200,测试!A:A,0)),1)</f>
        <v>-</v>
      </c>
    </row>
    <row r="201" spans="1:6" hidden="1" x14ac:dyDescent="0.3">
      <c r="A201" t="s">
        <v>2983</v>
      </c>
      <c r="B201" t="s">
        <v>2832</v>
      </c>
      <c r="C201" t="s">
        <v>2833</v>
      </c>
      <c r="D201" t="s">
        <v>3788</v>
      </c>
      <c r="E201" t="s">
        <v>2835</v>
      </c>
      <c r="F201" s="7" t="str">
        <f>IFERROR(INDEX(测试!H:H,MATCH(E201,测试!A:A,0)),1)</f>
        <v>-</v>
      </c>
    </row>
    <row r="202" spans="1:6" hidden="1" x14ac:dyDescent="0.3">
      <c r="A202" t="s">
        <v>2983</v>
      </c>
      <c r="B202" t="s">
        <v>2836</v>
      </c>
      <c r="C202" t="s">
        <v>2837</v>
      </c>
      <c r="D202" t="s">
        <v>3789</v>
      </c>
      <c r="E202" t="s">
        <v>2839</v>
      </c>
      <c r="F202" s="7" t="str">
        <f>IFERROR(INDEX(测试!H:H,MATCH(E202,测试!A:A,0)),1)</f>
        <v>-</v>
      </c>
    </row>
    <row r="203" spans="1:6" hidden="1" x14ac:dyDescent="0.3">
      <c r="A203" t="s">
        <v>2983</v>
      </c>
      <c r="B203" t="s">
        <v>2840</v>
      </c>
      <c r="C203" t="s">
        <v>2841</v>
      </c>
      <c r="D203" t="s">
        <v>3790</v>
      </c>
      <c r="E203" t="s">
        <v>2843</v>
      </c>
      <c r="F203" s="7" t="str">
        <f>IFERROR(INDEX(测试!H:H,MATCH(E203,测试!A:A,0)),1)</f>
        <v>-</v>
      </c>
    </row>
    <row r="204" spans="1:6" hidden="1" x14ac:dyDescent="0.3">
      <c r="A204" t="s">
        <v>2983</v>
      </c>
      <c r="B204" t="s">
        <v>2844</v>
      </c>
      <c r="C204" t="s">
        <v>2845</v>
      </c>
      <c r="D204" t="s">
        <v>3791</v>
      </c>
      <c r="E204" t="s">
        <v>2847</v>
      </c>
      <c r="F204" s="7" t="str">
        <f>IFERROR(INDEX(测试!H:H,MATCH(E204,测试!A:A,0)),1)</f>
        <v>-</v>
      </c>
    </row>
    <row r="205" spans="1:6" hidden="1" x14ac:dyDescent="0.3">
      <c r="A205" t="s">
        <v>2983</v>
      </c>
      <c r="B205" t="s">
        <v>2848</v>
      </c>
      <c r="C205" t="s">
        <v>2849</v>
      </c>
      <c r="D205" t="s">
        <v>3792</v>
      </c>
      <c r="E205" t="s">
        <v>2851</v>
      </c>
      <c r="F205" s="7" t="str">
        <f>IFERROR(INDEX(测试!H:H,MATCH(E205,测试!A:A,0)),1)</f>
        <v>-</v>
      </c>
    </row>
    <row r="206" spans="1:6" hidden="1" x14ac:dyDescent="0.3">
      <c r="A206" t="s">
        <v>2983</v>
      </c>
      <c r="B206" t="s">
        <v>2852</v>
      </c>
      <c r="C206" t="s">
        <v>2853</v>
      </c>
      <c r="D206" t="s">
        <v>3793</v>
      </c>
      <c r="E206" t="s">
        <v>2855</v>
      </c>
      <c r="F206" s="7" t="str">
        <f>IFERROR(INDEX(测试!H:H,MATCH(E206,测试!A:A,0)),1)</f>
        <v>-</v>
      </c>
    </row>
    <row r="207" spans="1:6" hidden="1" x14ac:dyDescent="0.3">
      <c r="A207" t="s">
        <v>2983</v>
      </c>
      <c r="B207" t="s">
        <v>2856</v>
      </c>
      <c r="C207" t="s">
        <v>2857</v>
      </c>
      <c r="D207" t="s">
        <v>3794</v>
      </c>
      <c r="E207" t="s">
        <v>2859</v>
      </c>
      <c r="F207" s="7" t="str">
        <f>IFERROR(INDEX(测试!H:H,MATCH(E207,测试!A:A,0)),1)</f>
        <v>-</v>
      </c>
    </row>
    <row r="208" spans="1:6" hidden="1" x14ac:dyDescent="0.3">
      <c r="A208" t="s">
        <v>2983</v>
      </c>
      <c r="B208" t="s">
        <v>2860</v>
      </c>
      <c r="C208" t="s">
        <v>2861</v>
      </c>
      <c r="D208" t="s">
        <v>3795</v>
      </c>
      <c r="E208" t="s">
        <v>2863</v>
      </c>
      <c r="F208" s="7" t="str">
        <f>IFERROR(INDEX(测试!H:H,MATCH(E208,测试!A:A,0)),1)</f>
        <v>-</v>
      </c>
    </row>
    <row r="209" spans="1:6" hidden="1" x14ac:dyDescent="0.3">
      <c r="A209" t="s">
        <v>2983</v>
      </c>
      <c r="B209" t="s">
        <v>2864</v>
      </c>
      <c r="C209" t="s">
        <v>2865</v>
      </c>
      <c r="D209" t="s">
        <v>3796</v>
      </c>
      <c r="E209" t="s">
        <v>2867</v>
      </c>
      <c r="F209" s="7" t="str">
        <f>IFERROR(INDEX(测试!H:H,MATCH(E209,测试!A:A,0)),1)</f>
        <v>-</v>
      </c>
    </row>
    <row r="210" spans="1:6" hidden="1" x14ac:dyDescent="0.3">
      <c r="A210" t="s">
        <v>2983</v>
      </c>
      <c r="B210" t="s">
        <v>2868</v>
      </c>
      <c r="C210" t="s">
        <v>2869</v>
      </c>
      <c r="D210" t="s">
        <v>3797</v>
      </c>
      <c r="E210" t="s">
        <v>2871</v>
      </c>
      <c r="F210" s="7" t="str">
        <f>IFERROR(INDEX(测试!H:H,MATCH(E210,测试!A:A,0)),1)</f>
        <v>-</v>
      </c>
    </row>
    <row r="211" spans="1:6" hidden="1" x14ac:dyDescent="0.3">
      <c r="A211" t="s">
        <v>2983</v>
      </c>
      <c r="B211" t="s">
        <v>2872</v>
      </c>
      <c r="C211" t="s">
        <v>2873</v>
      </c>
      <c r="D211" t="s">
        <v>3798</v>
      </c>
      <c r="E211" t="s">
        <v>2875</v>
      </c>
      <c r="F211" s="7" t="str">
        <f>IFERROR(INDEX(测试!H:H,MATCH(E211,测试!A:A,0)),1)</f>
        <v>-</v>
      </c>
    </row>
    <row r="212" spans="1:6" hidden="1" x14ac:dyDescent="0.3">
      <c r="A212" t="s">
        <v>2983</v>
      </c>
      <c r="B212" t="s">
        <v>2876</v>
      </c>
      <c r="C212" t="s">
        <v>2877</v>
      </c>
      <c r="D212" t="s">
        <v>3799</v>
      </c>
      <c r="E212" t="s">
        <v>2879</v>
      </c>
      <c r="F212" s="7" t="str">
        <f>IFERROR(INDEX(测试!H:H,MATCH(E212,测试!A:A,0)),1)</f>
        <v>-</v>
      </c>
    </row>
    <row r="213" spans="1:6" hidden="1" x14ac:dyDescent="0.3">
      <c r="A213" t="s">
        <v>2983</v>
      </c>
      <c r="B213" t="s">
        <v>2880</v>
      </c>
      <c r="C213" t="s">
        <v>2881</v>
      </c>
      <c r="D213" t="s">
        <v>3800</v>
      </c>
      <c r="E213" t="s">
        <v>2883</v>
      </c>
      <c r="F213" s="7" t="str">
        <f>IFERROR(INDEX(测试!H:H,MATCH(E213,测试!A:A,0)),1)</f>
        <v>-</v>
      </c>
    </row>
    <row r="214" spans="1:6" hidden="1" x14ac:dyDescent="0.3">
      <c r="A214" t="s">
        <v>2983</v>
      </c>
      <c r="B214" t="s">
        <v>2884</v>
      </c>
      <c r="C214" t="s">
        <v>2885</v>
      </c>
      <c r="D214" t="s">
        <v>3801</v>
      </c>
      <c r="E214" t="s">
        <v>2887</v>
      </c>
      <c r="F214" s="7" t="str">
        <f>IFERROR(INDEX(测试!H:H,MATCH(E214,测试!A:A,0)),1)</f>
        <v>-</v>
      </c>
    </row>
    <row r="215" spans="1:6" hidden="1" x14ac:dyDescent="0.3">
      <c r="A215" t="s">
        <v>2983</v>
      </c>
      <c r="B215" t="s">
        <v>2888</v>
      </c>
      <c r="C215" t="s">
        <v>2889</v>
      </c>
      <c r="D215" t="s">
        <v>3802</v>
      </c>
      <c r="E215" t="s">
        <v>2891</v>
      </c>
      <c r="F215" s="7" t="str">
        <f>IFERROR(INDEX(测试!H:H,MATCH(E215,测试!A:A,0)),1)</f>
        <v>-</v>
      </c>
    </row>
    <row r="216" spans="1:6" hidden="1" x14ac:dyDescent="0.3">
      <c r="A216" t="s">
        <v>2983</v>
      </c>
      <c r="B216" t="s">
        <v>2892</v>
      </c>
      <c r="C216" t="s">
        <v>2893</v>
      </c>
      <c r="D216" t="s">
        <v>3803</v>
      </c>
      <c r="E216" t="s">
        <v>2895</v>
      </c>
      <c r="F216" s="7" t="str">
        <f>IFERROR(INDEX(测试!H:H,MATCH(E216,测试!A:A,0)),1)</f>
        <v>-</v>
      </c>
    </row>
    <row r="217" spans="1:6" hidden="1" x14ac:dyDescent="0.3">
      <c r="A217" t="s">
        <v>2983</v>
      </c>
      <c r="B217" t="s">
        <v>2896</v>
      </c>
      <c r="C217" t="s">
        <v>2897</v>
      </c>
      <c r="D217" t="s">
        <v>3804</v>
      </c>
      <c r="E217" t="s">
        <v>2899</v>
      </c>
      <c r="F217" s="7" t="str">
        <f>IFERROR(INDEX(测试!H:H,MATCH(E217,测试!A:A,0)),1)</f>
        <v>-</v>
      </c>
    </row>
    <row r="218" spans="1:6" hidden="1" x14ac:dyDescent="0.3">
      <c r="A218" t="s">
        <v>2982</v>
      </c>
      <c r="B218" t="s">
        <v>4423</v>
      </c>
      <c r="C218" t="s">
        <v>2119</v>
      </c>
      <c r="D218" t="s">
        <v>3606</v>
      </c>
      <c r="E218" t="s">
        <v>2121</v>
      </c>
      <c r="F218" s="7" t="str">
        <f>IFERROR(INDEX(测试!H:H,MATCH(E218,测试!A:A,0)),1)</f>
        <v>文件名错误</v>
      </c>
    </row>
    <row r="219" spans="1:6" hidden="1" x14ac:dyDescent="0.3">
      <c r="A219" t="s">
        <v>2982</v>
      </c>
      <c r="B219" t="s">
        <v>2122</v>
      </c>
      <c r="C219" t="s">
        <v>2123</v>
      </c>
      <c r="D219" t="s">
        <v>3607</v>
      </c>
      <c r="E219" t="s">
        <v>2125</v>
      </c>
      <c r="F219" s="7" t="str">
        <f>IFERROR(INDEX(测试!H:H,MATCH(E219,测试!A:A,0)),1)</f>
        <v>-</v>
      </c>
    </row>
    <row r="220" spans="1:6" hidden="1" x14ac:dyDescent="0.3">
      <c r="A220" t="s">
        <v>2982</v>
      </c>
      <c r="B220" t="s">
        <v>2126</v>
      </c>
      <c r="C220" t="s">
        <v>2127</v>
      </c>
      <c r="D220" t="s">
        <v>3608</v>
      </c>
      <c r="E220" t="s">
        <v>2129</v>
      </c>
      <c r="F220" s="7" t="str">
        <f>IFERROR(INDEX(测试!H:H,MATCH(E220,测试!A:A,0)),1)</f>
        <v>-</v>
      </c>
    </row>
    <row r="221" spans="1:6" hidden="1" x14ac:dyDescent="0.3">
      <c r="A221" t="s">
        <v>2982</v>
      </c>
      <c r="B221" t="s">
        <v>2130</v>
      </c>
      <c r="C221" t="s">
        <v>2131</v>
      </c>
      <c r="D221" t="s">
        <v>3609</v>
      </c>
      <c r="E221" t="s">
        <v>2133</v>
      </c>
      <c r="F221" s="7" t="str">
        <f>IFERROR(INDEX(测试!H:H,MATCH(E221,测试!A:A,0)),1)</f>
        <v>-</v>
      </c>
    </row>
    <row r="222" spans="1:6" hidden="1" x14ac:dyDescent="0.3">
      <c r="A222" t="s">
        <v>2982</v>
      </c>
      <c r="B222" t="s">
        <v>2134</v>
      </c>
      <c r="C222" t="s">
        <v>2135</v>
      </c>
      <c r="D222" t="s">
        <v>3610</v>
      </c>
      <c r="E222" t="s">
        <v>2137</v>
      </c>
      <c r="F222" s="7" t="str">
        <f>IFERROR(INDEX(测试!H:H,MATCH(E222,测试!A:A,0)),1)</f>
        <v>-</v>
      </c>
    </row>
    <row r="223" spans="1:6" hidden="1" x14ac:dyDescent="0.3">
      <c r="A223" t="s">
        <v>2982</v>
      </c>
      <c r="B223" t="s">
        <v>2138</v>
      </c>
      <c r="C223" t="s">
        <v>2139</v>
      </c>
      <c r="D223" t="s">
        <v>3611</v>
      </c>
      <c r="E223" t="s">
        <v>2141</v>
      </c>
      <c r="F223" s="7" t="str">
        <f>IFERROR(INDEX(测试!H:H,MATCH(E223,测试!A:A,0)),1)</f>
        <v>-</v>
      </c>
    </row>
    <row r="224" spans="1:6" hidden="1" x14ac:dyDescent="0.3">
      <c r="A224" t="s">
        <v>2982</v>
      </c>
      <c r="B224" t="s">
        <v>2142</v>
      </c>
      <c r="C224" t="s">
        <v>2143</v>
      </c>
      <c r="D224" t="s">
        <v>3612</v>
      </c>
      <c r="E224" t="s">
        <v>2145</v>
      </c>
      <c r="F224" s="7" t="str">
        <f>IFERROR(INDEX(测试!H:H,MATCH(E224,测试!A:A,0)),1)</f>
        <v>-</v>
      </c>
    </row>
    <row r="225" spans="1:6" hidden="1" x14ac:dyDescent="0.3">
      <c r="A225" t="s">
        <v>2982</v>
      </c>
      <c r="B225" t="s">
        <v>2146</v>
      </c>
      <c r="C225" t="s">
        <v>2147</v>
      </c>
      <c r="D225" t="s">
        <v>3613</v>
      </c>
      <c r="E225" t="s">
        <v>2149</v>
      </c>
      <c r="F225" s="7" t="str">
        <f>IFERROR(INDEX(测试!H:H,MATCH(E225,测试!A:A,0)),1)</f>
        <v>-</v>
      </c>
    </row>
    <row r="226" spans="1:6" hidden="1" x14ac:dyDescent="0.3">
      <c r="A226" t="s">
        <v>2982</v>
      </c>
      <c r="B226" t="s">
        <v>2150</v>
      </c>
      <c r="C226" t="s">
        <v>2151</v>
      </c>
      <c r="D226" t="s">
        <v>3614</v>
      </c>
      <c r="E226" t="s">
        <v>2153</v>
      </c>
      <c r="F226" s="7" t="str">
        <f>IFERROR(INDEX(测试!H:H,MATCH(E226,测试!A:A,0)),1)</f>
        <v>-</v>
      </c>
    </row>
    <row r="227" spans="1:6" hidden="1" x14ac:dyDescent="0.3">
      <c r="A227" t="s">
        <v>2982</v>
      </c>
      <c r="B227" t="s">
        <v>2154</v>
      </c>
      <c r="C227" t="s">
        <v>2155</v>
      </c>
      <c r="D227" t="s">
        <v>3615</v>
      </c>
      <c r="E227" t="s">
        <v>2157</v>
      </c>
      <c r="F227" s="7" t="str">
        <f>IFERROR(INDEX(测试!H:H,MATCH(E227,测试!A:A,0)),1)</f>
        <v>-</v>
      </c>
    </row>
    <row r="228" spans="1:6" hidden="1" x14ac:dyDescent="0.3">
      <c r="A228" t="s">
        <v>2982</v>
      </c>
      <c r="B228" t="s">
        <v>2158</v>
      </c>
      <c r="C228" t="s">
        <v>2159</v>
      </c>
      <c r="D228" t="s">
        <v>3616</v>
      </c>
      <c r="E228" t="s">
        <v>2161</v>
      </c>
      <c r="F228" s="7" t="str">
        <f>IFERROR(INDEX(测试!H:H,MATCH(E228,测试!A:A,0)),1)</f>
        <v>-</v>
      </c>
    </row>
    <row r="229" spans="1:6" hidden="1" x14ac:dyDescent="0.3">
      <c r="A229" t="s">
        <v>2982</v>
      </c>
      <c r="B229" t="s">
        <v>4424</v>
      </c>
      <c r="C229" t="s">
        <v>2163</v>
      </c>
      <c r="D229" t="s">
        <v>3617</v>
      </c>
      <c r="E229" t="s">
        <v>2165</v>
      </c>
      <c r="F229" s="7" t="str">
        <f>IFERROR(INDEX(测试!H:H,MATCH(E229,测试!A:A,0)),1)</f>
        <v>文件名错误</v>
      </c>
    </row>
    <row r="230" spans="1:6" hidden="1" x14ac:dyDescent="0.3">
      <c r="A230" t="s">
        <v>2982</v>
      </c>
      <c r="B230" t="s">
        <v>4425</v>
      </c>
      <c r="C230" t="s">
        <v>2167</v>
      </c>
      <c r="D230" t="s">
        <v>3618</v>
      </c>
      <c r="E230" t="s">
        <v>2169</v>
      </c>
      <c r="F230" s="7" t="str">
        <f>IFERROR(INDEX(测试!H:H,MATCH(E230,测试!A:A,0)),1)</f>
        <v>文件名错误</v>
      </c>
    </row>
    <row r="231" spans="1:6" hidden="1" x14ac:dyDescent="0.3">
      <c r="A231" t="s">
        <v>2982</v>
      </c>
      <c r="B231" t="s">
        <v>2170</v>
      </c>
      <c r="C231" t="s">
        <v>2171</v>
      </c>
      <c r="D231" t="s">
        <v>3619</v>
      </c>
      <c r="E231" t="s">
        <v>2173</v>
      </c>
      <c r="F231" s="7" t="str">
        <f>IFERROR(INDEX(测试!H:H,MATCH(E231,测试!A:A,0)),1)</f>
        <v>-</v>
      </c>
    </row>
    <row r="232" spans="1:6" hidden="1" x14ac:dyDescent="0.3">
      <c r="A232" t="s">
        <v>2982</v>
      </c>
      <c r="B232" t="s">
        <v>2174</v>
      </c>
      <c r="C232" t="s">
        <v>2175</v>
      </c>
      <c r="D232" t="s">
        <v>3620</v>
      </c>
      <c r="E232" t="s">
        <v>2177</v>
      </c>
      <c r="F232" s="7" t="str">
        <f>IFERROR(INDEX(测试!H:H,MATCH(E232,测试!A:A,0)),1)</f>
        <v>-</v>
      </c>
    </row>
    <row r="233" spans="1:6" hidden="1" x14ac:dyDescent="0.3">
      <c r="A233" t="s">
        <v>2982</v>
      </c>
      <c r="B233" t="s">
        <v>2178</v>
      </c>
      <c r="C233" t="s">
        <v>2179</v>
      </c>
      <c r="D233" t="s">
        <v>3621</v>
      </c>
      <c r="E233" t="s">
        <v>2181</v>
      </c>
      <c r="F233" s="7" t="str">
        <f>IFERROR(INDEX(测试!H:H,MATCH(E233,测试!A:A,0)),1)</f>
        <v>-</v>
      </c>
    </row>
    <row r="234" spans="1:6" hidden="1" x14ac:dyDescent="0.3">
      <c r="A234" t="s">
        <v>2982</v>
      </c>
      <c r="B234" t="s">
        <v>2182</v>
      </c>
      <c r="C234" t="s">
        <v>2183</v>
      </c>
      <c r="D234" t="s">
        <v>3622</v>
      </c>
      <c r="E234" t="s">
        <v>2185</v>
      </c>
      <c r="F234" s="7" t="str">
        <f>IFERROR(INDEX(测试!H:H,MATCH(E234,测试!A:A,0)),1)</f>
        <v>-</v>
      </c>
    </row>
    <row r="235" spans="1:6" hidden="1" x14ac:dyDescent="0.3">
      <c r="A235" t="s">
        <v>2982</v>
      </c>
      <c r="B235" t="s">
        <v>2186</v>
      </c>
      <c r="C235" t="s">
        <v>2187</v>
      </c>
      <c r="D235" t="s">
        <v>3623</v>
      </c>
      <c r="E235" t="s">
        <v>2189</v>
      </c>
      <c r="F235" s="7" t="str">
        <f>IFERROR(INDEX(测试!H:H,MATCH(E235,测试!A:A,0)),1)</f>
        <v>-</v>
      </c>
    </row>
    <row r="236" spans="1:6" hidden="1" x14ac:dyDescent="0.3">
      <c r="A236" t="s">
        <v>2982</v>
      </c>
      <c r="B236" t="s">
        <v>2190</v>
      </c>
      <c r="C236" t="s">
        <v>2191</v>
      </c>
      <c r="D236" t="s">
        <v>3624</v>
      </c>
      <c r="E236" t="s">
        <v>2193</v>
      </c>
      <c r="F236" s="7" t="str">
        <f>IFERROR(INDEX(测试!H:H,MATCH(E236,测试!A:A,0)),1)</f>
        <v>-</v>
      </c>
    </row>
    <row r="237" spans="1:6" hidden="1" x14ac:dyDescent="0.3">
      <c r="A237" t="s">
        <v>2982</v>
      </c>
      <c r="B237" t="s">
        <v>2194</v>
      </c>
      <c r="C237" t="s">
        <v>2195</v>
      </c>
      <c r="D237" t="s">
        <v>3625</v>
      </c>
      <c r="E237" t="s">
        <v>2197</v>
      </c>
      <c r="F237" s="7" t="str">
        <f>IFERROR(INDEX(测试!H:H,MATCH(E237,测试!A:A,0)),1)</f>
        <v>-</v>
      </c>
    </row>
    <row r="238" spans="1:6" hidden="1" x14ac:dyDescent="0.3">
      <c r="A238" t="s">
        <v>2982</v>
      </c>
      <c r="B238" t="s">
        <v>2198</v>
      </c>
      <c r="C238" t="s">
        <v>2199</v>
      </c>
      <c r="D238" t="s">
        <v>3626</v>
      </c>
      <c r="E238" t="s">
        <v>2201</v>
      </c>
      <c r="F238" s="7" t="str">
        <f>IFERROR(INDEX(测试!H:H,MATCH(E238,测试!A:A,0)),1)</f>
        <v>-</v>
      </c>
    </row>
    <row r="239" spans="1:6" hidden="1" x14ac:dyDescent="0.3">
      <c r="A239" t="s">
        <v>2982</v>
      </c>
      <c r="B239" t="s">
        <v>2202</v>
      </c>
      <c r="C239" t="s">
        <v>2203</v>
      </c>
      <c r="D239" t="s">
        <v>3627</v>
      </c>
      <c r="E239" t="s">
        <v>2205</v>
      </c>
      <c r="F239" s="7" t="str">
        <f>IFERROR(INDEX(测试!H:H,MATCH(E239,测试!A:A,0)),1)</f>
        <v>-</v>
      </c>
    </row>
    <row r="240" spans="1:6" hidden="1" x14ac:dyDescent="0.3">
      <c r="A240" t="s">
        <v>2982</v>
      </c>
      <c r="B240" t="s">
        <v>2206</v>
      </c>
      <c r="C240" t="s">
        <v>2207</v>
      </c>
      <c r="D240" t="s">
        <v>3628</v>
      </c>
      <c r="E240" t="s">
        <v>2209</v>
      </c>
      <c r="F240" s="7" t="str">
        <f>IFERROR(INDEX(测试!H:H,MATCH(E240,测试!A:A,0)),1)</f>
        <v>-</v>
      </c>
    </row>
    <row r="241" spans="1:6" hidden="1" x14ac:dyDescent="0.3">
      <c r="A241" t="s">
        <v>2982</v>
      </c>
      <c r="B241" t="s">
        <v>2210</v>
      </c>
      <c r="C241" t="s">
        <v>2211</v>
      </c>
      <c r="D241" t="s">
        <v>3629</v>
      </c>
      <c r="E241" t="s">
        <v>2213</v>
      </c>
      <c r="F241" s="7" t="str">
        <f>IFERROR(INDEX(测试!H:H,MATCH(E241,测试!A:A,0)),1)</f>
        <v>-</v>
      </c>
    </row>
    <row r="242" spans="1:6" hidden="1" x14ac:dyDescent="0.3">
      <c r="A242" t="s">
        <v>2982</v>
      </c>
      <c r="B242" t="s">
        <v>2214</v>
      </c>
      <c r="C242" t="s">
        <v>2215</v>
      </c>
      <c r="D242" t="s">
        <v>3630</v>
      </c>
      <c r="E242" t="s">
        <v>2217</v>
      </c>
      <c r="F242" s="7" t="str">
        <f>IFERROR(INDEX(测试!H:H,MATCH(E242,测试!A:A,0)),1)</f>
        <v>-</v>
      </c>
    </row>
    <row r="243" spans="1:6" hidden="1" x14ac:dyDescent="0.3">
      <c r="A243" t="s">
        <v>2982</v>
      </c>
      <c r="B243" t="s">
        <v>2218</v>
      </c>
      <c r="C243" t="s">
        <v>2219</v>
      </c>
      <c r="D243" t="s">
        <v>3631</v>
      </c>
      <c r="E243" t="s">
        <v>3057</v>
      </c>
      <c r="F243" s="7" t="str">
        <f>IFERROR(INDEX(测试!H:H,MATCH(E243,测试!A:A,0)),1)</f>
        <v>-</v>
      </c>
    </row>
    <row r="244" spans="1:6" hidden="1" x14ac:dyDescent="0.3">
      <c r="A244" t="s">
        <v>2982</v>
      </c>
      <c r="B244" t="s">
        <v>2221</v>
      </c>
      <c r="C244" t="s">
        <v>2222</v>
      </c>
      <c r="D244" t="s">
        <v>3632</v>
      </c>
      <c r="E244" t="s">
        <v>2224</v>
      </c>
      <c r="F244" s="7" t="str">
        <f>IFERROR(INDEX(测试!H:H,MATCH(E244,测试!A:A,0)),1)</f>
        <v>-</v>
      </c>
    </row>
    <row r="245" spans="1:6" hidden="1" x14ac:dyDescent="0.3">
      <c r="A245" t="s">
        <v>2982</v>
      </c>
      <c r="B245" t="s">
        <v>2225</v>
      </c>
      <c r="C245" t="s">
        <v>2226</v>
      </c>
      <c r="D245" t="s">
        <v>3633</v>
      </c>
      <c r="E245" t="s">
        <v>2228</v>
      </c>
      <c r="F245" s="7" t="str">
        <f>IFERROR(INDEX(测试!H:H,MATCH(E245,测试!A:A,0)),1)</f>
        <v>-</v>
      </c>
    </row>
    <row r="246" spans="1:6" hidden="1" x14ac:dyDescent="0.3">
      <c r="A246" t="s">
        <v>2982</v>
      </c>
      <c r="B246" t="s">
        <v>2229</v>
      </c>
      <c r="C246" t="s">
        <v>2230</v>
      </c>
      <c r="D246" t="s">
        <v>3634</v>
      </c>
      <c r="E246" t="s">
        <v>2232</v>
      </c>
      <c r="F246" s="7" t="str">
        <f>IFERROR(INDEX(测试!H:H,MATCH(E246,测试!A:A,0)),1)</f>
        <v>-</v>
      </c>
    </row>
    <row r="247" spans="1:6" hidden="1" x14ac:dyDescent="0.3">
      <c r="A247" t="s">
        <v>2982</v>
      </c>
      <c r="B247" t="s">
        <v>2233</v>
      </c>
      <c r="C247" t="s">
        <v>2234</v>
      </c>
      <c r="D247" t="s">
        <v>3635</v>
      </c>
      <c r="E247" t="s">
        <v>2236</v>
      </c>
      <c r="F247" s="7" t="str">
        <f>IFERROR(INDEX(测试!H:H,MATCH(E247,测试!A:A,0)),1)</f>
        <v>-</v>
      </c>
    </row>
    <row r="248" spans="1:6" hidden="1" x14ac:dyDescent="0.3">
      <c r="A248" t="s">
        <v>2982</v>
      </c>
      <c r="B248" t="s">
        <v>2237</v>
      </c>
      <c r="C248" t="s">
        <v>2238</v>
      </c>
      <c r="D248" t="s">
        <v>3636</v>
      </c>
      <c r="E248" t="s">
        <v>2240</v>
      </c>
      <c r="F248" s="7" t="str">
        <f>IFERROR(INDEX(测试!H:H,MATCH(E248,测试!A:A,0)),1)</f>
        <v>-</v>
      </c>
    </row>
    <row r="249" spans="1:6" hidden="1" x14ac:dyDescent="0.3">
      <c r="A249" t="s">
        <v>2982</v>
      </c>
      <c r="B249" t="s">
        <v>2241</v>
      </c>
      <c r="C249" t="s">
        <v>2242</v>
      </c>
      <c r="D249" t="s">
        <v>3637</v>
      </c>
      <c r="E249" t="s">
        <v>2244</v>
      </c>
      <c r="F249" s="7" t="str">
        <f>IFERROR(INDEX(测试!H:H,MATCH(E249,测试!A:A,0)),1)</f>
        <v>-</v>
      </c>
    </row>
    <row r="250" spans="1:6" hidden="1" x14ac:dyDescent="0.3">
      <c r="A250" t="s">
        <v>2982</v>
      </c>
      <c r="B250" t="s">
        <v>2245</v>
      </c>
      <c r="C250" t="s">
        <v>2246</v>
      </c>
      <c r="D250" t="s">
        <v>3638</v>
      </c>
      <c r="E250" t="s">
        <v>2248</v>
      </c>
      <c r="F250" s="7" t="str">
        <f>IFERROR(INDEX(测试!H:H,MATCH(E250,测试!A:A,0)),1)</f>
        <v>-</v>
      </c>
    </row>
    <row r="251" spans="1:6" hidden="1" x14ac:dyDescent="0.3">
      <c r="A251" t="s">
        <v>2982</v>
      </c>
      <c r="B251" t="s">
        <v>2249</v>
      </c>
      <c r="C251" t="s">
        <v>2250</v>
      </c>
      <c r="D251" t="s">
        <v>3639</v>
      </c>
      <c r="E251" t="s">
        <v>2252</v>
      </c>
      <c r="F251" s="7" t="str">
        <f>IFERROR(INDEX(测试!H:H,MATCH(E251,测试!A:A,0)),1)</f>
        <v>-</v>
      </c>
    </row>
    <row r="252" spans="1:6" hidden="1" x14ac:dyDescent="0.3">
      <c r="A252" t="s">
        <v>2982</v>
      </c>
      <c r="B252" t="s">
        <v>2253</v>
      </c>
      <c r="C252" t="s">
        <v>2254</v>
      </c>
      <c r="D252" t="s">
        <v>3640</v>
      </c>
      <c r="E252" t="s">
        <v>2256</v>
      </c>
      <c r="F252" s="7" t="str">
        <f>IFERROR(INDEX(测试!H:H,MATCH(E252,测试!A:A,0)),1)</f>
        <v>-</v>
      </c>
    </row>
    <row r="253" spans="1:6" hidden="1" x14ac:dyDescent="0.3">
      <c r="A253" t="s">
        <v>2982</v>
      </c>
      <c r="B253" t="s">
        <v>2257</v>
      </c>
      <c r="C253" t="s">
        <v>2258</v>
      </c>
      <c r="D253" t="s">
        <v>3641</v>
      </c>
      <c r="E253" t="s">
        <v>2260</v>
      </c>
      <c r="F253" s="7" t="str">
        <f>IFERROR(INDEX(测试!H:H,MATCH(E253,测试!A:A,0)),1)</f>
        <v>-</v>
      </c>
    </row>
    <row r="254" spans="1:6" hidden="1" x14ac:dyDescent="0.3">
      <c r="A254" t="s">
        <v>2982</v>
      </c>
      <c r="B254" t="s">
        <v>2261</v>
      </c>
      <c r="C254" t="s">
        <v>2262</v>
      </c>
      <c r="D254" t="s">
        <v>3642</v>
      </c>
      <c r="E254" t="s">
        <v>2264</v>
      </c>
      <c r="F254" s="7" t="str">
        <f>IFERROR(INDEX(测试!H:H,MATCH(E254,测试!A:A,0)),1)</f>
        <v>-</v>
      </c>
    </row>
    <row r="255" spans="1:6" hidden="1" x14ac:dyDescent="0.3">
      <c r="A255" t="s">
        <v>2982</v>
      </c>
      <c r="B255" t="s">
        <v>2265</v>
      </c>
      <c r="C255" t="s">
        <v>2266</v>
      </c>
      <c r="D255" t="s">
        <v>3643</v>
      </c>
      <c r="E255" t="s">
        <v>2268</v>
      </c>
      <c r="F255" s="7" t="str">
        <f>IFERROR(INDEX(测试!H:H,MATCH(E255,测试!A:A,0)),1)</f>
        <v>-</v>
      </c>
    </row>
    <row r="256" spans="1:6" hidden="1" x14ac:dyDescent="0.3">
      <c r="A256" t="s">
        <v>2982</v>
      </c>
      <c r="B256" t="s">
        <v>2269</v>
      </c>
      <c r="C256" t="s">
        <v>2270</v>
      </c>
      <c r="D256" t="s">
        <v>3644</v>
      </c>
      <c r="E256" t="s">
        <v>2272</v>
      </c>
      <c r="F256" s="7" t="str">
        <f>IFERROR(INDEX(测试!H:H,MATCH(E256,测试!A:A,0)),1)</f>
        <v>-</v>
      </c>
    </row>
    <row r="257" spans="1:6" hidden="1" x14ac:dyDescent="0.3">
      <c r="A257" t="s">
        <v>2982</v>
      </c>
      <c r="B257" t="s">
        <v>2273</v>
      </c>
      <c r="C257" t="s">
        <v>2274</v>
      </c>
      <c r="D257" t="s">
        <v>3645</v>
      </c>
      <c r="E257" t="s">
        <v>2276</v>
      </c>
      <c r="F257" s="7" t="str">
        <f>IFERROR(INDEX(测试!H:H,MATCH(E257,测试!A:A,0)),1)</f>
        <v>-</v>
      </c>
    </row>
    <row r="258" spans="1:6" hidden="1" x14ac:dyDescent="0.3">
      <c r="A258" t="s">
        <v>2982</v>
      </c>
      <c r="B258" t="s">
        <v>2277</v>
      </c>
      <c r="C258" t="s">
        <v>2278</v>
      </c>
      <c r="D258" t="s">
        <v>3646</v>
      </c>
      <c r="E258" t="s">
        <v>2280</v>
      </c>
      <c r="F258" s="7" t="str">
        <f>IFERROR(INDEX(测试!H:H,MATCH(E258,测试!A:A,0)),1)</f>
        <v>-</v>
      </c>
    </row>
    <row r="259" spans="1:6" hidden="1" x14ac:dyDescent="0.3">
      <c r="A259" t="s">
        <v>2982</v>
      </c>
      <c r="B259" t="s">
        <v>2281</v>
      </c>
      <c r="C259" t="s">
        <v>2282</v>
      </c>
      <c r="D259" t="s">
        <v>3647</v>
      </c>
      <c r="E259" t="s">
        <v>2284</v>
      </c>
      <c r="F259" s="7" t="str">
        <f>IFERROR(INDEX(测试!H:H,MATCH(E259,测试!A:A,0)),1)</f>
        <v>-</v>
      </c>
    </row>
    <row r="260" spans="1:6" hidden="1" x14ac:dyDescent="0.3">
      <c r="A260" t="s">
        <v>2982</v>
      </c>
      <c r="B260" t="s">
        <v>2285</v>
      </c>
      <c r="C260" t="s">
        <v>2286</v>
      </c>
      <c r="D260" t="s">
        <v>3648</v>
      </c>
      <c r="E260" t="s">
        <v>2288</v>
      </c>
      <c r="F260" s="7" t="str">
        <f>IFERROR(INDEX(测试!H:H,MATCH(E260,测试!A:A,0)),1)</f>
        <v>-</v>
      </c>
    </row>
    <row r="261" spans="1:6" hidden="1" x14ac:dyDescent="0.3">
      <c r="A261" t="s">
        <v>2982</v>
      </c>
      <c r="B261" t="s">
        <v>2289</v>
      </c>
      <c r="C261" t="s">
        <v>2290</v>
      </c>
      <c r="D261" t="s">
        <v>3649</v>
      </c>
      <c r="E261" t="s">
        <v>2292</v>
      </c>
      <c r="F261" s="7" t="str">
        <f>IFERROR(INDEX(测试!H:H,MATCH(E261,测试!A:A,0)),1)</f>
        <v>-</v>
      </c>
    </row>
    <row r="262" spans="1:6" hidden="1" x14ac:dyDescent="0.3">
      <c r="A262" t="s">
        <v>2982</v>
      </c>
      <c r="B262" t="s">
        <v>2293</v>
      </c>
      <c r="C262" t="s">
        <v>2294</v>
      </c>
      <c r="D262" t="s">
        <v>3650</v>
      </c>
      <c r="E262" t="s">
        <v>2296</v>
      </c>
      <c r="F262" s="7" t="str">
        <f>IFERROR(INDEX(测试!H:H,MATCH(E262,测试!A:A,0)),1)</f>
        <v>-</v>
      </c>
    </row>
    <row r="263" spans="1:6" hidden="1" x14ac:dyDescent="0.3">
      <c r="A263" t="s">
        <v>2982</v>
      </c>
      <c r="B263" t="s">
        <v>2297</v>
      </c>
      <c r="C263" t="s">
        <v>2298</v>
      </c>
      <c r="D263" t="s">
        <v>3651</v>
      </c>
      <c r="E263" t="s">
        <v>2300</v>
      </c>
      <c r="F263" s="7" t="str">
        <f>IFERROR(INDEX(测试!H:H,MATCH(E263,测试!A:A,0)),1)</f>
        <v>-</v>
      </c>
    </row>
    <row r="264" spans="1:6" hidden="1" x14ac:dyDescent="0.3">
      <c r="A264" t="s">
        <v>2982</v>
      </c>
      <c r="B264" t="s">
        <v>2301</v>
      </c>
      <c r="C264" t="s">
        <v>2302</v>
      </c>
      <c r="D264" t="s">
        <v>3652</v>
      </c>
      <c r="E264" t="s">
        <v>2304</v>
      </c>
      <c r="F264" s="7" t="str">
        <f>IFERROR(INDEX(测试!H:H,MATCH(E264,测试!A:A,0)),1)</f>
        <v>-</v>
      </c>
    </row>
    <row r="265" spans="1:6" hidden="1" x14ac:dyDescent="0.3">
      <c r="A265" t="s">
        <v>2982</v>
      </c>
      <c r="B265" t="s">
        <v>2305</v>
      </c>
      <c r="C265" t="s">
        <v>2306</v>
      </c>
      <c r="D265" t="s">
        <v>3653</v>
      </c>
      <c r="E265" t="s">
        <v>2308</v>
      </c>
      <c r="F265" s="7" t="str">
        <f>IFERROR(INDEX(测试!H:H,MATCH(E265,测试!A:A,0)),1)</f>
        <v>-</v>
      </c>
    </row>
    <row r="266" spans="1:6" hidden="1" x14ac:dyDescent="0.3">
      <c r="A266" t="s">
        <v>2982</v>
      </c>
      <c r="B266" t="s">
        <v>2309</v>
      </c>
      <c r="C266" t="s">
        <v>2310</v>
      </c>
      <c r="D266" t="s">
        <v>3654</v>
      </c>
      <c r="E266" t="s">
        <v>2312</v>
      </c>
      <c r="F266" s="7" t="str">
        <f>IFERROR(INDEX(测试!H:H,MATCH(E266,测试!A:A,0)),1)</f>
        <v>-</v>
      </c>
    </row>
    <row r="267" spans="1:6" hidden="1" x14ac:dyDescent="0.3">
      <c r="A267" t="s">
        <v>2982</v>
      </c>
      <c r="B267" t="s">
        <v>2313</v>
      </c>
      <c r="C267" t="s">
        <v>2314</v>
      </c>
      <c r="D267" t="s">
        <v>3655</v>
      </c>
      <c r="E267" t="s">
        <v>2316</v>
      </c>
      <c r="F267" s="7" t="str">
        <f>IFERROR(INDEX(测试!H:H,MATCH(E267,测试!A:A,0)),1)</f>
        <v>-</v>
      </c>
    </row>
    <row r="268" spans="1:6" hidden="1" x14ac:dyDescent="0.3">
      <c r="A268" t="s">
        <v>2982</v>
      </c>
      <c r="B268" t="s">
        <v>2317</v>
      </c>
      <c r="C268" t="s">
        <v>2318</v>
      </c>
      <c r="D268" t="s">
        <v>3656</v>
      </c>
      <c r="E268" t="s">
        <v>3058</v>
      </c>
      <c r="F268" s="7" t="str">
        <f>IFERROR(INDEX(测试!H:H,MATCH(E268,测试!A:A,0)),1)</f>
        <v>-</v>
      </c>
    </row>
    <row r="269" spans="1:6" hidden="1" x14ac:dyDescent="0.3">
      <c r="A269" t="s">
        <v>2982</v>
      </c>
      <c r="B269" t="s">
        <v>2320</v>
      </c>
      <c r="C269" t="s">
        <v>2321</v>
      </c>
      <c r="D269" t="s">
        <v>3657</v>
      </c>
      <c r="E269" t="s">
        <v>2323</v>
      </c>
      <c r="F269" s="7" t="str">
        <f>IFERROR(INDEX(测试!H:H,MATCH(E269,测试!A:A,0)),1)</f>
        <v>-</v>
      </c>
    </row>
    <row r="270" spans="1:6" hidden="1" x14ac:dyDescent="0.3">
      <c r="A270" t="s">
        <v>2982</v>
      </c>
      <c r="B270" t="s">
        <v>2324</v>
      </c>
      <c r="C270" t="s">
        <v>2325</v>
      </c>
      <c r="D270" t="s">
        <v>3658</v>
      </c>
      <c r="E270" t="s">
        <v>2327</v>
      </c>
      <c r="F270" s="7" t="str">
        <f>IFERROR(INDEX(测试!H:H,MATCH(E270,测试!A:A,0)),1)</f>
        <v>-</v>
      </c>
    </row>
    <row r="271" spans="1:6" hidden="1" x14ac:dyDescent="0.3">
      <c r="A271" t="s">
        <v>2982</v>
      </c>
      <c r="B271" t="s">
        <v>2328</v>
      </c>
      <c r="C271" t="s">
        <v>2329</v>
      </c>
      <c r="D271" t="s">
        <v>3659</v>
      </c>
      <c r="E271" t="s">
        <v>2331</v>
      </c>
      <c r="F271" s="7" t="str">
        <f>IFERROR(INDEX(测试!H:H,MATCH(E271,测试!A:A,0)),1)</f>
        <v>-</v>
      </c>
    </row>
    <row r="272" spans="1:6" hidden="1" x14ac:dyDescent="0.3">
      <c r="A272" t="s">
        <v>2982</v>
      </c>
      <c r="B272" t="s">
        <v>2332</v>
      </c>
      <c r="C272" t="s">
        <v>2333</v>
      </c>
      <c r="D272" t="s">
        <v>3660</v>
      </c>
      <c r="E272" t="s">
        <v>2335</v>
      </c>
      <c r="F272" s="7" t="str">
        <f>IFERROR(INDEX(测试!H:H,MATCH(E272,测试!A:A,0)),1)</f>
        <v>-</v>
      </c>
    </row>
    <row r="273" spans="1:6" hidden="1" x14ac:dyDescent="0.3">
      <c r="A273" t="s">
        <v>2982</v>
      </c>
      <c r="B273" t="s">
        <v>2336</v>
      </c>
      <c r="C273" t="s">
        <v>2337</v>
      </c>
      <c r="D273" t="s">
        <v>3661</v>
      </c>
      <c r="E273" t="s">
        <v>2339</v>
      </c>
      <c r="F273" s="7" t="str">
        <f>IFERROR(INDEX(测试!H:H,MATCH(E273,测试!A:A,0)),1)</f>
        <v>-</v>
      </c>
    </row>
    <row r="274" spans="1:6" hidden="1" x14ac:dyDescent="0.3">
      <c r="A274" t="s">
        <v>2982</v>
      </c>
      <c r="B274" t="s">
        <v>2340</v>
      </c>
      <c r="C274" t="s">
        <v>2341</v>
      </c>
      <c r="D274" t="s">
        <v>3662</v>
      </c>
      <c r="E274" t="s">
        <v>3059</v>
      </c>
      <c r="F274" s="7" t="str">
        <f>IFERROR(INDEX(测试!H:H,MATCH(E274,测试!A:A,0)),1)</f>
        <v>-</v>
      </c>
    </row>
    <row r="275" spans="1:6" hidden="1" x14ac:dyDescent="0.3">
      <c r="A275" t="s">
        <v>2982</v>
      </c>
      <c r="B275" t="s">
        <v>2343</v>
      </c>
      <c r="C275" t="s">
        <v>2344</v>
      </c>
      <c r="D275" t="s">
        <v>3663</v>
      </c>
      <c r="E275" t="s">
        <v>2346</v>
      </c>
      <c r="F275" s="7" t="str">
        <f>IFERROR(INDEX(测试!H:H,MATCH(E275,测试!A:A,0)),1)</f>
        <v>-</v>
      </c>
    </row>
    <row r="276" spans="1:6" hidden="1" x14ac:dyDescent="0.3">
      <c r="A276" t="s">
        <v>2982</v>
      </c>
      <c r="B276" t="s">
        <v>2347</v>
      </c>
      <c r="C276" t="s">
        <v>2348</v>
      </c>
      <c r="D276" t="s">
        <v>3664</v>
      </c>
      <c r="E276" t="s">
        <v>2350</v>
      </c>
      <c r="F276" s="7" t="str">
        <f>IFERROR(INDEX(测试!H:H,MATCH(E276,测试!A:A,0)),1)</f>
        <v>-</v>
      </c>
    </row>
    <row r="277" spans="1:6" hidden="1" x14ac:dyDescent="0.3">
      <c r="A277" t="s">
        <v>2982</v>
      </c>
      <c r="B277" t="s">
        <v>2351</v>
      </c>
      <c r="C277" t="s">
        <v>2352</v>
      </c>
      <c r="D277" t="s">
        <v>3665</v>
      </c>
      <c r="E277" t="s">
        <v>2354</v>
      </c>
      <c r="F277" s="7" t="str">
        <f>IFERROR(INDEX(测试!H:H,MATCH(E277,测试!A:A,0)),1)</f>
        <v>-</v>
      </c>
    </row>
    <row r="278" spans="1:6" hidden="1" x14ac:dyDescent="0.3">
      <c r="A278" t="s">
        <v>2982</v>
      </c>
      <c r="B278" t="s">
        <v>2355</v>
      </c>
      <c r="C278" t="s">
        <v>2356</v>
      </c>
      <c r="D278" t="s">
        <v>3666</v>
      </c>
      <c r="E278" t="s">
        <v>2358</v>
      </c>
      <c r="F278" s="7" t="str">
        <f>IFERROR(INDEX(测试!H:H,MATCH(E278,测试!A:A,0)),1)</f>
        <v>-</v>
      </c>
    </row>
    <row r="279" spans="1:6" hidden="1" x14ac:dyDescent="0.3">
      <c r="A279" t="s">
        <v>2982</v>
      </c>
      <c r="B279" t="s">
        <v>2359</v>
      </c>
      <c r="C279" t="s">
        <v>2360</v>
      </c>
      <c r="D279" t="s">
        <v>3667</v>
      </c>
      <c r="E279" t="s">
        <v>3060</v>
      </c>
      <c r="F279" s="7" t="str">
        <f>IFERROR(INDEX(测试!H:H,MATCH(E279,测试!A:A,0)),1)</f>
        <v>-</v>
      </c>
    </row>
    <row r="280" spans="1:6" hidden="1" x14ac:dyDescent="0.3">
      <c r="A280" t="s">
        <v>2982</v>
      </c>
      <c r="B280" t="s">
        <v>2362</v>
      </c>
      <c r="C280" t="s">
        <v>2363</v>
      </c>
      <c r="D280" t="s">
        <v>3668</v>
      </c>
      <c r="E280" t="s">
        <v>2365</v>
      </c>
      <c r="F280" s="7" t="str">
        <f>IFERROR(INDEX(测试!H:H,MATCH(E280,测试!A:A,0)),1)</f>
        <v>-</v>
      </c>
    </row>
    <row r="281" spans="1:6" hidden="1" x14ac:dyDescent="0.3">
      <c r="A281" t="s">
        <v>2982</v>
      </c>
      <c r="B281" t="s">
        <v>2366</v>
      </c>
      <c r="C281" t="s">
        <v>2367</v>
      </c>
      <c r="D281" t="s">
        <v>3669</v>
      </c>
      <c r="E281" t="s">
        <v>2369</v>
      </c>
      <c r="F281" s="7" t="str">
        <f>IFERROR(INDEX(测试!H:H,MATCH(E281,测试!A:A,0)),1)</f>
        <v>-</v>
      </c>
    </row>
    <row r="282" spans="1:6" hidden="1" x14ac:dyDescent="0.3">
      <c r="A282" t="s">
        <v>2982</v>
      </c>
      <c r="B282" t="s">
        <v>2370</v>
      </c>
      <c r="C282" t="s">
        <v>2371</v>
      </c>
      <c r="D282" t="s">
        <v>3670</v>
      </c>
      <c r="E282" t="s">
        <v>2373</v>
      </c>
      <c r="F282" s="7" t="str">
        <f>IFERROR(INDEX(测试!H:H,MATCH(E282,测试!A:A,0)),1)</f>
        <v>-</v>
      </c>
    </row>
    <row r="283" spans="1:6" hidden="1" x14ac:dyDescent="0.3">
      <c r="A283" t="s">
        <v>2982</v>
      </c>
      <c r="B283" t="s">
        <v>2374</v>
      </c>
      <c r="C283" t="s">
        <v>2375</v>
      </c>
      <c r="D283" t="s">
        <v>3671</v>
      </c>
      <c r="E283" t="s">
        <v>2377</v>
      </c>
      <c r="F283" s="7" t="str">
        <f>IFERROR(INDEX(测试!H:H,MATCH(E283,测试!A:A,0)),1)</f>
        <v>-</v>
      </c>
    </row>
    <row r="284" spans="1:6" hidden="1" x14ac:dyDescent="0.3">
      <c r="A284" t="s">
        <v>2982</v>
      </c>
      <c r="B284" t="s">
        <v>2378</v>
      </c>
      <c r="C284" t="s">
        <v>2379</v>
      </c>
      <c r="D284" t="s">
        <v>3672</v>
      </c>
      <c r="E284" t="s">
        <v>2381</v>
      </c>
      <c r="F284" s="7" t="str">
        <f>IFERROR(INDEX(测试!H:H,MATCH(E284,测试!A:A,0)),1)</f>
        <v>-</v>
      </c>
    </row>
    <row r="285" spans="1:6" hidden="1" x14ac:dyDescent="0.3">
      <c r="A285" t="s">
        <v>2982</v>
      </c>
      <c r="B285" t="s">
        <v>2382</v>
      </c>
      <c r="C285" t="s">
        <v>2383</v>
      </c>
      <c r="D285" t="s">
        <v>3673</v>
      </c>
      <c r="E285" t="s">
        <v>2385</v>
      </c>
      <c r="F285" s="7" t="str">
        <f>IFERROR(INDEX(测试!H:H,MATCH(E285,测试!A:A,0)),1)</f>
        <v>-</v>
      </c>
    </row>
    <row r="286" spans="1:6" hidden="1" x14ac:dyDescent="0.3">
      <c r="A286" t="s">
        <v>2982</v>
      </c>
      <c r="B286" t="s">
        <v>2386</v>
      </c>
      <c r="C286" t="s">
        <v>2387</v>
      </c>
      <c r="D286" t="s">
        <v>3674</v>
      </c>
      <c r="E286" t="s">
        <v>2389</v>
      </c>
      <c r="F286" s="7" t="str">
        <f>IFERROR(INDEX(测试!H:H,MATCH(E286,测试!A:A,0)),1)</f>
        <v>-</v>
      </c>
    </row>
    <row r="287" spans="1:6" hidden="1" x14ac:dyDescent="0.3">
      <c r="A287" t="s">
        <v>2982</v>
      </c>
      <c r="B287" t="s">
        <v>2390</v>
      </c>
      <c r="C287" t="s">
        <v>2391</v>
      </c>
      <c r="D287" t="s">
        <v>3675</v>
      </c>
      <c r="E287" t="s">
        <v>2393</v>
      </c>
      <c r="F287" s="7" t="str">
        <f>IFERROR(INDEX(测试!H:H,MATCH(E287,测试!A:A,0)),1)</f>
        <v>-</v>
      </c>
    </row>
    <row r="288" spans="1:6" hidden="1" x14ac:dyDescent="0.3">
      <c r="A288" t="s">
        <v>2982</v>
      </c>
      <c r="B288" t="s">
        <v>2394</v>
      </c>
      <c r="C288" t="s">
        <v>2395</v>
      </c>
      <c r="D288" t="s">
        <v>3676</v>
      </c>
      <c r="E288" t="s">
        <v>2397</v>
      </c>
      <c r="F288" s="7" t="str">
        <f>IFERROR(INDEX(测试!H:H,MATCH(E288,测试!A:A,0)),1)</f>
        <v>-</v>
      </c>
    </row>
    <row r="289" spans="1:6" hidden="1" x14ac:dyDescent="0.3">
      <c r="A289" t="s">
        <v>2982</v>
      </c>
      <c r="B289" t="s">
        <v>2398</v>
      </c>
      <c r="C289" t="s">
        <v>2399</v>
      </c>
      <c r="D289" t="s">
        <v>3677</v>
      </c>
      <c r="E289" t="s">
        <v>2401</v>
      </c>
      <c r="F289" s="7" t="str">
        <f>IFERROR(INDEX(测试!H:H,MATCH(E289,测试!A:A,0)),1)</f>
        <v>-</v>
      </c>
    </row>
    <row r="290" spans="1:6" hidden="1" x14ac:dyDescent="0.3">
      <c r="A290" t="s">
        <v>2982</v>
      </c>
      <c r="B290" t="s">
        <v>2402</v>
      </c>
      <c r="C290" t="s">
        <v>2403</v>
      </c>
      <c r="D290" t="s">
        <v>3678</v>
      </c>
      <c r="E290" t="s">
        <v>2405</v>
      </c>
      <c r="F290" s="7" t="str">
        <f>IFERROR(INDEX(测试!H:H,MATCH(E290,测试!A:A,0)),1)</f>
        <v>-</v>
      </c>
    </row>
    <row r="291" spans="1:6" hidden="1" x14ac:dyDescent="0.3">
      <c r="A291" t="s">
        <v>2982</v>
      </c>
      <c r="B291" t="s">
        <v>2406</v>
      </c>
      <c r="C291" t="s">
        <v>2407</v>
      </c>
      <c r="D291" t="s">
        <v>3679</v>
      </c>
      <c r="E291" t="s">
        <v>2409</v>
      </c>
      <c r="F291" s="7" t="str">
        <f>IFERROR(INDEX(测试!H:H,MATCH(E291,测试!A:A,0)),1)</f>
        <v>-</v>
      </c>
    </row>
    <row r="292" spans="1:6" hidden="1" x14ac:dyDescent="0.3">
      <c r="A292" t="s">
        <v>2982</v>
      </c>
      <c r="B292" t="s">
        <v>2410</v>
      </c>
      <c r="C292" t="s">
        <v>2411</v>
      </c>
      <c r="D292" t="s">
        <v>3680</v>
      </c>
      <c r="E292" t="s">
        <v>2413</v>
      </c>
      <c r="F292" s="7" t="str">
        <f>IFERROR(INDEX(测试!H:H,MATCH(E292,测试!A:A,0)),1)</f>
        <v>-</v>
      </c>
    </row>
    <row r="293" spans="1:6" hidden="1" x14ac:dyDescent="0.3">
      <c r="A293" t="s">
        <v>2982</v>
      </c>
      <c r="B293" t="s">
        <v>2414</v>
      </c>
      <c r="C293" t="s">
        <v>2415</v>
      </c>
      <c r="D293" t="s">
        <v>3681</v>
      </c>
      <c r="E293" t="s">
        <v>2417</v>
      </c>
      <c r="F293" s="7" t="str">
        <f>IFERROR(INDEX(测试!H:H,MATCH(E293,测试!A:A,0)),1)</f>
        <v>-</v>
      </c>
    </row>
    <row r="294" spans="1:6" hidden="1" x14ac:dyDescent="0.3">
      <c r="A294" t="s">
        <v>2982</v>
      </c>
      <c r="B294" t="s">
        <v>2418</v>
      </c>
      <c r="C294" t="s">
        <v>2419</v>
      </c>
      <c r="D294" t="s">
        <v>3682</v>
      </c>
      <c r="E294" t="s">
        <v>2421</v>
      </c>
      <c r="F294" s="7" t="str">
        <f>IFERROR(INDEX(测试!H:H,MATCH(E294,测试!A:A,0)),1)</f>
        <v>-</v>
      </c>
    </row>
    <row r="295" spans="1:6" hidden="1" x14ac:dyDescent="0.3">
      <c r="A295" t="s">
        <v>2982</v>
      </c>
      <c r="B295" t="s">
        <v>2422</v>
      </c>
      <c r="C295" t="s">
        <v>2423</v>
      </c>
      <c r="D295" t="s">
        <v>3683</v>
      </c>
      <c r="E295" t="s">
        <v>2425</v>
      </c>
      <c r="F295" s="7" t="str">
        <f>IFERROR(INDEX(测试!H:H,MATCH(E295,测试!A:A,0)),1)</f>
        <v>-</v>
      </c>
    </row>
    <row r="296" spans="1:6" hidden="1" x14ac:dyDescent="0.3">
      <c r="A296" t="s">
        <v>2982</v>
      </c>
      <c r="B296" t="s">
        <v>2426</v>
      </c>
      <c r="C296" t="s">
        <v>2427</v>
      </c>
      <c r="D296" t="s">
        <v>3684</v>
      </c>
      <c r="E296" t="s">
        <v>2429</v>
      </c>
      <c r="F296" s="7" t="str">
        <f>IFERROR(INDEX(测试!H:H,MATCH(E296,测试!A:A,0)),1)</f>
        <v>-</v>
      </c>
    </row>
    <row r="297" spans="1:6" hidden="1" x14ac:dyDescent="0.3">
      <c r="A297" t="s">
        <v>2982</v>
      </c>
      <c r="B297" t="s">
        <v>2430</v>
      </c>
      <c r="C297" t="s">
        <v>2431</v>
      </c>
      <c r="D297" t="s">
        <v>3685</v>
      </c>
      <c r="E297" t="s">
        <v>2433</v>
      </c>
      <c r="F297" s="7" t="str">
        <f>IFERROR(INDEX(测试!H:H,MATCH(E297,测试!A:A,0)),1)</f>
        <v>-</v>
      </c>
    </row>
    <row r="298" spans="1:6" hidden="1" x14ac:dyDescent="0.3">
      <c r="A298" t="s">
        <v>2982</v>
      </c>
      <c r="B298" t="s">
        <v>2434</v>
      </c>
      <c r="C298" t="s">
        <v>2435</v>
      </c>
      <c r="D298" t="s">
        <v>3686</v>
      </c>
      <c r="E298" t="s">
        <v>2437</v>
      </c>
      <c r="F298" s="7" t="str">
        <f>IFERROR(INDEX(测试!H:H,MATCH(E298,测试!A:A,0)),1)</f>
        <v>-</v>
      </c>
    </row>
    <row r="299" spans="1:6" hidden="1" x14ac:dyDescent="0.3">
      <c r="A299" t="s">
        <v>2982</v>
      </c>
      <c r="B299" t="s">
        <v>2438</v>
      </c>
      <c r="C299" t="s">
        <v>2439</v>
      </c>
      <c r="D299" t="s">
        <v>3687</v>
      </c>
      <c r="E299" t="s">
        <v>2441</v>
      </c>
      <c r="F299" s="7" t="str">
        <f>IFERROR(INDEX(测试!H:H,MATCH(E299,测试!A:A,0)),1)</f>
        <v>-</v>
      </c>
    </row>
    <row r="300" spans="1:6" hidden="1" x14ac:dyDescent="0.3">
      <c r="A300" t="s">
        <v>2982</v>
      </c>
      <c r="B300" t="s">
        <v>2442</v>
      </c>
      <c r="C300" t="s">
        <v>2443</v>
      </c>
      <c r="D300" t="s">
        <v>3688</v>
      </c>
      <c r="E300" t="s">
        <v>2445</v>
      </c>
      <c r="F300" s="7" t="str">
        <f>IFERROR(INDEX(测试!H:H,MATCH(E300,测试!A:A,0)),1)</f>
        <v>-</v>
      </c>
    </row>
    <row r="301" spans="1:6" hidden="1" x14ac:dyDescent="0.3">
      <c r="A301" t="s">
        <v>2982</v>
      </c>
      <c r="B301" t="s">
        <v>2446</v>
      </c>
      <c r="C301" t="s">
        <v>2447</v>
      </c>
      <c r="D301" t="s">
        <v>3689</v>
      </c>
      <c r="E301" t="s">
        <v>2449</v>
      </c>
      <c r="F301" s="7" t="str">
        <f>IFERROR(INDEX(测试!H:H,MATCH(E301,测试!A:A,0)),1)</f>
        <v>-</v>
      </c>
    </row>
    <row r="302" spans="1:6" hidden="1" x14ac:dyDescent="0.3">
      <c r="A302" t="s">
        <v>2982</v>
      </c>
      <c r="B302" t="s">
        <v>2450</v>
      </c>
      <c r="C302" t="s">
        <v>2451</v>
      </c>
      <c r="D302" t="s">
        <v>3690</v>
      </c>
      <c r="E302" t="s">
        <v>2453</v>
      </c>
      <c r="F302" s="7" t="str">
        <f>IFERROR(INDEX(测试!H:H,MATCH(E302,测试!A:A,0)),1)</f>
        <v>-</v>
      </c>
    </row>
    <row r="303" spans="1:6" hidden="1" x14ac:dyDescent="0.3">
      <c r="A303" t="s">
        <v>2982</v>
      </c>
      <c r="B303" t="s">
        <v>2454</v>
      </c>
      <c r="C303" t="s">
        <v>2455</v>
      </c>
      <c r="D303" t="s">
        <v>3691</v>
      </c>
      <c r="E303" t="s">
        <v>2457</v>
      </c>
      <c r="F303" s="7" t="str">
        <f>IFERROR(INDEX(测试!H:H,MATCH(E303,测试!A:A,0)),1)</f>
        <v>-</v>
      </c>
    </row>
    <row r="304" spans="1:6" hidden="1" x14ac:dyDescent="0.3">
      <c r="A304" t="s">
        <v>2982</v>
      </c>
      <c r="B304" t="s">
        <v>2458</v>
      </c>
      <c r="C304" t="s">
        <v>2459</v>
      </c>
      <c r="D304" t="s">
        <v>3692</v>
      </c>
      <c r="E304" t="s">
        <v>2461</v>
      </c>
      <c r="F304" s="7" t="str">
        <f>IFERROR(INDEX(测试!H:H,MATCH(E304,测试!A:A,0)),1)</f>
        <v>-</v>
      </c>
    </row>
    <row r="305" spans="1:6" hidden="1" x14ac:dyDescent="0.3">
      <c r="A305" t="s">
        <v>2982</v>
      </c>
      <c r="B305" t="s">
        <v>2462</v>
      </c>
      <c r="C305" t="s">
        <v>2463</v>
      </c>
      <c r="D305" t="s">
        <v>3693</v>
      </c>
      <c r="E305" t="s">
        <v>2465</v>
      </c>
      <c r="F305" s="7" t="str">
        <f>IFERROR(INDEX(测试!H:H,MATCH(E305,测试!A:A,0)),1)</f>
        <v>-</v>
      </c>
    </row>
    <row r="306" spans="1:6" hidden="1" x14ac:dyDescent="0.3">
      <c r="A306" t="s">
        <v>2982</v>
      </c>
      <c r="B306" t="s">
        <v>2466</v>
      </c>
      <c r="C306" t="s">
        <v>2467</v>
      </c>
      <c r="D306" t="s">
        <v>3694</v>
      </c>
      <c r="E306" t="s">
        <v>2469</v>
      </c>
      <c r="F306" s="7" t="str">
        <f>IFERROR(INDEX(测试!H:H,MATCH(E306,测试!A:A,0)),1)</f>
        <v>-</v>
      </c>
    </row>
    <row r="307" spans="1:6" hidden="1" x14ac:dyDescent="0.3">
      <c r="A307" t="s">
        <v>2982</v>
      </c>
      <c r="B307" t="s">
        <v>2470</v>
      </c>
      <c r="C307" t="s">
        <v>2471</v>
      </c>
      <c r="D307" t="s">
        <v>3695</v>
      </c>
      <c r="E307" t="s">
        <v>2473</v>
      </c>
      <c r="F307" s="7" t="str">
        <f>IFERROR(INDEX(测试!H:H,MATCH(E307,测试!A:A,0)),1)</f>
        <v>-</v>
      </c>
    </row>
    <row r="308" spans="1:6" hidden="1" x14ac:dyDescent="0.3">
      <c r="A308" t="s">
        <v>2982</v>
      </c>
      <c r="B308" t="s">
        <v>2474</v>
      </c>
      <c r="C308" t="s">
        <v>2475</v>
      </c>
      <c r="D308" t="s">
        <v>3696</v>
      </c>
      <c r="E308" t="s">
        <v>2477</v>
      </c>
      <c r="F308" s="7" t="str">
        <f>IFERROR(INDEX(测试!H:H,MATCH(E308,测试!A:A,0)),1)</f>
        <v>-</v>
      </c>
    </row>
    <row r="309" spans="1:6" hidden="1" x14ac:dyDescent="0.3">
      <c r="A309" t="s">
        <v>2982</v>
      </c>
      <c r="B309" t="s">
        <v>2478</v>
      </c>
      <c r="C309" t="s">
        <v>2479</v>
      </c>
      <c r="D309" t="s">
        <v>3697</v>
      </c>
      <c r="E309" t="s">
        <v>2481</v>
      </c>
      <c r="F309" s="7" t="str">
        <f>IFERROR(INDEX(测试!H:H,MATCH(E309,测试!A:A,0)),1)</f>
        <v>-</v>
      </c>
    </row>
    <row r="310" spans="1:6" hidden="1" x14ac:dyDescent="0.3">
      <c r="A310" t="s">
        <v>2982</v>
      </c>
      <c r="B310" t="s">
        <v>2482</v>
      </c>
      <c r="C310" t="s">
        <v>2483</v>
      </c>
      <c r="D310" t="s">
        <v>3698</v>
      </c>
      <c r="E310" t="s">
        <v>2485</v>
      </c>
      <c r="F310" s="7" t="str">
        <f>IFERROR(INDEX(测试!H:H,MATCH(E310,测试!A:A,0)),1)</f>
        <v>-</v>
      </c>
    </row>
    <row r="311" spans="1:6" hidden="1" x14ac:dyDescent="0.3">
      <c r="A311" t="s">
        <v>2982</v>
      </c>
      <c r="B311" t="s">
        <v>2486</v>
      </c>
      <c r="C311" t="s">
        <v>2487</v>
      </c>
      <c r="D311" t="s">
        <v>3699</v>
      </c>
      <c r="E311" t="s">
        <v>2489</v>
      </c>
      <c r="F311" s="7" t="str">
        <f>IFERROR(INDEX(测试!H:H,MATCH(E311,测试!A:A,0)),1)</f>
        <v>-</v>
      </c>
    </row>
    <row r="312" spans="1:6" hidden="1" x14ac:dyDescent="0.3">
      <c r="A312" t="s">
        <v>2982</v>
      </c>
      <c r="B312" t="s">
        <v>2490</v>
      </c>
      <c r="C312" t="s">
        <v>2491</v>
      </c>
      <c r="D312" t="s">
        <v>3700</v>
      </c>
      <c r="E312" t="s">
        <v>2493</v>
      </c>
      <c r="F312" s="7" t="str">
        <f>IFERROR(INDEX(测试!H:H,MATCH(E312,测试!A:A,0)),1)</f>
        <v>-</v>
      </c>
    </row>
    <row r="313" spans="1:6" hidden="1" x14ac:dyDescent="0.3">
      <c r="A313" t="s">
        <v>2982</v>
      </c>
      <c r="B313" t="s">
        <v>2494</v>
      </c>
      <c r="C313" t="s">
        <v>2495</v>
      </c>
      <c r="D313" t="s">
        <v>3701</v>
      </c>
      <c r="E313" t="s">
        <v>2497</v>
      </c>
      <c r="F313" s="7" t="str">
        <f>IFERROR(INDEX(测试!H:H,MATCH(E313,测试!A:A,0)),1)</f>
        <v>-</v>
      </c>
    </row>
    <row r="314" spans="1:6" hidden="1" x14ac:dyDescent="0.3">
      <c r="A314" t="s">
        <v>2982</v>
      </c>
      <c r="B314" t="s">
        <v>2498</v>
      </c>
      <c r="C314" t="s">
        <v>2499</v>
      </c>
      <c r="D314" t="s">
        <v>3702</v>
      </c>
      <c r="E314" t="s">
        <v>3061</v>
      </c>
      <c r="F314" s="7" t="str">
        <f>IFERROR(INDEX(测试!H:H,MATCH(E314,测试!A:A,0)),1)</f>
        <v>-</v>
      </c>
    </row>
    <row r="315" spans="1:6" hidden="1" x14ac:dyDescent="0.3">
      <c r="A315" t="s">
        <v>2982</v>
      </c>
      <c r="B315" t="s">
        <v>2501</v>
      </c>
      <c r="C315" t="s">
        <v>2502</v>
      </c>
      <c r="D315" t="s">
        <v>3703</v>
      </c>
      <c r="E315" t="s">
        <v>2504</v>
      </c>
      <c r="F315" s="7" t="str">
        <f>IFERROR(INDEX(测试!H:H,MATCH(E315,测试!A:A,0)),1)</f>
        <v>-</v>
      </c>
    </row>
    <row r="316" spans="1:6" hidden="1" x14ac:dyDescent="0.3">
      <c r="A316" t="s">
        <v>2982</v>
      </c>
      <c r="B316" t="s">
        <v>2505</v>
      </c>
      <c r="C316" t="s">
        <v>2506</v>
      </c>
      <c r="D316" t="s">
        <v>3704</v>
      </c>
      <c r="E316" t="s">
        <v>3062</v>
      </c>
      <c r="F316" s="7" t="str">
        <f>IFERROR(INDEX(测试!H:H,MATCH(E316,测试!A:A,0)),1)</f>
        <v>-</v>
      </c>
    </row>
    <row r="317" spans="1:6" hidden="1" x14ac:dyDescent="0.3">
      <c r="A317" t="s">
        <v>2982</v>
      </c>
      <c r="B317" t="s">
        <v>2508</v>
      </c>
      <c r="C317" t="s">
        <v>2509</v>
      </c>
      <c r="D317" t="s">
        <v>3705</v>
      </c>
      <c r="E317" t="s">
        <v>2511</v>
      </c>
      <c r="F317" s="7" t="str">
        <f>IFERROR(INDEX(测试!H:H,MATCH(E317,测试!A:A,0)),1)</f>
        <v>-</v>
      </c>
    </row>
    <row r="318" spans="1:6" hidden="1" x14ac:dyDescent="0.3">
      <c r="A318" t="s">
        <v>2981</v>
      </c>
      <c r="B318" t="s">
        <v>1722</v>
      </c>
      <c r="C318" t="s">
        <v>1723</v>
      </c>
      <c r="D318" t="s">
        <v>3506</v>
      </c>
      <c r="E318" t="s">
        <v>1725</v>
      </c>
      <c r="F318" s="7" t="str">
        <f>IFERROR(INDEX(测试!H:H,MATCH(E318,测试!A:A,0)),1)</f>
        <v>-</v>
      </c>
    </row>
    <row r="319" spans="1:6" hidden="1" x14ac:dyDescent="0.3">
      <c r="A319" t="s">
        <v>2981</v>
      </c>
      <c r="B319" t="s">
        <v>1726</v>
      </c>
      <c r="C319" t="s">
        <v>1727</v>
      </c>
      <c r="D319" t="s">
        <v>3507</v>
      </c>
      <c r="E319" t="s">
        <v>1729</v>
      </c>
      <c r="F319" s="7" t="str">
        <f>IFERROR(INDEX(测试!H:H,MATCH(E319,测试!A:A,0)),1)</f>
        <v>-</v>
      </c>
    </row>
    <row r="320" spans="1:6" hidden="1" x14ac:dyDescent="0.3">
      <c r="A320" t="s">
        <v>2981</v>
      </c>
      <c r="B320" t="s">
        <v>1730</v>
      </c>
      <c r="C320" t="s">
        <v>1731</v>
      </c>
      <c r="D320" t="s">
        <v>3508</v>
      </c>
      <c r="E320" t="s">
        <v>1733</v>
      </c>
      <c r="F320" s="7" t="str">
        <f>IFERROR(INDEX(测试!H:H,MATCH(E320,测试!A:A,0)),1)</f>
        <v>-</v>
      </c>
    </row>
    <row r="321" spans="1:6" hidden="1" x14ac:dyDescent="0.3">
      <c r="A321" t="s">
        <v>2981</v>
      </c>
      <c r="B321" t="s">
        <v>1734</v>
      </c>
      <c r="C321" t="s">
        <v>1735</v>
      </c>
      <c r="D321" t="s">
        <v>3509</v>
      </c>
      <c r="E321" t="s">
        <v>1737</v>
      </c>
      <c r="F321" s="7" t="str">
        <f>IFERROR(INDEX(测试!H:H,MATCH(E321,测试!A:A,0)),1)</f>
        <v>-</v>
      </c>
    </row>
    <row r="322" spans="1:6" hidden="1" x14ac:dyDescent="0.3">
      <c r="A322" t="s">
        <v>2981</v>
      </c>
      <c r="B322" t="s">
        <v>1738</v>
      </c>
      <c r="C322" t="s">
        <v>1739</v>
      </c>
      <c r="D322" t="s">
        <v>3510</v>
      </c>
      <c r="E322" t="s">
        <v>1741</v>
      </c>
      <c r="F322" s="7" t="str">
        <f>IFERROR(INDEX(测试!H:H,MATCH(E322,测试!A:A,0)),1)</f>
        <v>-</v>
      </c>
    </row>
    <row r="323" spans="1:6" hidden="1" x14ac:dyDescent="0.3">
      <c r="A323" t="s">
        <v>2981</v>
      </c>
      <c r="B323" t="s">
        <v>1742</v>
      </c>
      <c r="C323" t="s">
        <v>1743</v>
      </c>
      <c r="D323" t="s">
        <v>3511</v>
      </c>
      <c r="E323" t="s">
        <v>1745</v>
      </c>
      <c r="F323" s="7" t="str">
        <f>IFERROR(INDEX(测试!H:H,MATCH(E323,测试!A:A,0)),1)</f>
        <v>-</v>
      </c>
    </row>
    <row r="324" spans="1:6" hidden="1" x14ac:dyDescent="0.3">
      <c r="A324" t="s">
        <v>2981</v>
      </c>
      <c r="B324" t="s">
        <v>1746</v>
      </c>
      <c r="C324" t="s">
        <v>1747</v>
      </c>
      <c r="D324" t="s">
        <v>3512</v>
      </c>
      <c r="E324" t="s">
        <v>1749</v>
      </c>
      <c r="F324" s="7" t="str">
        <f>IFERROR(INDEX(测试!H:H,MATCH(E324,测试!A:A,0)),1)</f>
        <v>-</v>
      </c>
    </row>
    <row r="325" spans="1:6" hidden="1" x14ac:dyDescent="0.3">
      <c r="A325" t="s">
        <v>2981</v>
      </c>
      <c r="B325" t="s">
        <v>1750</v>
      </c>
      <c r="C325" t="s">
        <v>1751</v>
      </c>
      <c r="D325" t="s">
        <v>3513</v>
      </c>
      <c r="E325" t="s">
        <v>1753</v>
      </c>
      <c r="F325" s="7" t="str">
        <f>IFERROR(INDEX(测试!H:H,MATCH(E325,测试!A:A,0)),1)</f>
        <v>-</v>
      </c>
    </row>
    <row r="326" spans="1:6" hidden="1" x14ac:dyDescent="0.3">
      <c r="A326" t="s">
        <v>2981</v>
      </c>
      <c r="B326" t="s">
        <v>1754</v>
      </c>
      <c r="C326" t="s">
        <v>1755</v>
      </c>
      <c r="D326" t="s">
        <v>3514</v>
      </c>
      <c r="E326" t="s">
        <v>1757</v>
      </c>
      <c r="F326" s="7" t="str">
        <f>IFERROR(INDEX(测试!H:H,MATCH(E326,测试!A:A,0)),1)</f>
        <v>-</v>
      </c>
    </row>
    <row r="327" spans="1:6" hidden="1" x14ac:dyDescent="0.3">
      <c r="A327" t="s">
        <v>2981</v>
      </c>
      <c r="B327" t="s">
        <v>1758</v>
      </c>
      <c r="C327" t="s">
        <v>1759</v>
      </c>
      <c r="D327" t="s">
        <v>3515</v>
      </c>
      <c r="E327" t="s">
        <v>1761</v>
      </c>
      <c r="F327" s="7" t="str">
        <f>IFERROR(INDEX(测试!H:H,MATCH(E327,测试!A:A,0)),1)</f>
        <v>-</v>
      </c>
    </row>
    <row r="328" spans="1:6" hidden="1" x14ac:dyDescent="0.3">
      <c r="A328" t="s">
        <v>2981</v>
      </c>
      <c r="B328" t="s">
        <v>1762</v>
      </c>
      <c r="C328" t="s">
        <v>1763</v>
      </c>
      <c r="D328" t="s">
        <v>3516</v>
      </c>
      <c r="E328" t="s">
        <v>1765</v>
      </c>
      <c r="F328" s="7" t="str">
        <f>IFERROR(INDEX(测试!H:H,MATCH(E328,测试!A:A,0)),1)</f>
        <v>-</v>
      </c>
    </row>
    <row r="329" spans="1:6" hidden="1" x14ac:dyDescent="0.3">
      <c r="A329" t="s">
        <v>2981</v>
      </c>
      <c r="B329" t="s">
        <v>1766</v>
      </c>
      <c r="C329" t="s">
        <v>1767</v>
      </c>
      <c r="D329" t="s">
        <v>3517</v>
      </c>
      <c r="E329" t="s">
        <v>1769</v>
      </c>
      <c r="F329" s="7" t="str">
        <f>IFERROR(INDEX(测试!H:H,MATCH(E329,测试!A:A,0)),1)</f>
        <v>-</v>
      </c>
    </row>
    <row r="330" spans="1:6" hidden="1" x14ac:dyDescent="0.3">
      <c r="A330" t="s">
        <v>2981</v>
      </c>
      <c r="B330" t="s">
        <v>1770</v>
      </c>
      <c r="C330" t="s">
        <v>1771</v>
      </c>
      <c r="D330" t="s">
        <v>3518</v>
      </c>
      <c r="E330" t="s">
        <v>1773</v>
      </c>
      <c r="F330" s="7" t="str">
        <f>IFERROR(INDEX(测试!H:H,MATCH(E330,测试!A:A,0)),1)</f>
        <v>-</v>
      </c>
    </row>
    <row r="331" spans="1:6" hidden="1" x14ac:dyDescent="0.3">
      <c r="A331" t="s">
        <v>2981</v>
      </c>
      <c r="B331" t="s">
        <v>4426</v>
      </c>
      <c r="C331" t="s">
        <v>1775</v>
      </c>
      <c r="D331" t="s">
        <v>3519</v>
      </c>
      <c r="E331" t="s">
        <v>1777</v>
      </c>
      <c r="F331" s="7" t="str">
        <f>IFERROR(INDEX(测试!H:H,MATCH(E331,测试!A:A,0)),1)</f>
        <v>文件名错误</v>
      </c>
    </row>
    <row r="332" spans="1:6" hidden="1" x14ac:dyDescent="0.3">
      <c r="A332" t="s">
        <v>2981</v>
      </c>
      <c r="B332" t="s">
        <v>4427</v>
      </c>
      <c r="C332" t="s">
        <v>1779</v>
      </c>
      <c r="D332" t="s">
        <v>3520</v>
      </c>
      <c r="E332" t="s">
        <v>1781</v>
      </c>
      <c r="F332" s="7" t="str">
        <f>IFERROR(INDEX(测试!H:H,MATCH(E332,测试!A:A,0)),1)</f>
        <v>文件名错误</v>
      </c>
    </row>
    <row r="333" spans="1:6" hidden="1" x14ac:dyDescent="0.3">
      <c r="A333" t="s">
        <v>2981</v>
      </c>
      <c r="B333" t="s">
        <v>1782</v>
      </c>
      <c r="C333" t="s">
        <v>1783</v>
      </c>
      <c r="D333" t="s">
        <v>3521</v>
      </c>
      <c r="E333" t="s">
        <v>1785</v>
      </c>
      <c r="F333" s="7" t="str">
        <f>IFERROR(INDEX(测试!H:H,MATCH(E333,测试!A:A,0)),1)</f>
        <v>-</v>
      </c>
    </row>
    <row r="334" spans="1:6" hidden="1" x14ac:dyDescent="0.3">
      <c r="A334" t="s">
        <v>2981</v>
      </c>
      <c r="B334" t="s">
        <v>1786</v>
      </c>
      <c r="C334" t="s">
        <v>1787</v>
      </c>
      <c r="D334" t="s">
        <v>3522</v>
      </c>
      <c r="E334" t="s">
        <v>1789</v>
      </c>
      <c r="F334" s="7" t="str">
        <f>IFERROR(INDEX(测试!H:H,MATCH(E334,测试!A:A,0)),1)</f>
        <v>-</v>
      </c>
    </row>
    <row r="335" spans="1:6" hidden="1" x14ac:dyDescent="0.3">
      <c r="A335" t="s">
        <v>2981</v>
      </c>
      <c r="B335" t="s">
        <v>1790</v>
      </c>
      <c r="C335" t="s">
        <v>1791</v>
      </c>
      <c r="D335" t="s">
        <v>3523</v>
      </c>
      <c r="E335" t="s">
        <v>1793</v>
      </c>
      <c r="F335" s="7" t="str">
        <f>IFERROR(INDEX(测试!H:H,MATCH(E335,测试!A:A,0)),1)</f>
        <v>-</v>
      </c>
    </row>
    <row r="336" spans="1:6" hidden="1" x14ac:dyDescent="0.3">
      <c r="A336" t="s">
        <v>2981</v>
      </c>
      <c r="B336" t="s">
        <v>1794</v>
      </c>
      <c r="C336" t="s">
        <v>1795</v>
      </c>
      <c r="D336" t="s">
        <v>3524</v>
      </c>
      <c r="E336" t="s">
        <v>1797</v>
      </c>
      <c r="F336" s="7" t="str">
        <f>IFERROR(INDEX(测试!H:H,MATCH(E336,测试!A:A,0)),1)</f>
        <v>-</v>
      </c>
    </row>
    <row r="337" spans="1:6" hidden="1" x14ac:dyDescent="0.3">
      <c r="A337" t="s">
        <v>2981</v>
      </c>
      <c r="B337" t="s">
        <v>1798</v>
      </c>
      <c r="C337" t="s">
        <v>1799</v>
      </c>
      <c r="D337" t="s">
        <v>3525</v>
      </c>
      <c r="E337" t="s">
        <v>3063</v>
      </c>
      <c r="F337" s="7" t="str">
        <f>IFERROR(INDEX(测试!H:H,MATCH(E337,测试!A:A,0)),1)</f>
        <v>-</v>
      </c>
    </row>
    <row r="338" spans="1:6" hidden="1" x14ac:dyDescent="0.3">
      <c r="A338" t="s">
        <v>2981</v>
      </c>
      <c r="B338" t="s">
        <v>1801</v>
      </c>
      <c r="C338" t="s">
        <v>1802</v>
      </c>
      <c r="D338" t="s">
        <v>3526</v>
      </c>
      <c r="E338" t="s">
        <v>1804</v>
      </c>
      <c r="F338" s="7" t="str">
        <f>IFERROR(INDEX(测试!H:H,MATCH(E338,测试!A:A,0)),1)</f>
        <v>-</v>
      </c>
    </row>
    <row r="339" spans="1:6" hidden="1" x14ac:dyDescent="0.3">
      <c r="A339" t="s">
        <v>2981</v>
      </c>
      <c r="B339" t="s">
        <v>1805</v>
      </c>
      <c r="C339" t="s">
        <v>1806</v>
      </c>
      <c r="D339" t="s">
        <v>3527</v>
      </c>
      <c r="E339" t="s">
        <v>1808</v>
      </c>
      <c r="F339" s="7" t="str">
        <f>IFERROR(INDEX(测试!H:H,MATCH(E339,测试!A:A,0)),1)</f>
        <v>-</v>
      </c>
    </row>
    <row r="340" spans="1:6" hidden="1" x14ac:dyDescent="0.3">
      <c r="A340" t="s">
        <v>2981</v>
      </c>
      <c r="B340" t="s">
        <v>1809</v>
      </c>
      <c r="C340" t="s">
        <v>1810</v>
      </c>
      <c r="D340" t="s">
        <v>3528</v>
      </c>
      <c r="E340" t="s">
        <v>1812</v>
      </c>
      <c r="F340" s="7" t="str">
        <f>IFERROR(INDEX(测试!H:H,MATCH(E340,测试!A:A,0)),1)</f>
        <v>-</v>
      </c>
    </row>
    <row r="341" spans="1:6" hidden="1" x14ac:dyDescent="0.3">
      <c r="A341" t="s">
        <v>2981</v>
      </c>
      <c r="B341" t="s">
        <v>1813</v>
      </c>
      <c r="C341" t="s">
        <v>1814</v>
      </c>
      <c r="D341" t="s">
        <v>3529</v>
      </c>
      <c r="E341" t="s">
        <v>1816</v>
      </c>
      <c r="F341" s="7" t="str">
        <f>IFERROR(INDEX(测试!H:H,MATCH(E341,测试!A:A,0)),1)</f>
        <v>-</v>
      </c>
    </row>
    <row r="342" spans="1:6" hidden="1" x14ac:dyDescent="0.3">
      <c r="A342" t="s">
        <v>2981</v>
      </c>
      <c r="B342" t="s">
        <v>1817</v>
      </c>
      <c r="C342" t="s">
        <v>1818</v>
      </c>
      <c r="D342" t="s">
        <v>3530</v>
      </c>
      <c r="E342" t="s">
        <v>1820</v>
      </c>
      <c r="F342" s="7" t="str">
        <f>IFERROR(INDEX(测试!H:H,MATCH(E342,测试!A:A,0)),1)</f>
        <v>-</v>
      </c>
    </row>
    <row r="343" spans="1:6" hidden="1" x14ac:dyDescent="0.3">
      <c r="A343" t="s">
        <v>2981</v>
      </c>
      <c r="B343" t="s">
        <v>1821</v>
      </c>
      <c r="C343" t="s">
        <v>1822</v>
      </c>
      <c r="D343" t="s">
        <v>3531</v>
      </c>
      <c r="E343" t="s">
        <v>1824</v>
      </c>
      <c r="F343" s="7" t="str">
        <f>IFERROR(INDEX(测试!H:H,MATCH(E343,测试!A:A,0)),1)</f>
        <v>-</v>
      </c>
    </row>
    <row r="344" spans="1:6" hidden="1" x14ac:dyDescent="0.3">
      <c r="A344" t="s">
        <v>2981</v>
      </c>
      <c r="B344" t="s">
        <v>1825</v>
      </c>
      <c r="C344" t="s">
        <v>1826</v>
      </c>
      <c r="D344" t="s">
        <v>3532</v>
      </c>
      <c r="E344" t="s">
        <v>1828</v>
      </c>
      <c r="F344" s="7" t="str">
        <f>IFERROR(INDEX(测试!H:H,MATCH(E344,测试!A:A,0)),1)</f>
        <v>-</v>
      </c>
    </row>
    <row r="345" spans="1:6" hidden="1" x14ac:dyDescent="0.3">
      <c r="A345" t="s">
        <v>2981</v>
      </c>
      <c r="B345" t="s">
        <v>1829</v>
      </c>
      <c r="C345" t="s">
        <v>1830</v>
      </c>
      <c r="D345" t="s">
        <v>3533</v>
      </c>
      <c r="E345" t="s">
        <v>1832</v>
      </c>
      <c r="F345" s="7" t="str">
        <f>IFERROR(INDEX(测试!H:H,MATCH(E345,测试!A:A,0)),1)</f>
        <v>-</v>
      </c>
    </row>
    <row r="346" spans="1:6" hidden="1" x14ac:dyDescent="0.3">
      <c r="A346" t="s">
        <v>2981</v>
      </c>
      <c r="B346" t="s">
        <v>1833</v>
      </c>
      <c r="C346" t="s">
        <v>1834</v>
      </c>
      <c r="D346" t="s">
        <v>3534</v>
      </c>
      <c r="E346" t="s">
        <v>1836</v>
      </c>
      <c r="F346" s="7" t="str">
        <f>IFERROR(INDEX(测试!H:H,MATCH(E346,测试!A:A,0)),1)</f>
        <v>-</v>
      </c>
    </row>
    <row r="347" spans="1:6" hidden="1" x14ac:dyDescent="0.3">
      <c r="A347" t="s">
        <v>2981</v>
      </c>
      <c r="B347" t="s">
        <v>1837</v>
      </c>
      <c r="C347" t="s">
        <v>1838</v>
      </c>
      <c r="D347" t="s">
        <v>3535</v>
      </c>
      <c r="E347" t="s">
        <v>1840</v>
      </c>
      <c r="F347" s="7" t="str">
        <f>IFERROR(INDEX(测试!H:H,MATCH(E347,测试!A:A,0)),1)</f>
        <v>-</v>
      </c>
    </row>
    <row r="348" spans="1:6" hidden="1" x14ac:dyDescent="0.3">
      <c r="A348" t="s">
        <v>2981</v>
      </c>
      <c r="B348" t="s">
        <v>1841</v>
      </c>
      <c r="C348" t="s">
        <v>1842</v>
      </c>
      <c r="D348" t="s">
        <v>3536</v>
      </c>
      <c r="E348" t="s">
        <v>1844</v>
      </c>
      <c r="F348" s="7" t="str">
        <f>IFERROR(INDEX(测试!H:H,MATCH(E348,测试!A:A,0)),1)</f>
        <v>-</v>
      </c>
    </row>
    <row r="349" spans="1:6" hidden="1" x14ac:dyDescent="0.3">
      <c r="A349" t="s">
        <v>2981</v>
      </c>
      <c r="B349" t="s">
        <v>1845</v>
      </c>
      <c r="C349" t="s">
        <v>1846</v>
      </c>
      <c r="D349" t="s">
        <v>3537</v>
      </c>
      <c r="E349" t="s">
        <v>1848</v>
      </c>
      <c r="F349" s="7" t="str">
        <f>IFERROR(INDEX(测试!H:H,MATCH(E349,测试!A:A,0)),1)</f>
        <v>-</v>
      </c>
    </row>
    <row r="350" spans="1:6" hidden="1" x14ac:dyDescent="0.3">
      <c r="A350" t="s">
        <v>2981</v>
      </c>
      <c r="B350" t="s">
        <v>1849</v>
      </c>
      <c r="C350" t="s">
        <v>1850</v>
      </c>
      <c r="D350" t="s">
        <v>3538</v>
      </c>
      <c r="E350" t="s">
        <v>1852</v>
      </c>
      <c r="F350" s="7" t="str">
        <f>IFERROR(INDEX(测试!H:H,MATCH(E350,测试!A:A,0)),1)</f>
        <v>-</v>
      </c>
    </row>
    <row r="351" spans="1:6" hidden="1" x14ac:dyDescent="0.3">
      <c r="A351" t="s">
        <v>2981</v>
      </c>
      <c r="B351" t="s">
        <v>1853</v>
      </c>
      <c r="C351" t="s">
        <v>1854</v>
      </c>
      <c r="D351" t="s">
        <v>3539</v>
      </c>
      <c r="E351" t="s">
        <v>1856</v>
      </c>
      <c r="F351" s="7" t="str">
        <f>IFERROR(INDEX(测试!H:H,MATCH(E351,测试!A:A,0)),1)</f>
        <v>-</v>
      </c>
    </row>
    <row r="352" spans="1:6" hidden="1" x14ac:dyDescent="0.3">
      <c r="A352" t="s">
        <v>2981</v>
      </c>
      <c r="B352" t="s">
        <v>1857</v>
      </c>
      <c r="C352" t="s">
        <v>1858</v>
      </c>
      <c r="D352" t="s">
        <v>3540</v>
      </c>
      <c r="E352" t="s">
        <v>1860</v>
      </c>
      <c r="F352" s="7" t="str">
        <f>IFERROR(INDEX(测试!H:H,MATCH(E352,测试!A:A,0)),1)</f>
        <v>-</v>
      </c>
    </row>
    <row r="353" spans="1:6" hidden="1" x14ac:dyDescent="0.3">
      <c r="A353" t="s">
        <v>2981</v>
      </c>
      <c r="B353" t="s">
        <v>1861</v>
      </c>
      <c r="C353" t="s">
        <v>1862</v>
      </c>
      <c r="D353" t="s">
        <v>3541</v>
      </c>
      <c r="E353" t="s">
        <v>1864</v>
      </c>
      <c r="F353" s="7" t="str">
        <f>IFERROR(INDEX(测试!H:H,MATCH(E353,测试!A:A,0)),1)</f>
        <v>-</v>
      </c>
    </row>
    <row r="354" spans="1:6" hidden="1" x14ac:dyDescent="0.3">
      <c r="A354" t="s">
        <v>2981</v>
      </c>
      <c r="B354" t="s">
        <v>1865</v>
      </c>
      <c r="C354" t="s">
        <v>1866</v>
      </c>
      <c r="D354" t="s">
        <v>3542</v>
      </c>
      <c r="E354" t="s">
        <v>1868</v>
      </c>
      <c r="F354" s="7" t="str">
        <f>IFERROR(INDEX(测试!H:H,MATCH(E354,测试!A:A,0)),1)</f>
        <v>-</v>
      </c>
    </row>
    <row r="355" spans="1:6" hidden="1" x14ac:dyDescent="0.3">
      <c r="A355" t="s">
        <v>2981</v>
      </c>
      <c r="B355" t="s">
        <v>1869</v>
      </c>
      <c r="C355" t="s">
        <v>1870</v>
      </c>
      <c r="D355" t="s">
        <v>3543</v>
      </c>
      <c r="E355" t="s">
        <v>1872</v>
      </c>
      <c r="F355" s="7" t="str">
        <f>IFERROR(INDEX(测试!H:H,MATCH(E355,测试!A:A,0)),1)</f>
        <v>-</v>
      </c>
    </row>
    <row r="356" spans="1:6" hidden="1" x14ac:dyDescent="0.3">
      <c r="A356" t="s">
        <v>2981</v>
      </c>
      <c r="B356" t="s">
        <v>1873</v>
      </c>
      <c r="C356" t="s">
        <v>1874</v>
      </c>
      <c r="D356" t="s">
        <v>3544</v>
      </c>
      <c r="E356" t="s">
        <v>1876</v>
      </c>
      <c r="F356" s="7" t="str">
        <f>IFERROR(INDEX(测试!H:H,MATCH(E356,测试!A:A,0)),1)</f>
        <v>-</v>
      </c>
    </row>
    <row r="357" spans="1:6" hidden="1" x14ac:dyDescent="0.3">
      <c r="A357" t="s">
        <v>2981</v>
      </c>
      <c r="B357" t="s">
        <v>1877</v>
      </c>
      <c r="C357" t="s">
        <v>1878</v>
      </c>
      <c r="D357" t="s">
        <v>3545</v>
      </c>
      <c r="E357" t="s">
        <v>1880</v>
      </c>
      <c r="F357" s="7" t="str">
        <f>IFERROR(INDEX(测试!H:H,MATCH(E357,测试!A:A,0)),1)</f>
        <v>-</v>
      </c>
    </row>
    <row r="358" spans="1:6" hidden="1" x14ac:dyDescent="0.3">
      <c r="A358" t="s">
        <v>2981</v>
      </c>
      <c r="B358" t="s">
        <v>1881</v>
      </c>
      <c r="C358" t="s">
        <v>1882</v>
      </c>
      <c r="D358" t="s">
        <v>3546</v>
      </c>
      <c r="E358" t="s">
        <v>1884</v>
      </c>
      <c r="F358" s="7" t="str">
        <f>IFERROR(INDEX(测试!H:H,MATCH(E358,测试!A:A,0)),1)</f>
        <v>-</v>
      </c>
    </row>
    <row r="359" spans="1:6" hidden="1" x14ac:dyDescent="0.3">
      <c r="A359" t="s">
        <v>2981</v>
      </c>
      <c r="B359" t="s">
        <v>1885</v>
      </c>
      <c r="C359" t="s">
        <v>1886</v>
      </c>
      <c r="D359" t="s">
        <v>3547</v>
      </c>
      <c r="E359" t="s">
        <v>1888</v>
      </c>
      <c r="F359" s="7" t="str">
        <f>IFERROR(INDEX(测试!H:H,MATCH(E359,测试!A:A,0)),1)</f>
        <v>-</v>
      </c>
    </row>
    <row r="360" spans="1:6" hidden="1" x14ac:dyDescent="0.3">
      <c r="A360" t="s">
        <v>2981</v>
      </c>
      <c r="B360" t="s">
        <v>1889</v>
      </c>
      <c r="C360" t="s">
        <v>1890</v>
      </c>
      <c r="D360" t="s">
        <v>3548</v>
      </c>
      <c r="E360" t="s">
        <v>3064</v>
      </c>
      <c r="F360" s="7" t="str">
        <f>IFERROR(INDEX(测试!H:H,MATCH(E360,测试!A:A,0)),1)</f>
        <v>-</v>
      </c>
    </row>
    <row r="361" spans="1:6" hidden="1" x14ac:dyDescent="0.3">
      <c r="A361" t="s">
        <v>2981</v>
      </c>
      <c r="B361" t="s">
        <v>1892</v>
      </c>
      <c r="C361" t="s">
        <v>1893</v>
      </c>
      <c r="D361" t="s">
        <v>3549</v>
      </c>
      <c r="E361" t="s">
        <v>1895</v>
      </c>
      <c r="F361" s="7" t="str">
        <f>IFERROR(INDEX(测试!H:H,MATCH(E361,测试!A:A,0)),1)</f>
        <v>-</v>
      </c>
    </row>
    <row r="362" spans="1:6" hidden="1" x14ac:dyDescent="0.3">
      <c r="A362" t="s">
        <v>2981</v>
      </c>
      <c r="B362" t="s">
        <v>1896</v>
      </c>
      <c r="C362" t="s">
        <v>1897</v>
      </c>
      <c r="D362" t="s">
        <v>3550</v>
      </c>
      <c r="E362" t="s">
        <v>1899</v>
      </c>
      <c r="F362" s="7" t="str">
        <f>IFERROR(INDEX(测试!H:H,MATCH(E362,测试!A:A,0)),1)</f>
        <v>-</v>
      </c>
    </row>
    <row r="363" spans="1:6" hidden="1" x14ac:dyDescent="0.3">
      <c r="A363" t="s">
        <v>2981</v>
      </c>
      <c r="B363" t="s">
        <v>1900</v>
      </c>
      <c r="C363" t="s">
        <v>1901</v>
      </c>
      <c r="D363" t="s">
        <v>3551</v>
      </c>
      <c r="E363" t="s">
        <v>1903</v>
      </c>
      <c r="F363" s="7" t="str">
        <f>IFERROR(INDEX(测试!H:H,MATCH(E363,测试!A:A,0)),1)</f>
        <v>-</v>
      </c>
    </row>
    <row r="364" spans="1:6" hidden="1" x14ac:dyDescent="0.3">
      <c r="A364" t="s">
        <v>2981</v>
      </c>
      <c r="B364" t="s">
        <v>1904</v>
      </c>
      <c r="C364" t="s">
        <v>1905</v>
      </c>
      <c r="D364" t="s">
        <v>3552</v>
      </c>
      <c r="E364" t="s">
        <v>1907</v>
      </c>
      <c r="F364" s="7" t="str">
        <f>IFERROR(INDEX(测试!H:H,MATCH(E364,测试!A:A,0)),1)</f>
        <v>-</v>
      </c>
    </row>
    <row r="365" spans="1:6" hidden="1" x14ac:dyDescent="0.3">
      <c r="A365" t="s">
        <v>2981</v>
      </c>
      <c r="B365" t="s">
        <v>1908</v>
      </c>
      <c r="C365" t="s">
        <v>1909</v>
      </c>
      <c r="D365" t="s">
        <v>3553</v>
      </c>
      <c r="E365" t="s">
        <v>1911</v>
      </c>
      <c r="F365" s="7" t="str">
        <f>IFERROR(INDEX(测试!H:H,MATCH(E365,测试!A:A,0)),1)</f>
        <v>-</v>
      </c>
    </row>
    <row r="366" spans="1:6" hidden="1" x14ac:dyDescent="0.3">
      <c r="A366" t="s">
        <v>2981</v>
      </c>
      <c r="B366" t="s">
        <v>1912</v>
      </c>
      <c r="C366" t="s">
        <v>1913</v>
      </c>
      <c r="D366" t="s">
        <v>3554</v>
      </c>
      <c r="E366" t="s">
        <v>1915</v>
      </c>
      <c r="F366" s="7" t="str">
        <f>IFERROR(INDEX(测试!H:H,MATCH(E366,测试!A:A,0)),1)</f>
        <v>-</v>
      </c>
    </row>
    <row r="367" spans="1:6" hidden="1" x14ac:dyDescent="0.3">
      <c r="A367" t="s">
        <v>2981</v>
      </c>
      <c r="B367" t="s">
        <v>1916</v>
      </c>
      <c r="C367" t="s">
        <v>1917</v>
      </c>
      <c r="D367" t="s">
        <v>3555</v>
      </c>
      <c r="E367" t="s">
        <v>1919</v>
      </c>
      <c r="F367" s="7" t="str">
        <f>IFERROR(INDEX(测试!H:H,MATCH(E367,测试!A:A,0)),1)</f>
        <v>-</v>
      </c>
    </row>
    <row r="368" spans="1:6" hidden="1" x14ac:dyDescent="0.3">
      <c r="A368" t="s">
        <v>2981</v>
      </c>
      <c r="B368" t="s">
        <v>1920</v>
      </c>
      <c r="C368" t="s">
        <v>1921</v>
      </c>
      <c r="D368" t="s">
        <v>3556</v>
      </c>
      <c r="E368" t="s">
        <v>1923</v>
      </c>
      <c r="F368" s="7" t="str">
        <f>IFERROR(INDEX(测试!H:H,MATCH(E368,测试!A:A,0)),1)</f>
        <v>-</v>
      </c>
    </row>
    <row r="369" spans="1:6" hidden="1" x14ac:dyDescent="0.3">
      <c r="A369" t="s">
        <v>2981</v>
      </c>
      <c r="B369" t="s">
        <v>1924</v>
      </c>
      <c r="C369" t="s">
        <v>1925</v>
      </c>
      <c r="D369" t="s">
        <v>3557</v>
      </c>
      <c r="E369" t="s">
        <v>1927</v>
      </c>
      <c r="F369" s="7" t="str">
        <f>IFERROR(INDEX(测试!H:H,MATCH(E369,测试!A:A,0)),1)</f>
        <v>-</v>
      </c>
    </row>
    <row r="370" spans="1:6" hidden="1" x14ac:dyDescent="0.3">
      <c r="A370" t="s">
        <v>2981</v>
      </c>
      <c r="B370" t="s">
        <v>1928</v>
      </c>
      <c r="C370" t="s">
        <v>1929</v>
      </c>
      <c r="D370" t="s">
        <v>3558</v>
      </c>
      <c r="E370" t="s">
        <v>1931</v>
      </c>
      <c r="F370" s="7" t="str">
        <f>IFERROR(INDEX(测试!H:H,MATCH(E370,测试!A:A,0)),1)</f>
        <v>-</v>
      </c>
    </row>
    <row r="371" spans="1:6" hidden="1" x14ac:dyDescent="0.3">
      <c r="A371" t="s">
        <v>2981</v>
      </c>
      <c r="B371" t="s">
        <v>1932</v>
      </c>
      <c r="C371" t="s">
        <v>1933</v>
      </c>
      <c r="D371" t="s">
        <v>3559</v>
      </c>
      <c r="E371" t="s">
        <v>1935</v>
      </c>
      <c r="F371" s="7" t="str">
        <f>IFERROR(INDEX(测试!H:H,MATCH(E371,测试!A:A,0)),1)</f>
        <v>-</v>
      </c>
    </row>
    <row r="372" spans="1:6" hidden="1" x14ac:dyDescent="0.3">
      <c r="A372" t="s">
        <v>2981</v>
      </c>
      <c r="B372" t="s">
        <v>1936</v>
      </c>
      <c r="C372" t="s">
        <v>1937</v>
      </c>
      <c r="D372" t="s">
        <v>3560</v>
      </c>
      <c r="E372" t="s">
        <v>3065</v>
      </c>
      <c r="F372" s="7" t="str">
        <f>IFERROR(INDEX(测试!H:H,MATCH(E372,测试!A:A,0)),1)</f>
        <v>-</v>
      </c>
    </row>
    <row r="373" spans="1:6" hidden="1" x14ac:dyDescent="0.3">
      <c r="A373" t="s">
        <v>2981</v>
      </c>
      <c r="B373" t="s">
        <v>1939</v>
      </c>
      <c r="C373" t="s">
        <v>1940</v>
      </c>
      <c r="D373" t="s">
        <v>3561</v>
      </c>
      <c r="E373" t="s">
        <v>1942</v>
      </c>
      <c r="F373" s="7" t="str">
        <f>IFERROR(INDEX(测试!H:H,MATCH(E373,测试!A:A,0)),1)</f>
        <v>-</v>
      </c>
    </row>
    <row r="374" spans="1:6" hidden="1" x14ac:dyDescent="0.3">
      <c r="A374" t="s">
        <v>2981</v>
      </c>
      <c r="B374" t="s">
        <v>1943</v>
      </c>
      <c r="C374" t="s">
        <v>1944</v>
      </c>
      <c r="D374" t="s">
        <v>3562</v>
      </c>
      <c r="E374" t="s">
        <v>1946</v>
      </c>
      <c r="F374" s="7" t="str">
        <f>IFERROR(INDEX(测试!H:H,MATCH(E374,测试!A:A,0)),1)</f>
        <v>-</v>
      </c>
    </row>
    <row r="375" spans="1:6" hidden="1" x14ac:dyDescent="0.3">
      <c r="A375" t="s">
        <v>2981</v>
      </c>
      <c r="B375" t="s">
        <v>1947</v>
      </c>
      <c r="C375" t="s">
        <v>1948</v>
      </c>
      <c r="D375" t="s">
        <v>3563</v>
      </c>
      <c r="E375" t="s">
        <v>1950</v>
      </c>
      <c r="F375" s="7" t="str">
        <f>IFERROR(INDEX(测试!H:H,MATCH(E375,测试!A:A,0)),1)</f>
        <v>-</v>
      </c>
    </row>
    <row r="376" spans="1:6" hidden="1" x14ac:dyDescent="0.3">
      <c r="A376" t="s">
        <v>2981</v>
      </c>
      <c r="B376" t="s">
        <v>1951</v>
      </c>
      <c r="C376" t="s">
        <v>1952</v>
      </c>
      <c r="D376" t="s">
        <v>3564</v>
      </c>
      <c r="E376" t="s">
        <v>1954</v>
      </c>
      <c r="F376" s="7" t="str">
        <f>IFERROR(INDEX(测试!H:H,MATCH(E376,测试!A:A,0)),1)</f>
        <v>-</v>
      </c>
    </row>
    <row r="377" spans="1:6" hidden="1" x14ac:dyDescent="0.3">
      <c r="A377" t="s">
        <v>2981</v>
      </c>
      <c r="B377" t="s">
        <v>1955</v>
      </c>
      <c r="C377" t="s">
        <v>1956</v>
      </c>
      <c r="D377" t="s">
        <v>3565</v>
      </c>
      <c r="E377" t="s">
        <v>1958</v>
      </c>
      <c r="F377" s="7" t="str">
        <f>IFERROR(INDEX(测试!H:H,MATCH(E377,测试!A:A,0)),1)</f>
        <v>-</v>
      </c>
    </row>
    <row r="378" spans="1:6" hidden="1" x14ac:dyDescent="0.3">
      <c r="A378" t="s">
        <v>2981</v>
      </c>
      <c r="B378" t="s">
        <v>1959</v>
      </c>
      <c r="C378" t="s">
        <v>1960</v>
      </c>
      <c r="D378" t="s">
        <v>3566</v>
      </c>
      <c r="E378" t="s">
        <v>1962</v>
      </c>
      <c r="F378" s="7" t="str">
        <f>IFERROR(INDEX(测试!H:H,MATCH(E378,测试!A:A,0)),1)</f>
        <v>-</v>
      </c>
    </row>
    <row r="379" spans="1:6" hidden="1" x14ac:dyDescent="0.3">
      <c r="A379" t="s">
        <v>2981</v>
      </c>
      <c r="B379" t="s">
        <v>1963</v>
      </c>
      <c r="C379" t="s">
        <v>1964</v>
      </c>
      <c r="D379" t="s">
        <v>3567</v>
      </c>
      <c r="E379" t="s">
        <v>3066</v>
      </c>
      <c r="F379" s="7" t="str">
        <f>IFERROR(INDEX(测试!H:H,MATCH(E379,测试!A:A,0)),1)</f>
        <v>-</v>
      </c>
    </row>
    <row r="380" spans="1:6" hidden="1" x14ac:dyDescent="0.3">
      <c r="A380" t="s">
        <v>2981</v>
      </c>
      <c r="B380" t="s">
        <v>1966</v>
      </c>
      <c r="C380" t="s">
        <v>1967</v>
      </c>
      <c r="D380" t="s">
        <v>3568</v>
      </c>
      <c r="E380" t="s">
        <v>1969</v>
      </c>
      <c r="F380" s="7" t="str">
        <f>IFERROR(INDEX(测试!H:H,MATCH(E380,测试!A:A,0)),1)</f>
        <v>-</v>
      </c>
    </row>
    <row r="381" spans="1:6" hidden="1" x14ac:dyDescent="0.3">
      <c r="A381" t="s">
        <v>2981</v>
      </c>
      <c r="B381" t="s">
        <v>1970</v>
      </c>
      <c r="C381" t="s">
        <v>1971</v>
      </c>
      <c r="D381" t="s">
        <v>3569</v>
      </c>
      <c r="E381" t="s">
        <v>1973</v>
      </c>
      <c r="F381" s="7" t="str">
        <f>IFERROR(INDEX(测试!H:H,MATCH(E381,测试!A:A,0)),1)</f>
        <v>-</v>
      </c>
    </row>
    <row r="382" spans="1:6" hidden="1" x14ac:dyDescent="0.3">
      <c r="A382" t="s">
        <v>2981</v>
      </c>
      <c r="B382" t="s">
        <v>1974</v>
      </c>
      <c r="C382" t="s">
        <v>1975</v>
      </c>
      <c r="D382" t="s">
        <v>3570</v>
      </c>
      <c r="E382" t="s">
        <v>1977</v>
      </c>
      <c r="F382" s="7" t="str">
        <f>IFERROR(INDEX(测试!H:H,MATCH(E382,测试!A:A,0)),1)</f>
        <v>-</v>
      </c>
    </row>
    <row r="383" spans="1:6" hidden="1" x14ac:dyDescent="0.3">
      <c r="A383" t="s">
        <v>2981</v>
      </c>
      <c r="B383" t="s">
        <v>1978</v>
      </c>
      <c r="C383" t="s">
        <v>1979</v>
      </c>
      <c r="D383" t="s">
        <v>3571</v>
      </c>
      <c r="E383" t="s">
        <v>1981</v>
      </c>
      <c r="F383" s="7" t="str">
        <f>IFERROR(INDEX(测试!H:H,MATCH(E383,测试!A:A,0)),1)</f>
        <v>-</v>
      </c>
    </row>
    <row r="384" spans="1:6" hidden="1" x14ac:dyDescent="0.3">
      <c r="A384" t="s">
        <v>2981</v>
      </c>
      <c r="B384" t="s">
        <v>1982</v>
      </c>
      <c r="C384" t="s">
        <v>1983</v>
      </c>
      <c r="D384" t="s">
        <v>3572</v>
      </c>
      <c r="E384" t="s">
        <v>1985</v>
      </c>
      <c r="F384" s="7" t="str">
        <f>IFERROR(INDEX(测试!H:H,MATCH(E384,测试!A:A,0)),1)</f>
        <v>-</v>
      </c>
    </row>
    <row r="385" spans="1:6" hidden="1" x14ac:dyDescent="0.3">
      <c r="A385" t="s">
        <v>2981</v>
      </c>
      <c r="B385" t="s">
        <v>1986</v>
      </c>
      <c r="C385" t="s">
        <v>1987</v>
      </c>
      <c r="D385" t="s">
        <v>3573</v>
      </c>
      <c r="E385" t="s">
        <v>1989</v>
      </c>
      <c r="F385" s="7" t="str">
        <f>IFERROR(INDEX(测试!H:H,MATCH(E385,测试!A:A,0)),1)</f>
        <v>-</v>
      </c>
    </row>
    <row r="386" spans="1:6" hidden="1" x14ac:dyDescent="0.3">
      <c r="A386" t="s">
        <v>2981</v>
      </c>
      <c r="B386" t="s">
        <v>1990</v>
      </c>
      <c r="C386" t="s">
        <v>1991</v>
      </c>
      <c r="D386" t="s">
        <v>3574</v>
      </c>
      <c r="E386" t="s">
        <v>1993</v>
      </c>
      <c r="F386" s="7" t="str">
        <f>IFERROR(INDEX(测试!H:H,MATCH(E386,测试!A:A,0)),1)</f>
        <v>-</v>
      </c>
    </row>
    <row r="387" spans="1:6" hidden="1" x14ac:dyDescent="0.3">
      <c r="A387" t="s">
        <v>2981</v>
      </c>
      <c r="B387" t="s">
        <v>1994</v>
      </c>
      <c r="C387" t="s">
        <v>1995</v>
      </c>
      <c r="D387" t="s">
        <v>3575</v>
      </c>
      <c r="E387" t="s">
        <v>1997</v>
      </c>
      <c r="F387" s="7" t="str">
        <f>IFERROR(INDEX(测试!H:H,MATCH(E387,测试!A:A,0)),1)</f>
        <v>-</v>
      </c>
    </row>
    <row r="388" spans="1:6" hidden="1" x14ac:dyDescent="0.3">
      <c r="A388" t="s">
        <v>2981</v>
      </c>
      <c r="B388" t="s">
        <v>1998</v>
      </c>
      <c r="C388" t="s">
        <v>1999</v>
      </c>
      <c r="D388" t="s">
        <v>3576</v>
      </c>
      <c r="E388" t="s">
        <v>2001</v>
      </c>
      <c r="F388" s="7" t="str">
        <f>IFERROR(INDEX(测试!H:H,MATCH(E388,测试!A:A,0)),1)</f>
        <v>-</v>
      </c>
    </row>
    <row r="389" spans="1:6" hidden="1" x14ac:dyDescent="0.3">
      <c r="A389" t="s">
        <v>2981</v>
      </c>
      <c r="B389" t="s">
        <v>2002</v>
      </c>
      <c r="C389" t="s">
        <v>2003</v>
      </c>
      <c r="D389" t="s">
        <v>3577</v>
      </c>
      <c r="E389" t="s">
        <v>2005</v>
      </c>
      <c r="F389" s="7" t="str">
        <f>IFERROR(INDEX(测试!H:H,MATCH(E389,测试!A:A,0)),1)</f>
        <v>-</v>
      </c>
    </row>
    <row r="390" spans="1:6" hidden="1" x14ac:dyDescent="0.3">
      <c r="A390" t="s">
        <v>2981</v>
      </c>
      <c r="B390" t="s">
        <v>2006</v>
      </c>
      <c r="C390" t="s">
        <v>2007</v>
      </c>
      <c r="D390" t="s">
        <v>3578</v>
      </c>
      <c r="E390" t="s">
        <v>2009</v>
      </c>
      <c r="F390" s="7" t="str">
        <f>IFERROR(INDEX(测试!H:H,MATCH(E390,测试!A:A,0)),1)</f>
        <v>-</v>
      </c>
    </row>
    <row r="391" spans="1:6" hidden="1" x14ac:dyDescent="0.3">
      <c r="A391" t="s">
        <v>2981</v>
      </c>
      <c r="B391" t="s">
        <v>2010</v>
      </c>
      <c r="C391" t="s">
        <v>2011</v>
      </c>
      <c r="D391" t="s">
        <v>3579</v>
      </c>
      <c r="E391" t="s">
        <v>2013</v>
      </c>
      <c r="F391" s="7" t="str">
        <f>IFERROR(INDEX(测试!H:H,MATCH(E391,测试!A:A,0)),1)</f>
        <v>-</v>
      </c>
    </row>
    <row r="392" spans="1:6" hidden="1" x14ac:dyDescent="0.3">
      <c r="A392" t="s">
        <v>2981</v>
      </c>
      <c r="B392" t="s">
        <v>2014</v>
      </c>
      <c r="C392" t="s">
        <v>2015</v>
      </c>
      <c r="D392" t="s">
        <v>3580</v>
      </c>
      <c r="E392" t="s">
        <v>2017</v>
      </c>
      <c r="F392" s="7" t="str">
        <f>IFERROR(INDEX(测试!H:H,MATCH(E392,测试!A:A,0)),1)</f>
        <v>-</v>
      </c>
    </row>
    <row r="393" spans="1:6" hidden="1" x14ac:dyDescent="0.3">
      <c r="A393" t="s">
        <v>2981</v>
      </c>
      <c r="B393" t="s">
        <v>2018</v>
      </c>
      <c r="C393" t="s">
        <v>2019</v>
      </c>
      <c r="D393" t="s">
        <v>3581</v>
      </c>
      <c r="E393" t="s">
        <v>2021</v>
      </c>
      <c r="F393" s="7" t="str">
        <f>IFERROR(INDEX(测试!H:H,MATCH(E393,测试!A:A,0)),1)</f>
        <v>-</v>
      </c>
    </row>
    <row r="394" spans="1:6" hidden="1" x14ac:dyDescent="0.3">
      <c r="A394" t="s">
        <v>2981</v>
      </c>
      <c r="B394" t="s">
        <v>2022</v>
      </c>
      <c r="C394" t="s">
        <v>2023</v>
      </c>
      <c r="D394" t="s">
        <v>3582</v>
      </c>
      <c r="E394" t="s">
        <v>2025</v>
      </c>
      <c r="F394" s="7" t="str">
        <f>IFERROR(INDEX(测试!H:H,MATCH(E394,测试!A:A,0)),1)</f>
        <v>-</v>
      </c>
    </row>
    <row r="395" spans="1:6" hidden="1" x14ac:dyDescent="0.3">
      <c r="A395" t="s">
        <v>2981</v>
      </c>
      <c r="B395" t="s">
        <v>2026</v>
      </c>
      <c r="C395" t="s">
        <v>2027</v>
      </c>
      <c r="D395" t="s">
        <v>3583</v>
      </c>
      <c r="E395" t="s">
        <v>2029</v>
      </c>
      <c r="F395" s="7" t="str">
        <f>IFERROR(INDEX(测试!H:H,MATCH(E395,测试!A:A,0)),1)</f>
        <v>-</v>
      </c>
    </row>
    <row r="396" spans="1:6" hidden="1" x14ac:dyDescent="0.3">
      <c r="A396" t="s">
        <v>2981</v>
      </c>
      <c r="B396" t="s">
        <v>2030</v>
      </c>
      <c r="C396" t="s">
        <v>2031</v>
      </c>
      <c r="D396" t="s">
        <v>3584</v>
      </c>
      <c r="E396" t="s">
        <v>2033</v>
      </c>
      <c r="F396" s="7" t="str">
        <f>IFERROR(INDEX(测试!H:H,MATCH(E396,测试!A:A,0)),1)</f>
        <v>-</v>
      </c>
    </row>
    <row r="397" spans="1:6" hidden="1" x14ac:dyDescent="0.3">
      <c r="A397" t="s">
        <v>2981</v>
      </c>
      <c r="B397" t="s">
        <v>2034</v>
      </c>
      <c r="C397" t="s">
        <v>2035</v>
      </c>
      <c r="D397" t="s">
        <v>3585</v>
      </c>
      <c r="E397" t="s">
        <v>2037</v>
      </c>
      <c r="F397" s="7" t="str">
        <f>IFERROR(INDEX(测试!H:H,MATCH(E397,测试!A:A,0)),1)</f>
        <v>-</v>
      </c>
    </row>
    <row r="398" spans="1:6" hidden="1" x14ac:dyDescent="0.3">
      <c r="A398" t="s">
        <v>2981</v>
      </c>
      <c r="B398" t="s">
        <v>2038</v>
      </c>
      <c r="C398" t="s">
        <v>2039</v>
      </c>
      <c r="D398" t="s">
        <v>3586</v>
      </c>
      <c r="E398" t="s">
        <v>2041</v>
      </c>
      <c r="F398" s="7" t="str">
        <f>IFERROR(INDEX(测试!H:H,MATCH(E398,测试!A:A,0)),1)</f>
        <v>-</v>
      </c>
    </row>
    <row r="399" spans="1:6" hidden="1" x14ac:dyDescent="0.3">
      <c r="A399" t="s">
        <v>2981</v>
      </c>
      <c r="B399" t="s">
        <v>2042</v>
      </c>
      <c r="C399" t="s">
        <v>2043</v>
      </c>
      <c r="D399" t="s">
        <v>3587</v>
      </c>
      <c r="E399" t="s">
        <v>2045</v>
      </c>
      <c r="F399" s="7" t="str">
        <f>IFERROR(INDEX(测试!H:H,MATCH(E399,测试!A:A,0)),1)</f>
        <v>-</v>
      </c>
    </row>
    <row r="400" spans="1:6" hidden="1" x14ac:dyDescent="0.3">
      <c r="A400" t="s">
        <v>2981</v>
      </c>
      <c r="B400" t="s">
        <v>2046</v>
      </c>
      <c r="C400" t="s">
        <v>2047</v>
      </c>
      <c r="D400" t="s">
        <v>3588</v>
      </c>
      <c r="E400" t="s">
        <v>2049</v>
      </c>
      <c r="F400" s="7" t="str">
        <f>IFERROR(INDEX(测试!H:H,MATCH(E400,测试!A:A,0)),1)</f>
        <v>-</v>
      </c>
    </row>
    <row r="401" spans="1:6" hidden="1" x14ac:dyDescent="0.3">
      <c r="A401" t="s">
        <v>2981</v>
      </c>
      <c r="B401" t="s">
        <v>2050</v>
      </c>
      <c r="C401" t="s">
        <v>2051</v>
      </c>
      <c r="D401" t="s">
        <v>3589</v>
      </c>
      <c r="E401" t="s">
        <v>2053</v>
      </c>
      <c r="F401" s="7" t="str">
        <f>IFERROR(INDEX(测试!H:H,MATCH(E401,测试!A:A,0)),1)</f>
        <v>-</v>
      </c>
    </row>
    <row r="402" spans="1:6" hidden="1" x14ac:dyDescent="0.3">
      <c r="A402" t="s">
        <v>2981</v>
      </c>
      <c r="B402" t="s">
        <v>2054</v>
      </c>
      <c r="C402" t="s">
        <v>2055</v>
      </c>
      <c r="D402" t="s">
        <v>3590</v>
      </c>
      <c r="E402" t="s">
        <v>2057</v>
      </c>
      <c r="F402" s="7" t="str">
        <f>IFERROR(INDEX(测试!H:H,MATCH(E402,测试!A:A,0)),1)</f>
        <v>-</v>
      </c>
    </row>
    <row r="403" spans="1:6" hidden="1" x14ac:dyDescent="0.3">
      <c r="A403" t="s">
        <v>2981</v>
      </c>
      <c r="B403" t="s">
        <v>2058</v>
      </c>
      <c r="C403" t="s">
        <v>2059</v>
      </c>
      <c r="D403" t="s">
        <v>3591</v>
      </c>
      <c r="E403" t="s">
        <v>2061</v>
      </c>
      <c r="F403" s="7" t="str">
        <f>IFERROR(INDEX(测试!H:H,MATCH(E403,测试!A:A,0)),1)</f>
        <v>-</v>
      </c>
    </row>
    <row r="404" spans="1:6" hidden="1" x14ac:dyDescent="0.3">
      <c r="A404" t="s">
        <v>2981</v>
      </c>
      <c r="B404" t="s">
        <v>2062</v>
      </c>
      <c r="C404" t="s">
        <v>2063</v>
      </c>
      <c r="D404" t="s">
        <v>3592</v>
      </c>
      <c r="E404" t="s">
        <v>2065</v>
      </c>
      <c r="F404" s="7" t="str">
        <f>IFERROR(INDEX(测试!H:H,MATCH(E404,测试!A:A,0)),1)</f>
        <v>-</v>
      </c>
    </row>
    <row r="405" spans="1:6" hidden="1" x14ac:dyDescent="0.3">
      <c r="A405" t="s">
        <v>2981</v>
      </c>
      <c r="B405" t="s">
        <v>2066</v>
      </c>
      <c r="C405" t="s">
        <v>2067</v>
      </c>
      <c r="D405" t="s">
        <v>3593</v>
      </c>
      <c r="E405" t="s">
        <v>2069</v>
      </c>
      <c r="F405" s="7" t="str">
        <f>IFERROR(INDEX(测试!H:H,MATCH(E405,测试!A:A,0)),1)</f>
        <v>-</v>
      </c>
    </row>
    <row r="406" spans="1:6" hidden="1" x14ac:dyDescent="0.3">
      <c r="A406" t="s">
        <v>2981</v>
      </c>
      <c r="B406" t="s">
        <v>2070</v>
      </c>
      <c r="C406" t="s">
        <v>2071</v>
      </c>
      <c r="D406" t="s">
        <v>3594</v>
      </c>
      <c r="E406" t="s">
        <v>2073</v>
      </c>
      <c r="F406" s="7" t="str">
        <f>IFERROR(INDEX(测试!H:H,MATCH(E406,测试!A:A,0)),1)</f>
        <v>-</v>
      </c>
    </row>
    <row r="407" spans="1:6" hidden="1" x14ac:dyDescent="0.3">
      <c r="A407" t="s">
        <v>2981</v>
      </c>
      <c r="B407" t="s">
        <v>2074</v>
      </c>
      <c r="C407" t="s">
        <v>2075</v>
      </c>
      <c r="D407" t="s">
        <v>3595</v>
      </c>
      <c r="E407" t="s">
        <v>2077</v>
      </c>
      <c r="F407" s="7" t="str">
        <f>IFERROR(INDEX(测试!H:H,MATCH(E407,测试!A:A,0)),1)</f>
        <v>-</v>
      </c>
    </row>
    <row r="408" spans="1:6" hidden="1" x14ac:dyDescent="0.3">
      <c r="A408" t="s">
        <v>2981</v>
      </c>
      <c r="B408" t="s">
        <v>2078</v>
      </c>
      <c r="C408" t="s">
        <v>2079</v>
      </c>
      <c r="D408" t="s">
        <v>3596</v>
      </c>
      <c r="E408" t="s">
        <v>2081</v>
      </c>
      <c r="F408" s="7" t="str">
        <f>IFERROR(INDEX(测试!H:H,MATCH(E408,测试!A:A,0)),1)</f>
        <v>-</v>
      </c>
    </row>
    <row r="409" spans="1:6" hidden="1" x14ac:dyDescent="0.3">
      <c r="A409" t="s">
        <v>2981</v>
      </c>
      <c r="B409" t="s">
        <v>2082</v>
      </c>
      <c r="C409" t="s">
        <v>2083</v>
      </c>
      <c r="D409" t="s">
        <v>3597</v>
      </c>
      <c r="E409" t="s">
        <v>2085</v>
      </c>
      <c r="F409" s="7" t="str">
        <f>IFERROR(INDEX(测试!H:H,MATCH(E409,测试!A:A,0)),1)</f>
        <v>-</v>
      </c>
    </row>
    <row r="410" spans="1:6" hidden="1" x14ac:dyDescent="0.3">
      <c r="A410" t="s">
        <v>2981</v>
      </c>
      <c r="B410" t="s">
        <v>2086</v>
      </c>
      <c r="C410" t="s">
        <v>2087</v>
      </c>
      <c r="D410" t="s">
        <v>3598</v>
      </c>
      <c r="E410" t="s">
        <v>2089</v>
      </c>
      <c r="F410" s="7" t="str">
        <f>IFERROR(INDEX(测试!H:H,MATCH(E410,测试!A:A,0)),1)</f>
        <v>-</v>
      </c>
    </row>
    <row r="411" spans="1:6" hidden="1" x14ac:dyDescent="0.3">
      <c r="A411" t="s">
        <v>2981</v>
      </c>
      <c r="B411" t="s">
        <v>2090</v>
      </c>
      <c r="C411" t="s">
        <v>2091</v>
      </c>
      <c r="D411" t="s">
        <v>3599</v>
      </c>
      <c r="E411" t="s">
        <v>2093</v>
      </c>
      <c r="F411" s="7" t="str">
        <f>IFERROR(INDEX(测试!H:H,MATCH(E411,测试!A:A,0)),1)</f>
        <v>-</v>
      </c>
    </row>
    <row r="412" spans="1:6" hidden="1" x14ac:dyDescent="0.3">
      <c r="A412" t="s">
        <v>2981</v>
      </c>
      <c r="B412" t="s">
        <v>2094</v>
      </c>
      <c r="C412" t="s">
        <v>2095</v>
      </c>
      <c r="D412" t="s">
        <v>3600</v>
      </c>
      <c r="E412" t="s">
        <v>2097</v>
      </c>
      <c r="F412" s="7" t="str">
        <f>IFERROR(INDEX(测试!H:H,MATCH(E412,测试!A:A,0)),1)</f>
        <v>-</v>
      </c>
    </row>
    <row r="413" spans="1:6" hidden="1" x14ac:dyDescent="0.3">
      <c r="A413" t="s">
        <v>2981</v>
      </c>
      <c r="B413" t="s">
        <v>2098</v>
      </c>
      <c r="C413" t="s">
        <v>2099</v>
      </c>
      <c r="D413" t="s">
        <v>3601</v>
      </c>
      <c r="E413" t="s">
        <v>2101</v>
      </c>
      <c r="F413" s="7" t="str">
        <f>IFERROR(INDEX(测试!H:H,MATCH(E413,测试!A:A,0)),1)</f>
        <v>-</v>
      </c>
    </row>
    <row r="414" spans="1:6" hidden="1" x14ac:dyDescent="0.3">
      <c r="A414" t="s">
        <v>2981</v>
      </c>
      <c r="B414" t="s">
        <v>2102</v>
      </c>
      <c r="C414" t="s">
        <v>2103</v>
      </c>
      <c r="D414" t="s">
        <v>3602</v>
      </c>
      <c r="E414" t="s">
        <v>2105</v>
      </c>
      <c r="F414" s="7" t="str">
        <f>IFERROR(INDEX(测试!H:H,MATCH(E414,测试!A:A,0)),1)</f>
        <v>-</v>
      </c>
    </row>
    <row r="415" spans="1:6" hidden="1" x14ac:dyDescent="0.3">
      <c r="A415" t="s">
        <v>2981</v>
      </c>
      <c r="B415" t="s">
        <v>2106</v>
      </c>
      <c r="C415" t="s">
        <v>2107</v>
      </c>
      <c r="D415" t="s">
        <v>3603</v>
      </c>
      <c r="E415" t="s">
        <v>2109</v>
      </c>
      <c r="F415" s="7" t="str">
        <f>IFERROR(INDEX(测试!H:H,MATCH(E415,测试!A:A,0)),1)</f>
        <v>-</v>
      </c>
    </row>
    <row r="416" spans="1:6" hidden="1" x14ac:dyDescent="0.3">
      <c r="A416" t="s">
        <v>2981</v>
      </c>
      <c r="B416" t="s">
        <v>2110</v>
      </c>
      <c r="C416" t="s">
        <v>2111</v>
      </c>
      <c r="D416" t="s">
        <v>3604</v>
      </c>
      <c r="E416" t="s">
        <v>2113</v>
      </c>
      <c r="F416" s="7" t="str">
        <f>IFERROR(INDEX(测试!H:H,MATCH(E416,测试!A:A,0)),1)</f>
        <v>-</v>
      </c>
    </row>
    <row r="417" spans="1:6" hidden="1" x14ac:dyDescent="0.3">
      <c r="A417" t="s">
        <v>2981</v>
      </c>
      <c r="B417" t="s">
        <v>2114</v>
      </c>
      <c r="C417" t="s">
        <v>2115</v>
      </c>
      <c r="D417" t="s">
        <v>3605</v>
      </c>
      <c r="E417" t="s">
        <v>2117</v>
      </c>
      <c r="F417" s="7" t="str">
        <f>IFERROR(INDEX(测试!H:H,MATCH(E417,测试!A:A,0)),1)</f>
        <v>-</v>
      </c>
    </row>
    <row r="418" spans="1:6" hidden="1" x14ac:dyDescent="0.3">
      <c r="A418" t="s">
        <v>2980</v>
      </c>
      <c r="B418" t="s">
        <v>4428</v>
      </c>
      <c r="C418" t="s">
        <v>1334</v>
      </c>
      <c r="D418" t="s">
        <v>3406</v>
      </c>
      <c r="E418" t="s">
        <v>1336</v>
      </c>
      <c r="F418" s="7" t="str">
        <f>IFERROR(INDEX(测试!H:H,MATCH(E418,测试!A:A,0)),1)</f>
        <v>文件名错误</v>
      </c>
    </row>
    <row r="419" spans="1:6" hidden="1" x14ac:dyDescent="0.3">
      <c r="A419" t="s">
        <v>2980</v>
      </c>
      <c r="B419" t="s">
        <v>1337</v>
      </c>
      <c r="C419" t="s">
        <v>1338</v>
      </c>
      <c r="D419" t="s">
        <v>3407</v>
      </c>
      <c r="E419" t="s">
        <v>1340</v>
      </c>
      <c r="F419" s="7" t="str">
        <f>IFERROR(INDEX(测试!H:H,MATCH(E419,测试!A:A,0)),1)</f>
        <v>-</v>
      </c>
    </row>
    <row r="420" spans="1:6" hidden="1" x14ac:dyDescent="0.3">
      <c r="A420" t="s">
        <v>2980</v>
      </c>
      <c r="B420" t="s">
        <v>1341</v>
      </c>
      <c r="C420" t="s">
        <v>1342</v>
      </c>
      <c r="D420" t="s">
        <v>3408</v>
      </c>
      <c r="E420" t="s">
        <v>1344</v>
      </c>
      <c r="F420" s="7" t="str">
        <f>IFERROR(INDEX(测试!H:H,MATCH(E420,测试!A:A,0)),1)</f>
        <v>-</v>
      </c>
    </row>
    <row r="421" spans="1:6" hidden="1" x14ac:dyDescent="0.3">
      <c r="A421" t="s">
        <v>2980</v>
      </c>
      <c r="B421" t="s">
        <v>1345</v>
      </c>
      <c r="C421" t="s">
        <v>1346</v>
      </c>
      <c r="D421" t="s">
        <v>3409</v>
      </c>
      <c r="E421" t="s">
        <v>1348</v>
      </c>
      <c r="F421" s="7" t="str">
        <f>IFERROR(INDEX(测试!H:H,MATCH(E421,测试!A:A,0)),1)</f>
        <v>-</v>
      </c>
    </row>
    <row r="422" spans="1:6" hidden="1" x14ac:dyDescent="0.3">
      <c r="A422" t="s">
        <v>2980</v>
      </c>
      <c r="B422" t="s">
        <v>1349</v>
      </c>
      <c r="C422" t="s">
        <v>1350</v>
      </c>
      <c r="D422" t="s">
        <v>3410</v>
      </c>
      <c r="E422" t="s">
        <v>1352</v>
      </c>
      <c r="F422" s="7" t="str">
        <f>IFERROR(INDEX(测试!H:H,MATCH(E422,测试!A:A,0)),1)</f>
        <v>-</v>
      </c>
    </row>
    <row r="423" spans="1:6" hidden="1" x14ac:dyDescent="0.3">
      <c r="A423" t="s">
        <v>2980</v>
      </c>
      <c r="B423" t="s">
        <v>1353</v>
      </c>
      <c r="C423" t="s">
        <v>1354</v>
      </c>
      <c r="D423" t="s">
        <v>3411</v>
      </c>
      <c r="E423" t="s">
        <v>1356</v>
      </c>
      <c r="F423" s="7" t="str">
        <f>IFERROR(INDEX(测试!H:H,MATCH(E423,测试!A:A,0)),1)</f>
        <v>-</v>
      </c>
    </row>
    <row r="424" spans="1:6" hidden="1" x14ac:dyDescent="0.3">
      <c r="A424" t="s">
        <v>2980</v>
      </c>
      <c r="B424" t="s">
        <v>1357</v>
      </c>
      <c r="C424" t="s">
        <v>1358</v>
      </c>
      <c r="D424" t="s">
        <v>3412</v>
      </c>
      <c r="E424" t="s">
        <v>1360</v>
      </c>
      <c r="F424" s="7" t="str">
        <f>IFERROR(INDEX(测试!H:H,MATCH(E424,测试!A:A,0)),1)</f>
        <v>-</v>
      </c>
    </row>
    <row r="425" spans="1:6" hidden="1" x14ac:dyDescent="0.3">
      <c r="A425" t="s">
        <v>2980</v>
      </c>
      <c r="B425" t="s">
        <v>1361</v>
      </c>
      <c r="C425" t="s">
        <v>1362</v>
      </c>
      <c r="D425" t="s">
        <v>3413</v>
      </c>
      <c r="E425" t="s">
        <v>1364</v>
      </c>
      <c r="F425" s="7" t="str">
        <f>IFERROR(INDEX(测试!H:H,MATCH(E425,测试!A:A,0)),1)</f>
        <v>-</v>
      </c>
    </row>
    <row r="426" spans="1:6" hidden="1" x14ac:dyDescent="0.3">
      <c r="A426" t="s">
        <v>2980</v>
      </c>
      <c r="B426" t="s">
        <v>1365</v>
      </c>
      <c r="C426" t="s">
        <v>1366</v>
      </c>
      <c r="D426" t="s">
        <v>3414</v>
      </c>
      <c r="E426" t="s">
        <v>1368</v>
      </c>
      <c r="F426" s="7" t="str">
        <f>IFERROR(INDEX(测试!H:H,MATCH(E426,测试!A:A,0)),1)</f>
        <v>-</v>
      </c>
    </row>
    <row r="427" spans="1:6" hidden="1" x14ac:dyDescent="0.3">
      <c r="A427" t="s">
        <v>2980</v>
      </c>
      <c r="B427" t="s">
        <v>1369</v>
      </c>
      <c r="C427" t="s">
        <v>1370</v>
      </c>
      <c r="D427" t="s">
        <v>3415</v>
      </c>
      <c r="E427" t="s">
        <v>1372</v>
      </c>
      <c r="F427" s="7" t="str">
        <f>IFERROR(INDEX(测试!H:H,MATCH(E427,测试!A:A,0)),1)</f>
        <v>-</v>
      </c>
    </row>
    <row r="428" spans="1:6" hidden="1" x14ac:dyDescent="0.3">
      <c r="A428" t="s">
        <v>2980</v>
      </c>
      <c r="B428" t="s">
        <v>1373</v>
      </c>
      <c r="C428" t="s">
        <v>1374</v>
      </c>
      <c r="D428" t="s">
        <v>3416</v>
      </c>
      <c r="E428" t="s">
        <v>1376</v>
      </c>
      <c r="F428" s="7" t="str">
        <f>IFERROR(INDEX(测试!H:H,MATCH(E428,测试!A:A,0)),1)</f>
        <v>-</v>
      </c>
    </row>
    <row r="429" spans="1:6" hidden="1" x14ac:dyDescent="0.3">
      <c r="A429" t="s">
        <v>2980</v>
      </c>
      <c r="B429" t="s">
        <v>1377</v>
      </c>
      <c r="C429" t="s">
        <v>1378</v>
      </c>
      <c r="D429" t="s">
        <v>3417</v>
      </c>
      <c r="E429" t="s">
        <v>1380</v>
      </c>
      <c r="F429" s="7" t="str">
        <f>IFERROR(INDEX(测试!H:H,MATCH(E429,测试!A:A,0)),1)</f>
        <v>-</v>
      </c>
    </row>
    <row r="430" spans="1:6" hidden="1" x14ac:dyDescent="0.3">
      <c r="A430" t="s">
        <v>2980</v>
      </c>
      <c r="B430" t="s">
        <v>4429</v>
      </c>
      <c r="C430" t="s">
        <v>1382</v>
      </c>
      <c r="D430" t="s">
        <v>3418</v>
      </c>
      <c r="E430" t="s">
        <v>1384</v>
      </c>
      <c r="F430" s="7" t="str">
        <f>IFERROR(INDEX(测试!H:H,MATCH(E430,测试!A:A,0)),1)</f>
        <v>文件名错误</v>
      </c>
    </row>
    <row r="431" spans="1:6" hidden="1" x14ac:dyDescent="0.3">
      <c r="A431" t="s">
        <v>2980</v>
      </c>
      <c r="B431" t="s">
        <v>1385</v>
      </c>
      <c r="C431" t="s">
        <v>1386</v>
      </c>
      <c r="D431" t="s">
        <v>3419</v>
      </c>
      <c r="E431" t="s">
        <v>1388</v>
      </c>
      <c r="F431" s="7" t="str">
        <f>IFERROR(INDEX(测试!H:H,MATCH(E431,测试!A:A,0)),1)</f>
        <v>-</v>
      </c>
    </row>
    <row r="432" spans="1:6" hidden="1" x14ac:dyDescent="0.3">
      <c r="A432" t="s">
        <v>2980</v>
      </c>
      <c r="B432" t="s">
        <v>1389</v>
      </c>
      <c r="C432" t="s">
        <v>1390</v>
      </c>
      <c r="D432" t="s">
        <v>3420</v>
      </c>
      <c r="E432" t="s">
        <v>1392</v>
      </c>
      <c r="F432" s="7" t="str">
        <f>IFERROR(INDEX(测试!H:H,MATCH(E432,测试!A:A,0)),1)</f>
        <v>-</v>
      </c>
    </row>
    <row r="433" spans="1:6" hidden="1" x14ac:dyDescent="0.3">
      <c r="A433" t="s">
        <v>2980</v>
      </c>
      <c r="B433" t="s">
        <v>1393</v>
      </c>
      <c r="C433" t="s">
        <v>1394</v>
      </c>
      <c r="D433" t="s">
        <v>3421</v>
      </c>
      <c r="E433" t="s">
        <v>1396</v>
      </c>
      <c r="F433" s="7" t="str">
        <f>IFERROR(INDEX(测试!H:H,MATCH(E433,测试!A:A,0)),1)</f>
        <v>-</v>
      </c>
    </row>
    <row r="434" spans="1:6" hidden="1" x14ac:dyDescent="0.3">
      <c r="A434" t="s">
        <v>2980</v>
      </c>
      <c r="B434" t="s">
        <v>1397</v>
      </c>
      <c r="C434" t="s">
        <v>1398</v>
      </c>
      <c r="D434" t="s">
        <v>3422</v>
      </c>
      <c r="E434" t="s">
        <v>1400</v>
      </c>
      <c r="F434" s="7" t="str">
        <f>IFERROR(INDEX(测试!H:H,MATCH(E434,测试!A:A,0)),1)</f>
        <v>-</v>
      </c>
    </row>
    <row r="435" spans="1:6" hidden="1" x14ac:dyDescent="0.3">
      <c r="A435" t="s">
        <v>2980</v>
      </c>
      <c r="B435" t="s">
        <v>1401</v>
      </c>
      <c r="C435" t="s">
        <v>1402</v>
      </c>
      <c r="D435" t="s">
        <v>3423</v>
      </c>
      <c r="E435" t="s">
        <v>1404</v>
      </c>
      <c r="F435" s="7" t="str">
        <f>IFERROR(INDEX(测试!H:H,MATCH(E435,测试!A:A,0)),1)</f>
        <v>-</v>
      </c>
    </row>
    <row r="436" spans="1:6" hidden="1" x14ac:dyDescent="0.3">
      <c r="A436" t="s">
        <v>2980</v>
      </c>
      <c r="B436" t="s">
        <v>1405</v>
      </c>
      <c r="C436" t="s">
        <v>1406</v>
      </c>
      <c r="D436" t="s">
        <v>3424</v>
      </c>
      <c r="E436" t="s">
        <v>1408</v>
      </c>
      <c r="F436" s="7" t="str">
        <f>IFERROR(INDEX(测试!H:H,MATCH(E436,测试!A:A,0)),1)</f>
        <v>-</v>
      </c>
    </row>
    <row r="437" spans="1:6" hidden="1" x14ac:dyDescent="0.3">
      <c r="A437" t="s">
        <v>2980</v>
      </c>
      <c r="B437" t="s">
        <v>1409</v>
      </c>
      <c r="C437" t="s">
        <v>1410</v>
      </c>
      <c r="D437" t="s">
        <v>3425</v>
      </c>
      <c r="E437" t="s">
        <v>1412</v>
      </c>
      <c r="F437" s="7" t="str">
        <f>IFERROR(INDEX(测试!H:H,MATCH(E437,测试!A:A,0)),1)</f>
        <v>-</v>
      </c>
    </row>
    <row r="438" spans="1:6" hidden="1" x14ac:dyDescent="0.3">
      <c r="A438" t="s">
        <v>2980</v>
      </c>
      <c r="B438" t="s">
        <v>1413</v>
      </c>
      <c r="C438" t="s">
        <v>1414</v>
      </c>
      <c r="D438" t="s">
        <v>3426</v>
      </c>
      <c r="E438" t="s">
        <v>1416</v>
      </c>
      <c r="F438" s="7" t="str">
        <f>IFERROR(INDEX(测试!H:H,MATCH(E438,测试!A:A,0)),1)</f>
        <v>-</v>
      </c>
    </row>
    <row r="439" spans="1:6" hidden="1" x14ac:dyDescent="0.3">
      <c r="A439" t="s">
        <v>2980</v>
      </c>
      <c r="B439" t="s">
        <v>1417</v>
      </c>
      <c r="C439" t="s">
        <v>1418</v>
      </c>
      <c r="D439" t="s">
        <v>3427</v>
      </c>
      <c r="E439" t="s">
        <v>3067</v>
      </c>
      <c r="F439" s="7" t="str">
        <f>IFERROR(INDEX(测试!H:H,MATCH(E439,测试!A:A,0)),1)</f>
        <v>-</v>
      </c>
    </row>
    <row r="440" spans="1:6" hidden="1" x14ac:dyDescent="0.3">
      <c r="A440" t="s">
        <v>2980</v>
      </c>
      <c r="B440" t="s">
        <v>1420</v>
      </c>
      <c r="C440" t="s">
        <v>1421</v>
      </c>
      <c r="D440" t="s">
        <v>3428</v>
      </c>
      <c r="E440" t="s">
        <v>3068</v>
      </c>
      <c r="F440" s="7" t="str">
        <f>IFERROR(INDEX(测试!H:H,MATCH(E440,测试!A:A,0)),1)</f>
        <v>-</v>
      </c>
    </row>
    <row r="441" spans="1:6" hidden="1" x14ac:dyDescent="0.3">
      <c r="A441" t="s">
        <v>2980</v>
      </c>
      <c r="B441" t="s">
        <v>1423</v>
      </c>
      <c r="C441" t="s">
        <v>1424</v>
      </c>
      <c r="D441" t="s">
        <v>3429</v>
      </c>
      <c r="E441" t="s">
        <v>1426</v>
      </c>
      <c r="F441" s="7" t="str">
        <f>IFERROR(INDEX(测试!H:H,MATCH(E441,测试!A:A,0)),1)</f>
        <v>-</v>
      </c>
    </row>
    <row r="442" spans="1:6" hidden="1" x14ac:dyDescent="0.3">
      <c r="A442" t="s">
        <v>2980</v>
      </c>
      <c r="B442" t="s">
        <v>1427</v>
      </c>
      <c r="C442" t="s">
        <v>1428</v>
      </c>
      <c r="D442" t="s">
        <v>3430</v>
      </c>
      <c r="E442" t="s">
        <v>3069</v>
      </c>
      <c r="F442" s="7" t="str">
        <f>IFERROR(INDEX(测试!H:H,MATCH(E442,测试!A:A,0)),1)</f>
        <v>-</v>
      </c>
    </row>
    <row r="443" spans="1:6" hidden="1" x14ac:dyDescent="0.3">
      <c r="A443" t="s">
        <v>2980</v>
      </c>
      <c r="B443" t="s">
        <v>1430</v>
      </c>
      <c r="C443" t="s">
        <v>1431</v>
      </c>
      <c r="D443" t="s">
        <v>3431</v>
      </c>
      <c r="E443" t="s">
        <v>3070</v>
      </c>
      <c r="F443" s="7" t="str">
        <f>IFERROR(INDEX(测试!H:H,MATCH(E443,测试!A:A,0)),1)</f>
        <v>-</v>
      </c>
    </row>
    <row r="444" spans="1:6" hidden="1" x14ac:dyDescent="0.3">
      <c r="A444" t="s">
        <v>2980</v>
      </c>
      <c r="B444" t="s">
        <v>1433</v>
      </c>
      <c r="C444" t="s">
        <v>1434</v>
      </c>
      <c r="D444" t="s">
        <v>3432</v>
      </c>
      <c r="E444" t="s">
        <v>1436</v>
      </c>
      <c r="F444" s="7" t="str">
        <f>IFERROR(INDEX(测试!H:H,MATCH(E444,测试!A:A,0)),1)</f>
        <v>-</v>
      </c>
    </row>
    <row r="445" spans="1:6" hidden="1" x14ac:dyDescent="0.3">
      <c r="A445" t="s">
        <v>2980</v>
      </c>
      <c r="B445" t="s">
        <v>1437</v>
      </c>
      <c r="C445" t="s">
        <v>1438</v>
      </c>
      <c r="D445" t="s">
        <v>3433</v>
      </c>
      <c r="E445" t="s">
        <v>1440</v>
      </c>
      <c r="F445" s="7" t="str">
        <f>IFERROR(INDEX(测试!H:H,MATCH(E445,测试!A:A,0)),1)</f>
        <v>-</v>
      </c>
    </row>
    <row r="446" spans="1:6" hidden="1" x14ac:dyDescent="0.3">
      <c r="A446" t="s">
        <v>2980</v>
      </c>
      <c r="B446" t="s">
        <v>1441</v>
      </c>
      <c r="C446" t="s">
        <v>1442</v>
      </c>
      <c r="D446" t="s">
        <v>3434</v>
      </c>
      <c r="E446" t="s">
        <v>1444</v>
      </c>
      <c r="F446" s="7" t="str">
        <f>IFERROR(INDEX(测试!H:H,MATCH(E446,测试!A:A,0)),1)</f>
        <v>-</v>
      </c>
    </row>
    <row r="447" spans="1:6" hidden="1" x14ac:dyDescent="0.3">
      <c r="A447" t="s">
        <v>2980</v>
      </c>
      <c r="B447" t="s">
        <v>1445</v>
      </c>
      <c r="C447" t="s">
        <v>1446</v>
      </c>
      <c r="D447" t="s">
        <v>3435</v>
      </c>
      <c r="E447" t="s">
        <v>3071</v>
      </c>
      <c r="F447" s="7" t="str">
        <f>IFERROR(INDEX(测试!H:H,MATCH(E447,测试!A:A,0)),1)</f>
        <v>-</v>
      </c>
    </row>
    <row r="448" spans="1:6" hidden="1" x14ac:dyDescent="0.3">
      <c r="A448" t="s">
        <v>2980</v>
      </c>
      <c r="B448" t="s">
        <v>1448</v>
      </c>
      <c r="C448" t="s">
        <v>1449</v>
      </c>
      <c r="D448" t="s">
        <v>3436</v>
      </c>
      <c r="E448" t="s">
        <v>1451</v>
      </c>
      <c r="F448" s="7" t="str">
        <f>IFERROR(INDEX(测试!H:H,MATCH(E448,测试!A:A,0)),1)</f>
        <v>-</v>
      </c>
    </row>
    <row r="449" spans="1:6" hidden="1" x14ac:dyDescent="0.3">
      <c r="A449" t="s">
        <v>2980</v>
      </c>
      <c r="B449" t="s">
        <v>1452</v>
      </c>
      <c r="C449" t="s">
        <v>1453</v>
      </c>
      <c r="D449" t="s">
        <v>3437</v>
      </c>
      <c r="E449" t="s">
        <v>1455</v>
      </c>
      <c r="F449" s="7" t="str">
        <f>IFERROR(INDEX(测试!H:H,MATCH(E449,测试!A:A,0)),1)</f>
        <v>-</v>
      </c>
    </row>
    <row r="450" spans="1:6" hidden="1" x14ac:dyDescent="0.3">
      <c r="A450" t="s">
        <v>2980</v>
      </c>
      <c r="B450" t="s">
        <v>1456</v>
      </c>
      <c r="C450" t="s">
        <v>1457</v>
      </c>
      <c r="D450" t="s">
        <v>3438</v>
      </c>
      <c r="E450" t="s">
        <v>1459</v>
      </c>
      <c r="F450" s="7" t="str">
        <f>IFERROR(INDEX(测试!H:H,MATCH(E450,测试!A:A,0)),1)</f>
        <v>-</v>
      </c>
    </row>
    <row r="451" spans="1:6" hidden="1" x14ac:dyDescent="0.3">
      <c r="A451" t="s">
        <v>2980</v>
      </c>
      <c r="B451" t="s">
        <v>1460</v>
      </c>
      <c r="C451" t="s">
        <v>1461</v>
      </c>
      <c r="D451" t="s">
        <v>3439</v>
      </c>
      <c r="E451" t="s">
        <v>1463</v>
      </c>
      <c r="F451" s="7" t="str">
        <f>IFERROR(INDEX(测试!H:H,MATCH(E451,测试!A:A,0)),1)</f>
        <v>-</v>
      </c>
    </row>
    <row r="452" spans="1:6" hidden="1" x14ac:dyDescent="0.3">
      <c r="A452" t="s">
        <v>2980</v>
      </c>
      <c r="B452" t="s">
        <v>1464</v>
      </c>
      <c r="C452" t="s">
        <v>1465</v>
      </c>
      <c r="D452" t="s">
        <v>3440</v>
      </c>
      <c r="E452" t="s">
        <v>1467</v>
      </c>
      <c r="F452" s="7" t="str">
        <f>IFERROR(INDEX(测试!H:H,MATCH(E452,测试!A:A,0)),1)</f>
        <v>-</v>
      </c>
    </row>
    <row r="453" spans="1:6" hidden="1" x14ac:dyDescent="0.3">
      <c r="A453" t="s">
        <v>2980</v>
      </c>
      <c r="B453" t="s">
        <v>1468</v>
      </c>
      <c r="C453" t="s">
        <v>1469</v>
      </c>
      <c r="D453" t="s">
        <v>3441</v>
      </c>
      <c r="E453" t="s">
        <v>1471</v>
      </c>
      <c r="F453" s="7" t="str">
        <f>IFERROR(INDEX(测试!H:H,MATCH(E453,测试!A:A,0)),1)</f>
        <v>-</v>
      </c>
    </row>
    <row r="454" spans="1:6" hidden="1" x14ac:dyDescent="0.3">
      <c r="A454" t="s">
        <v>2980</v>
      </c>
      <c r="B454" t="s">
        <v>1472</v>
      </c>
      <c r="C454" t="s">
        <v>1473</v>
      </c>
      <c r="D454" t="s">
        <v>3442</v>
      </c>
      <c r="E454" t="s">
        <v>1475</v>
      </c>
      <c r="F454" s="7" t="str">
        <f>IFERROR(INDEX(测试!H:H,MATCH(E454,测试!A:A,0)),1)</f>
        <v>-</v>
      </c>
    </row>
    <row r="455" spans="1:6" hidden="1" x14ac:dyDescent="0.3">
      <c r="A455" t="s">
        <v>2980</v>
      </c>
      <c r="B455" t="s">
        <v>1476</v>
      </c>
      <c r="C455" t="s">
        <v>1477</v>
      </c>
      <c r="D455" t="s">
        <v>3443</v>
      </c>
      <c r="E455" t="s">
        <v>1479</v>
      </c>
      <c r="F455" s="7" t="str">
        <f>IFERROR(INDEX(测试!H:H,MATCH(E455,测试!A:A,0)),1)</f>
        <v>-</v>
      </c>
    </row>
    <row r="456" spans="1:6" hidden="1" x14ac:dyDescent="0.3">
      <c r="A456" t="s">
        <v>2980</v>
      </c>
      <c r="B456" t="s">
        <v>4430</v>
      </c>
      <c r="C456" t="s">
        <v>1481</v>
      </c>
      <c r="D456" t="s">
        <v>3444</v>
      </c>
      <c r="E456" t="s">
        <v>1483</v>
      </c>
      <c r="F456" s="7" t="str">
        <f>IFERROR(INDEX(测试!H:H,MATCH(E456,测试!A:A,0)),1)</f>
        <v>文件名错误</v>
      </c>
    </row>
    <row r="457" spans="1:6" hidden="1" x14ac:dyDescent="0.3">
      <c r="A457" t="s">
        <v>2980</v>
      </c>
      <c r="B457" t="s">
        <v>1484</v>
      </c>
      <c r="C457" t="s">
        <v>1485</v>
      </c>
      <c r="D457" t="s">
        <v>3445</v>
      </c>
      <c r="E457" t="s">
        <v>1487</v>
      </c>
      <c r="F457" s="7" t="str">
        <f>IFERROR(INDEX(测试!H:H,MATCH(E457,测试!A:A,0)),1)</f>
        <v>-</v>
      </c>
    </row>
    <row r="458" spans="1:6" hidden="1" x14ac:dyDescent="0.3">
      <c r="A458" t="s">
        <v>2980</v>
      </c>
      <c r="B458" t="s">
        <v>1488</v>
      </c>
      <c r="C458" t="s">
        <v>1489</v>
      </c>
      <c r="D458" t="s">
        <v>3446</v>
      </c>
      <c r="E458" t="s">
        <v>1491</v>
      </c>
      <c r="F458" s="7" t="str">
        <f>IFERROR(INDEX(测试!H:H,MATCH(E458,测试!A:A,0)),1)</f>
        <v>-</v>
      </c>
    </row>
    <row r="459" spans="1:6" hidden="1" x14ac:dyDescent="0.3">
      <c r="A459" t="s">
        <v>2980</v>
      </c>
      <c r="B459" t="s">
        <v>1492</v>
      </c>
      <c r="C459" t="s">
        <v>1493</v>
      </c>
      <c r="D459" t="s">
        <v>3447</v>
      </c>
      <c r="E459" t="s">
        <v>1495</v>
      </c>
      <c r="F459" s="7" t="str">
        <f>IFERROR(INDEX(测试!H:H,MATCH(E459,测试!A:A,0)),1)</f>
        <v>-</v>
      </c>
    </row>
    <row r="460" spans="1:6" hidden="1" x14ac:dyDescent="0.3">
      <c r="A460" t="s">
        <v>2980</v>
      </c>
      <c r="B460" t="s">
        <v>1496</v>
      </c>
      <c r="C460" t="s">
        <v>1497</v>
      </c>
      <c r="D460" t="s">
        <v>3448</v>
      </c>
      <c r="E460" t="s">
        <v>1499</v>
      </c>
      <c r="F460" s="7" t="str">
        <f>IFERROR(INDEX(测试!H:H,MATCH(E460,测试!A:A,0)),1)</f>
        <v>-</v>
      </c>
    </row>
    <row r="461" spans="1:6" hidden="1" x14ac:dyDescent="0.3">
      <c r="A461" t="s">
        <v>2980</v>
      </c>
      <c r="B461" t="s">
        <v>1500</v>
      </c>
      <c r="C461" t="s">
        <v>1501</v>
      </c>
      <c r="D461" t="s">
        <v>3449</v>
      </c>
      <c r="E461" t="s">
        <v>1503</v>
      </c>
      <c r="F461" s="7" t="str">
        <f>IFERROR(INDEX(测试!H:H,MATCH(E461,测试!A:A,0)),1)</f>
        <v>-</v>
      </c>
    </row>
    <row r="462" spans="1:6" hidden="1" x14ac:dyDescent="0.3">
      <c r="A462" t="s">
        <v>2980</v>
      </c>
      <c r="B462" t="s">
        <v>1504</v>
      </c>
      <c r="C462" t="s">
        <v>1505</v>
      </c>
      <c r="D462" t="s">
        <v>3450</v>
      </c>
      <c r="E462" t="s">
        <v>3072</v>
      </c>
      <c r="F462" s="7" t="str">
        <f>IFERROR(INDEX(测试!H:H,MATCH(E462,测试!A:A,0)),1)</f>
        <v>-</v>
      </c>
    </row>
    <row r="463" spans="1:6" hidden="1" x14ac:dyDescent="0.3">
      <c r="A463" t="s">
        <v>2980</v>
      </c>
      <c r="B463" t="s">
        <v>1507</v>
      </c>
      <c r="C463" t="s">
        <v>1508</v>
      </c>
      <c r="D463" t="s">
        <v>3451</v>
      </c>
      <c r="E463" t="s">
        <v>1510</v>
      </c>
      <c r="F463" s="7" t="str">
        <f>IFERROR(INDEX(测试!H:H,MATCH(E463,测试!A:A,0)),1)</f>
        <v>-</v>
      </c>
    </row>
    <row r="464" spans="1:6" hidden="1" x14ac:dyDescent="0.3">
      <c r="A464" t="s">
        <v>2980</v>
      </c>
      <c r="B464" t="s">
        <v>1511</v>
      </c>
      <c r="C464" t="s">
        <v>1512</v>
      </c>
      <c r="D464" t="s">
        <v>3452</v>
      </c>
      <c r="E464" t="s">
        <v>1514</v>
      </c>
      <c r="F464" s="7" t="str">
        <f>IFERROR(INDEX(测试!H:H,MATCH(E464,测试!A:A,0)),1)</f>
        <v>-</v>
      </c>
    </row>
    <row r="465" spans="1:6" hidden="1" x14ac:dyDescent="0.3">
      <c r="A465" t="s">
        <v>2980</v>
      </c>
      <c r="B465" t="s">
        <v>1515</v>
      </c>
      <c r="C465" t="s">
        <v>1516</v>
      </c>
      <c r="D465" t="s">
        <v>3453</v>
      </c>
      <c r="E465" t="s">
        <v>1518</v>
      </c>
      <c r="F465" s="7" t="str">
        <f>IFERROR(INDEX(测试!H:H,MATCH(E465,测试!A:A,0)),1)</f>
        <v>-</v>
      </c>
    </row>
    <row r="466" spans="1:6" hidden="1" x14ac:dyDescent="0.3">
      <c r="A466" t="s">
        <v>2980</v>
      </c>
      <c r="B466" t="s">
        <v>1519</v>
      </c>
      <c r="C466" t="s">
        <v>1520</v>
      </c>
      <c r="D466" t="s">
        <v>3454</v>
      </c>
      <c r="E466" t="s">
        <v>1522</v>
      </c>
      <c r="F466" s="7" t="str">
        <f>IFERROR(INDEX(测试!H:H,MATCH(E466,测试!A:A,0)),1)</f>
        <v>-</v>
      </c>
    </row>
    <row r="467" spans="1:6" hidden="1" x14ac:dyDescent="0.3">
      <c r="A467" t="s">
        <v>2980</v>
      </c>
      <c r="B467" t="s">
        <v>1523</v>
      </c>
      <c r="C467" t="s">
        <v>1524</v>
      </c>
      <c r="D467" t="s">
        <v>3455</v>
      </c>
      <c r="E467" t="s">
        <v>1526</v>
      </c>
      <c r="F467" s="7" t="str">
        <f>IFERROR(INDEX(测试!H:H,MATCH(E467,测试!A:A,0)),1)</f>
        <v>-</v>
      </c>
    </row>
    <row r="468" spans="1:6" hidden="1" x14ac:dyDescent="0.3">
      <c r="A468" t="s">
        <v>2980</v>
      </c>
      <c r="B468" t="s">
        <v>1527</v>
      </c>
      <c r="C468" t="s">
        <v>1528</v>
      </c>
      <c r="D468" t="s">
        <v>3456</v>
      </c>
      <c r="E468" t="s">
        <v>1530</v>
      </c>
      <c r="F468" s="7" t="str">
        <f>IFERROR(INDEX(测试!H:H,MATCH(E468,测试!A:A,0)),1)</f>
        <v>-</v>
      </c>
    </row>
    <row r="469" spans="1:6" hidden="1" x14ac:dyDescent="0.3">
      <c r="A469" t="s">
        <v>2980</v>
      </c>
      <c r="B469" t="s">
        <v>1531</v>
      </c>
      <c r="C469" t="s">
        <v>1532</v>
      </c>
      <c r="D469" t="s">
        <v>3457</v>
      </c>
      <c r="E469" t="s">
        <v>1534</v>
      </c>
      <c r="F469" s="7" t="str">
        <f>IFERROR(INDEX(测试!H:H,MATCH(E469,测试!A:A,0)),1)</f>
        <v>-</v>
      </c>
    </row>
    <row r="470" spans="1:6" hidden="1" x14ac:dyDescent="0.3">
      <c r="A470" t="s">
        <v>2980</v>
      </c>
      <c r="B470" t="s">
        <v>1535</v>
      </c>
      <c r="C470" t="s">
        <v>1536</v>
      </c>
      <c r="D470" t="s">
        <v>3458</v>
      </c>
      <c r="E470" t="s">
        <v>1538</v>
      </c>
      <c r="F470" s="7" t="str">
        <f>IFERROR(INDEX(测试!H:H,MATCH(E470,测试!A:A,0)),1)</f>
        <v>-</v>
      </c>
    </row>
    <row r="471" spans="1:6" hidden="1" x14ac:dyDescent="0.3">
      <c r="A471" t="s">
        <v>2980</v>
      </c>
      <c r="B471" t="s">
        <v>1539</v>
      </c>
      <c r="C471" t="s">
        <v>1540</v>
      </c>
      <c r="D471" t="s">
        <v>3459</v>
      </c>
      <c r="E471" t="s">
        <v>1542</v>
      </c>
      <c r="F471" s="7" t="str">
        <f>IFERROR(INDEX(测试!H:H,MATCH(E471,测试!A:A,0)),1)</f>
        <v>-</v>
      </c>
    </row>
    <row r="472" spans="1:6" hidden="1" x14ac:dyDescent="0.3">
      <c r="A472" t="s">
        <v>2980</v>
      </c>
      <c r="B472" t="s">
        <v>1543</v>
      </c>
      <c r="C472" t="s">
        <v>1544</v>
      </c>
      <c r="D472" t="s">
        <v>3460</v>
      </c>
      <c r="E472" t="s">
        <v>1546</v>
      </c>
      <c r="F472" s="7" t="str">
        <f>IFERROR(INDEX(测试!H:H,MATCH(E472,测试!A:A,0)),1)</f>
        <v>-</v>
      </c>
    </row>
    <row r="473" spans="1:6" hidden="1" x14ac:dyDescent="0.3">
      <c r="A473" t="s">
        <v>2980</v>
      </c>
      <c r="B473" t="s">
        <v>1547</v>
      </c>
      <c r="C473" t="s">
        <v>1548</v>
      </c>
      <c r="D473" t="s">
        <v>3461</v>
      </c>
      <c r="E473" t="s">
        <v>1550</v>
      </c>
      <c r="F473" s="7" t="str">
        <f>IFERROR(INDEX(测试!H:H,MATCH(E473,测试!A:A,0)),1)</f>
        <v>-</v>
      </c>
    </row>
    <row r="474" spans="1:6" hidden="1" x14ac:dyDescent="0.3">
      <c r="A474" t="s">
        <v>2980</v>
      </c>
      <c r="B474" t="s">
        <v>1551</v>
      </c>
      <c r="C474" t="s">
        <v>1552</v>
      </c>
      <c r="D474" t="s">
        <v>3462</v>
      </c>
      <c r="E474" t="s">
        <v>3073</v>
      </c>
      <c r="F474" s="7" t="str">
        <f>IFERROR(INDEX(测试!H:H,MATCH(E474,测试!A:A,0)),1)</f>
        <v>-</v>
      </c>
    </row>
    <row r="475" spans="1:6" hidden="1" x14ac:dyDescent="0.3">
      <c r="A475" t="s">
        <v>2980</v>
      </c>
      <c r="B475" t="s">
        <v>1554</v>
      </c>
      <c r="C475" t="s">
        <v>1555</v>
      </c>
      <c r="D475" t="s">
        <v>3463</v>
      </c>
      <c r="E475" t="s">
        <v>1557</v>
      </c>
      <c r="F475" s="7" t="str">
        <f>IFERROR(INDEX(测试!H:H,MATCH(E475,测试!A:A,0)),1)</f>
        <v>-</v>
      </c>
    </row>
    <row r="476" spans="1:6" hidden="1" x14ac:dyDescent="0.3">
      <c r="A476" t="s">
        <v>2980</v>
      </c>
      <c r="B476" t="s">
        <v>1558</v>
      </c>
      <c r="C476" t="s">
        <v>1559</v>
      </c>
      <c r="D476" t="s">
        <v>3464</v>
      </c>
      <c r="E476" t="s">
        <v>1561</v>
      </c>
      <c r="F476" s="7" t="str">
        <f>IFERROR(INDEX(测试!H:H,MATCH(E476,测试!A:A,0)),1)</f>
        <v>-</v>
      </c>
    </row>
    <row r="477" spans="1:6" hidden="1" x14ac:dyDescent="0.3">
      <c r="A477" t="s">
        <v>2980</v>
      </c>
      <c r="B477" t="s">
        <v>1562</v>
      </c>
      <c r="C477" t="s">
        <v>1563</v>
      </c>
      <c r="D477" t="s">
        <v>3465</v>
      </c>
      <c r="E477" t="s">
        <v>1565</v>
      </c>
      <c r="F477" s="7" t="str">
        <f>IFERROR(INDEX(测试!H:H,MATCH(E477,测试!A:A,0)),1)</f>
        <v>-</v>
      </c>
    </row>
    <row r="478" spans="1:6" hidden="1" x14ac:dyDescent="0.3">
      <c r="A478" t="s">
        <v>2980</v>
      </c>
      <c r="B478" t="s">
        <v>1566</v>
      </c>
      <c r="C478" t="s">
        <v>1567</v>
      </c>
      <c r="D478" t="s">
        <v>3466</v>
      </c>
      <c r="E478" t="s">
        <v>1569</v>
      </c>
      <c r="F478" s="7" t="str">
        <f>IFERROR(INDEX(测试!H:H,MATCH(E478,测试!A:A,0)),1)</f>
        <v>-</v>
      </c>
    </row>
    <row r="479" spans="1:6" hidden="1" x14ac:dyDescent="0.3">
      <c r="A479" t="s">
        <v>2980</v>
      </c>
      <c r="B479" t="s">
        <v>1570</v>
      </c>
      <c r="C479" t="s">
        <v>1571</v>
      </c>
      <c r="D479" t="s">
        <v>3467</v>
      </c>
      <c r="E479" t="s">
        <v>3074</v>
      </c>
      <c r="F479" s="7" t="str">
        <f>IFERROR(INDEX(测试!H:H,MATCH(E479,测试!A:A,0)),1)</f>
        <v>-</v>
      </c>
    </row>
    <row r="480" spans="1:6" hidden="1" x14ac:dyDescent="0.3">
      <c r="A480" t="s">
        <v>2980</v>
      </c>
      <c r="B480" t="s">
        <v>1573</v>
      </c>
      <c r="C480" t="s">
        <v>1574</v>
      </c>
      <c r="D480" t="s">
        <v>3468</v>
      </c>
      <c r="E480" t="s">
        <v>1576</v>
      </c>
      <c r="F480" s="7" t="str">
        <f>IFERROR(INDEX(测试!H:H,MATCH(E480,测试!A:A,0)),1)</f>
        <v>-</v>
      </c>
    </row>
    <row r="481" spans="1:6" hidden="1" x14ac:dyDescent="0.3">
      <c r="A481" t="s">
        <v>2980</v>
      </c>
      <c r="B481" t="s">
        <v>1577</v>
      </c>
      <c r="C481" t="s">
        <v>1578</v>
      </c>
      <c r="D481" t="s">
        <v>3469</v>
      </c>
      <c r="E481" t="s">
        <v>1580</v>
      </c>
      <c r="F481" s="7" t="str">
        <f>IFERROR(INDEX(测试!H:H,MATCH(E481,测试!A:A,0)),1)</f>
        <v>-</v>
      </c>
    </row>
    <row r="482" spans="1:6" hidden="1" x14ac:dyDescent="0.3">
      <c r="A482" t="s">
        <v>2980</v>
      </c>
      <c r="B482" t="s">
        <v>1581</v>
      </c>
      <c r="C482" t="s">
        <v>1582</v>
      </c>
      <c r="D482" t="s">
        <v>3470</v>
      </c>
      <c r="E482" t="s">
        <v>1584</v>
      </c>
      <c r="F482" s="7" t="str">
        <f>IFERROR(INDEX(测试!H:H,MATCH(E482,测试!A:A,0)),1)</f>
        <v>-</v>
      </c>
    </row>
    <row r="483" spans="1:6" hidden="1" x14ac:dyDescent="0.3">
      <c r="A483" t="s">
        <v>2980</v>
      </c>
      <c r="B483" t="s">
        <v>1585</v>
      </c>
      <c r="C483" t="s">
        <v>1586</v>
      </c>
      <c r="D483" t="s">
        <v>3471</v>
      </c>
      <c r="E483" t="s">
        <v>1588</v>
      </c>
      <c r="F483" s="7" t="str">
        <f>IFERROR(INDEX(测试!H:H,MATCH(E483,测试!A:A,0)),1)</f>
        <v>-</v>
      </c>
    </row>
    <row r="484" spans="1:6" hidden="1" x14ac:dyDescent="0.3">
      <c r="A484" t="s">
        <v>2980</v>
      </c>
      <c r="B484" t="s">
        <v>1589</v>
      </c>
      <c r="C484" t="s">
        <v>1590</v>
      </c>
      <c r="D484" t="s">
        <v>3472</v>
      </c>
      <c r="E484" t="s">
        <v>1592</v>
      </c>
      <c r="F484" s="7" t="str">
        <f>IFERROR(INDEX(测试!H:H,MATCH(E484,测试!A:A,0)),1)</f>
        <v>-</v>
      </c>
    </row>
    <row r="485" spans="1:6" hidden="1" x14ac:dyDescent="0.3">
      <c r="A485" t="s">
        <v>2980</v>
      </c>
      <c r="B485" t="s">
        <v>1593</v>
      </c>
      <c r="C485" t="s">
        <v>1594</v>
      </c>
      <c r="D485" t="s">
        <v>3473</v>
      </c>
      <c r="E485" t="s">
        <v>1596</v>
      </c>
      <c r="F485" s="7" t="str">
        <f>IFERROR(INDEX(测试!H:H,MATCH(E485,测试!A:A,0)),1)</f>
        <v>-</v>
      </c>
    </row>
    <row r="486" spans="1:6" hidden="1" x14ac:dyDescent="0.3">
      <c r="A486" t="s">
        <v>2980</v>
      </c>
      <c r="B486" t="s">
        <v>1597</v>
      </c>
      <c r="C486" t="s">
        <v>1598</v>
      </c>
      <c r="D486" t="s">
        <v>3474</v>
      </c>
      <c r="E486" t="s">
        <v>1600</v>
      </c>
      <c r="F486" s="7" t="str">
        <f>IFERROR(INDEX(测试!H:H,MATCH(E486,测试!A:A,0)),1)</f>
        <v>-</v>
      </c>
    </row>
    <row r="487" spans="1:6" hidden="1" x14ac:dyDescent="0.3">
      <c r="A487" t="s">
        <v>2980</v>
      </c>
      <c r="B487" t="s">
        <v>1601</v>
      </c>
      <c r="C487" t="s">
        <v>1602</v>
      </c>
      <c r="D487" t="s">
        <v>3475</v>
      </c>
      <c r="E487" t="s">
        <v>1604</v>
      </c>
      <c r="F487" s="7" t="str">
        <f>IFERROR(INDEX(测试!H:H,MATCH(E487,测试!A:A,0)),1)</f>
        <v>-</v>
      </c>
    </row>
    <row r="488" spans="1:6" hidden="1" x14ac:dyDescent="0.3">
      <c r="A488" t="s">
        <v>2980</v>
      </c>
      <c r="B488" t="s">
        <v>1605</v>
      </c>
      <c r="C488" t="s">
        <v>1606</v>
      </c>
      <c r="D488" t="s">
        <v>3476</v>
      </c>
      <c r="E488" t="s">
        <v>1608</v>
      </c>
      <c r="F488" s="7" t="str">
        <f>IFERROR(INDEX(测试!H:H,MATCH(E488,测试!A:A,0)),1)</f>
        <v>-</v>
      </c>
    </row>
    <row r="489" spans="1:6" hidden="1" x14ac:dyDescent="0.3">
      <c r="A489" t="s">
        <v>2980</v>
      </c>
      <c r="B489" t="s">
        <v>1609</v>
      </c>
      <c r="C489" t="s">
        <v>1610</v>
      </c>
      <c r="D489" t="s">
        <v>3477</v>
      </c>
      <c r="E489" t="s">
        <v>1612</v>
      </c>
      <c r="F489" s="7" t="str">
        <f>IFERROR(INDEX(测试!H:H,MATCH(E489,测试!A:A,0)),1)</f>
        <v>-</v>
      </c>
    </row>
    <row r="490" spans="1:6" hidden="1" x14ac:dyDescent="0.3">
      <c r="A490" t="s">
        <v>2980</v>
      </c>
      <c r="B490" t="s">
        <v>1613</v>
      </c>
      <c r="C490" t="s">
        <v>1614</v>
      </c>
      <c r="D490" t="s">
        <v>3478</v>
      </c>
      <c r="E490" t="s">
        <v>1616</v>
      </c>
      <c r="F490" s="7" t="str">
        <f>IFERROR(INDEX(测试!H:H,MATCH(E490,测试!A:A,0)),1)</f>
        <v>-</v>
      </c>
    </row>
    <row r="491" spans="1:6" hidden="1" x14ac:dyDescent="0.3">
      <c r="A491" t="s">
        <v>2980</v>
      </c>
      <c r="B491" t="s">
        <v>1617</v>
      </c>
      <c r="C491" t="s">
        <v>1618</v>
      </c>
      <c r="D491" t="s">
        <v>3479</v>
      </c>
      <c r="E491" t="s">
        <v>1620</v>
      </c>
      <c r="F491" s="7" t="str">
        <f>IFERROR(INDEX(测试!H:H,MATCH(E491,测试!A:A,0)),1)</f>
        <v>-</v>
      </c>
    </row>
    <row r="492" spans="1:6" hidden="1" x14ac:dyDescent="0.3">
      <c r="A492" t="s">
        <v>2980</v>
      </c>
      <c r="B492" t="s">
        <v>1621</v>
      </c>
      <c r="C492" t="s">
        <v>1622</v>
      </c>
      <c r="D492" t="s">
        <v>3480</v>
      </c>
      <c r="E492" t="s">
        <v>1624</v>
      </c>
      <c r="F492" s="7" t="str">
        <f>IFERROR(INDEX(测试!H:H,MATCH(E492,测试!A:A,0)),1)</f>
        <v>-</v>
      </c>
    </row>
    <row r="493" spans="1:6" hidden="1" x14ac:dyDescent="0.3">
      <c r="A493" t="s">
        <v>2980</v>
      </c>
      <c r="B493" t="s">
        <v>1625</v>
      </c>
      <c r="C493" t="s">
        <v>1626</v>
      </c>
      <c r="D493" t="s">
        <v>3481</v>
      </c>
      <c r="E493" t="s">
        <v>1628</v>
      </c>
      <c r="F493" s="7" t="str">
        <f>IFERROR(INDEX(测试!H:H,MATCH(E493,测试!A:A,0)),1)</f>
        <v>-</v>
      </c>
    </row>
    <row r="494" spans="1:6" hidden="1" x14ac:dyDescent="0.3">
      <c r="A494" t="s">
        <v>2980</v>
      </c>
      <c r="B494" t="s">
        <v>1629</v>
      </c>
      <c r="C494" t="s">
        <v>1630</v>
      </c>
      <c r="D494" t="s">
        <v>3482</v>
      </c>
      <c r="E494" t="s">
        <v>1632</v>
      </c>
      <c r="F494" s="7" t="str">
        <f>IFERROR(INDEX(测试!H:H,MATCH(E494,测试!A:A,0)),1)</f>
        <v>-</v>
      </c>
    </row>
    <row r="495" spans="1:6" hidden="1" x14ac:dyDescent="0.3">
      <c r="A495" t="s">
        <v>2980</v>
      </c>
      <c r="B495" t="s">
        <v>1633</v>
      </c>
      <c r="C495" t="s">
        <v>1634</v>
      </c>
      <c r="D495" t="s">
        <v>3483</v>
      </c>
      <c r="E495" t="s">
        <v>1636</v>
      </c>
      <c r="F495" s="7" t="str">
        <f>IFERROR(INDEX(测试!H:H,MATCH(E495,测试!A:A,0)),1)</f>
        <v>-</v>
      </c>
    </row>
    <row r="496" spans="1:6" hidden="1" x14ac:dyDescent="0.3">
      <c r="A496" t="s">
        <v>2980</v>
      </c>
      <c r="B496" t="s">
        <v>1637</v>
      </c>
      <c r="C496" t="s">
        <v>1638</v>
      </c>
      <c r="D496" t="s">
        <v>3484</v>
      </c>
      <c r="E496" t="s">
        <v>1640</v>
      </c>
      <c r="F496" s="7" t="str">
        <f>IFERROR(INDEX(测试!H:H,MATCH(E496,测试!A:A,0)),1)</f>
        <v>-</v>
      </c>
    </row>
    <row r="497" spans="1:6" hidden="1" x14ac:dyDescent="0.3">
      <c r="A497" t="s">
        <v>2980</v>
      </c>
      <c r="B497" t="s">
        <v>1641</v>
      </c>
      <c r="C497" t="s">
        <v>1642</v>
      </c>
      <c r="D497" t="s">
        <v>3485</v>
      </c>
      <c r="E497" t="s">
        <v>1644</v>
      </c>
      <c r="F497" s="7" t="str">
        <f>IFERROR(INDEX(测试!H:H,MATCH(E497,测试!A:A,0)),1)</f>
        <v>-</v>
      </c>
    </row>
    <row r="498" spans="1:6" hidden="1" x14ac:dyDescent="0.3">
      <c r="A498" t="s">
        <v>2980</v>
      </c>
      <c r="B498" t="s">
        <v>1645</v>
      </c>
      <c r="C498" t="s">
        <v>1646</v>
      </c>
      <c r="D498" t="s">
        <v>3486</v>
      </c>
      <c r="E498" t="s">
        <v>1648</v>
      </c>
      <c r="F498" s="7" t="str">
        <f>IFERROR(INDEX(测试!H:H,MATCH(E498,测试!A:A,0)),1)</f>
        <v>-</v>
      </c>
    </row>
    <row r="499" spans="1:6" hidden="1" x14ac:dyDescent="0.3">
      <c r="A499" t="s">
        <v>2980</v>
      </c>
      <c r="B499" t="s">
        <v>1649</v>
      </c>
      <c r="C499" t="s">
        <v>1650</v>
      </c>
      <c r="D499" t="s">
        <v>3487</v>
      </c>
      <c r="E499" t="s">
        <v>1652</v>
      </c>
      <c r="F499" s="7" t="str">
        <f>IFERROR(INDEX(测试!H:H,MATCH(E499,测试!A:A,0)),1)</f>
        <v>-</v>
      </c>
    </row>
    <row r="500" spans="1:6" hidden="1" x14ac:dyDescent="0.3">
      <c r="A500" t="s">
        <v>2980</v>
      </c>
      <c r="B500" t="s">
        <v>1653</v>
      </c>
      <c r="C500" t="s">
        <v>1654</v>
      </c>
      <c r="D500" t="s">
        <v>3488</v>
      </c>
      <c r="E500" t="s">
        <v>1656</v>
      </c>
      <c r="F500" s="7" t="str">
        <f>IFERROR(INDEX(测试!H:H,MATCH(E500,测试!A:A,0)),1)</f>
        <v>-</v>
      </c>
    </row>
    <row r="501" spans="1:6" hidden="1" x14ac:dyDescent="0.3">
      <c r="A501" t="s">
        <v>2980</v>
      </c>
      <c r="B501" t="s">
        <v>1657</v>
      </c>
      <c r="C501" t="s">
        <v>1658</v>
      </c>
      <c r="D501" t="s">
        <v>3489</v>
      </c>
      <c r="E501" t="s">
        <v>1660</v>
      </c>
      <c r="F501" s="7" t="str">
        <f>IFERROR(INDEX(测试!H:H,MATCH(E501,测试!A:A,0)),1)</f>
        <v>-</v>
      </c>
    </row>
    <row r="502" spans="1:6" hidden="1" x14ac:dyDescent="0.3">
      <c r="A502" t="s">
        <v>2980</v>
      </c>
      <c r="B502" t="s">
        <v>1661</v>
      </c>
      <c r="C502" t="s">
        <v>1662</v>
      </c>
      <c r="D502" t="s">
        <v>3490</v>
      </c>
      <c r="E502" t="s">
        <v>1664</v>
      </c>
      <c r="F502" s="7" t="str">
        <f>IFERROR(INDEX(测试!H:H,MATCH(E502,测试!A:A,0)),1)</f>
        <v>-</v>
      </c>
    </row>
    <row r="503" spans="1:6" hidden="1" x14ac:dyDescent="0.3">
      <c r="A503" t="s">
        <v>2980</v>
      </c>
      <c r="B503" t="s">
        <v>1665</v>
      </c>
      <c r="C503" t="s">
        <v>1666</v>
      </c>
      <c r="D503" t="s">
        <v>3491</v>
      </c>
      <c r="E503" t="s">
        <v>1668</v>
      </c>
      <c r="F503" s="7" t="str">
        <f>IFERROR(INDEX(测试!H:H,MATCH(E503,测试!A:A,0)),1)</f>
        <v>-</v>
      </c>
    </row>
    <row r="504" spans="1:6" hidden="1" x14ac:dyDescent="0.3">
      <c r="A504" t="s">
        <v>2980</v>
      </c>
      <c r="B504" t="s">
        <v>1669</v>
      </c>
      <c r="C504" t="s">
        <v>1670</v>
      </c>
      <c r="D504" t="s">
        <v>3492</v>
      </c>
      <c r="E504" t="s">
        <v>1672</v>
      </c>
      <c r="F504" s="7" t="str">
        <f>IFERROR(INDEX(测试!H:H,MATCH(E504,测试!A:A,0)),1)</f>
        <v>-</v>
      </c>
    </row>
    <row r="505" spans="1:6" hidden="1" x14ac:dyDescent="0.3">
      <c r="A505" t="s">
        <v>2980</v>
      </c>
      <c r="B505" t="s">
        <v>1673</v>
      </c>
      <c r="C505" t="s">
        <v>1674</v>
      </c>
      <c r="D505" t="s">
        <v>3493</v>
      </c>
      <c r="E505" t="s">
        <v>3075</v>
      </c>
      <c r="F505" s="7" t="str">
        <f>IFERROR(INDEX(测试!H:H,MATCH(E505,测试!A:A,0)),1)</f>
        <v>-</v>
      </c>
    </row>
    <row r="506" spans="1:6" hidden="1" x14ac:dyDescent="0.3">
      <c r="A506" t="s">
        <v>2980</v>
      </c>
      <c r="B506" t="s">
        <v>1676</v>
      </c>
      <c r="C506" t="s">
        <v>1677</v>
      </c>
      <c r="D506" t="s">
        <v>3494</v>
      </c>
      <c r="E506" t="s">
        <v>1679</v>
      </c>
      <c r="F506" s="7" t="str">
        <f>IFERROR(INDEX(测试!H:H,MATCH(E506,测试!A:A,0)),1)</f>
        <v>-</v>
      </c>
    </row>
    <row r="507" spans="1:6" hidden="1" x14ac:dyDescent="0.3">
      <c r="A507" t="s">
        <v>2980</v>
      </c>
      <c r="B507" t="s">
        <v>1680</v>
      </c>
      <c r="C507" t="s">
        <v>1681</v>
      </c>
      <c r="D507" t="s">
        <v>3495</v>
      </c>
      <c r="E507" t="s">
        <v>1683</v>
      </c>
      <c r="F507" s="7" t="str">
        <f>IFERROR(INDEX(测试!H:H,MATCH(E507,测试!A:A,0)),1)</f>
        <v>-</v>
      </c>
    </row>
    <row r="508" spans="1:6" hidden="1" x14ac:dyDescent="0.3">
      <c r="A508" t="s">
        <v>2980</v>
      </c>
      <c r="B508" t="s">
        <v>1684</v>
      </c>
      <c r="C508" t="s">
        <v>1685</v>
      </c>
      <c r="D508" t="s">
        <v>3496</v>
      </c>
      <c r="E508" t="s">
        <v>3076</v>
      </c>
      <c r="F508" s="7" t="str">
        <f>IFERROR(INDEX(测试!H:H,MATCH(E508,测试!A:A,0)),1)</f>
        <v>-</v>
      </c>
    </row>
    <row r="509" spans="1:6" hidden="1" x14ac:dyDescent="0.3">
      <c r="A509" t="s">
        <v>2980</v>
      </c>
      <c r="B509" t="s">
        <v>1687</v>
      </c>
      <c r="C509" t="s">
        <v>1688</v>
      </c>
      <c r="D509" t="s">
        <v>3497</v>
      </c>
      <c r="E509" t="s">
        <v>1690</v>
      </c>
      <c r="F509" s="7" t="str">
        <f>IFERROR(INDEX(测试!H:H,MATCH(E509,测试!A:A,0)),1)</f>
        <v>-</v>
      </c>
    </row>
    <row r="510" spans="1:6" hidden="1" x14ac:dyDescent="0.3">
      <c r="A510" t="s">
        <v>2980</v>
      </c>
      <c r="B510" t="s">
        <v>1691</v>
      </c>
      <c r="C510" t="s">
        <v>1692</v>
      </c>
      <c r="D510" t="s">
        <v>3498</v>
      </c>
      <c r="E510" t="s">
        <v>1694</v>
      </c>
      <c r="F510" s="7" t="str">
        <f>IFERROR(INDEX(测试!H:H,MATCH(E510,测试!A:A,0)),1)</f>
        <v>-</v>
      </c>
    </row>
    <row r="511" spans="1:6" hidden="1" x14ac:dyDescent="0.3">
      <c r="A511" t="s">
        <v>2980</v>
      </c>
      <c r="B511" t="s">
        <v>1695</v>
      </c>
      <c r="C511" t="s">
        <v>1696</v>
      </c>
      <c r="D511" t="s">
        <v>3499</v>
      </c>
      <c r="E511" t="s">
        <v>1698</v>
      </c>
      <c r="F511" s="7" t="str">
        <f>IFERROR(INDEX(测试!H:H,MATCH(E511,测试!A:A,0)),1)</f>
        <v>-</v>
      </c>
    </row>
    <row r="512" spans="1:6" hidden="1" x14ac:dyDescent="0.3">
      <c r="A512" t="s">
        <v>2980</v>
      </c>
      <c r="B512" t="s">
        <v>1699</v>
      </c>
      <c r="C512" t="s">
        <v>1700</v>
      </c>
      <c r="D512" t="s">
        <v>3500</v>
      </c>
      <c r="E512" t="s">
        <v>1702</v>
      </c>
      <c r="F512" s="7" t="str">
        <f>IFERROR(INDEX(测试!H:H,MATCH(E512,测试!A:A,0)),1)</f>
        <v>-</v>
      </c>
    </row>
    <row r="513" spans="1:6" hidden="1" x14ac:dyDescent="0.3">
      <c r="A513" t="s">
        <v>2980</v>
      </c>
      <c r="B513" t="s">
        <v>1703</v>
      </c>
      <c r="C513" t="s">
        <v>1704</v>
      </c>
      <c r="D513" t="s">
        <v>3501</v>
      </c>
      <c r="E513" t="s">
        <v>1706</v>
      </c>
      <c r="F513" s="7" t="str">
        <f>IFERROR(INDEX(测试!H:H,MATCH(E513,测试!A:A,0)),1)</f>
        <v>-</v>
      </c>
    </row>
    <row r="514" spans="1:6" hidden="1" x14ac:dyDescent="0.3">
      <c r="A514" t="s">
        <v>2980</v>
      </c>
      <c r="B514" t="s">
        <v>1707</v>
      </c>
      <c r="C514" t="s">
        <v>1708</v>
      </c>
      <c r="D514" t="s">
        <v>3502</v>
      </c>
      <c r="E514" t="s">
        <v>1710</v>
      </c>
      <c r="F514" s="7" t="str">
        <f>IFERROR(INDEX(测试!H:H,MATCH(E514,测试!A:A,0)),1)</f>
        <v>-</v>
      </c>
    </row>
    <row r="515" spans="1:6" hidden="1" x14ac:dyDescent="0.3">
      <c r="A515" t="s">
        <v>2980</v>
      </c>
      <c r="B515" t="s">
        <v>1711</v>
      </c>
      <c r="C515" t="s">
        <v>1712</v>
      </c>
      <c r="D515" t="s">
        <v>3503</v>
      </c>
      <c r="E515" t="s">
        <v>1714</v>
      </c>
      <c r="F515" s="7" t="str">
        <f>IFERROR(INDEX(测试!H:H,MATCH(E515,测试!A:A,0)),1)</f>
        <v>-</v>
      </c>
    </row>
    <row r="516" spans="1:6" hidden="1" x14ac:dyDescent="0.3">
      <c r="A516" t="s">
        <v>2980</v>
      </c>
      <c r="B516" t="s">
        <v>1715</v>
      </c>
      <c r="C516" t="s">
        <v>1716</v>
      </c>
      <c r="D516" t="s">
        <v>3504</v>
      </c>
      <c r="E516" t="s">
        <v>3033</v>
      </c>
      <c r="F516" s="7" t="str">
        <f>IFERROR(INDEX(测试!H:H,MATCH(E516,测试!A:A,0)),1)</f>
        <v>-</v>
      </c>
    </row>
    <row r="517" spans="1:6" hidden="1" x14ac:dyDescent="0.3">
      <c r="A517" t="s">
        <v>2980</v>
      </c>
      <c r="B517" t="s">
        <v>1718</v>
      </c>
      <c r="C517" t="s">
        <v>1719</v>
      </c>
      <c r="D517" t="s">
        <v>3505</v>
      </c>
      <c r="E517" t="s">
        <v>1721</v>
      </c>
      <c r="F517" s="7" t="str">
        <f>IFERROR(INDEX(测试!H:H,MATCH(E517,测试!A:A,0)),1)</f>
        <v>-</v>
      </c>
    </row>
    <row r="518" spans="1:6" hidden="1" x14ac:dyDescent="0.3">
      <c r="A518" t="s">
        <v>4223</v>
      </c>
      <c r="B518" t="s">
        <v>4224</v>
      </c>
      <c r="C518" t="s">
        <v>4225</v>
      </c>
      <c r="D518" t="s">
        <v>4226</v>
      </c>
      <c r="E518" t="s">
        <v>4227</v>
      </c>
      <c r="F518" s="7" t="str">
        <f>IFERROR(INDEX(测试!H:H,MATCH(E518,测试!A:A,0)),1)</f>
        <v>-</v>
      </c>
    </row>
    <row r="519" spans="1:6" hidden="1" x14ac:dyDescent="0.3">
      <c r="A519" t="s">
        <v>4223</v>
      </c>
      <c r="B519" t="s">
        <v>4431</v>
      </c>
      <c r="C519" t="s">
        <v>4229</v>
      </c>
      <c r="D519" t="s">
        <v>4230</v>
      </c>
      <c r="E519" t="s">
        <v>4231</v>
      </c>
      <c r="F519" s="7" t="str">
        <f>IFERROR(INDEX(测试!H:H,MATCH(E519,测试!A:A,0)),1)</f>
        <v>文件名错误</v>
      </c>
    </row>
    <row r="520" spans="1:6" hidden="1" x14ac:dyDescent="0.3">
      <c r="A520" t="s">
        <v>4223</v>
      </c>
      <c r="B520" t="s">
        <v>4232</v>
      </c>
      <c r="C520" t="s">
        <v>4233</v>
      </c>
      <c r="D520" t="s">
        <v>4234</v>
      </c>
      <c r="E520" t="s">
        <v>4235</v>
      </c>
      <c r="F520" s="7" t="str">
        <f>IFERROR(INDEX(测试!H:H,MATCH(E520,测试!A:A,0)),1)</f>
        <v>-</v>
      </c>
    </row>
    <row r="521" spans="1:6" hidden="1" x14ac:dyDescent="0.3">
      <c r="A521" t="s">
        <v>4223</v>
      </c>
      <c r="B521" t="s">
        <v>4236</v>
      </c>
      <c r="C521" t="s">
        <v>4237</v>
      </c>
      <c r="D521" t="s">
        <v>4238</v>
      </c>
      <c r="E521" t="s">
        <v>4239</v>
      </c>
      <c r="F521" s="7" t="str">
        <f>IFERROR(INDEX(测试!H:H,MATCH(E521,测试!A:A,0)),1)</f>
        <v>-</v>
      </c>
    </row>
    <row r="522" spans="1:6" hidden="1" x14ac:dyDescent="0.3">
      <c r="A522" t="s">
        <v>4223</v>
      </c>
      <c r="B522" t="s">
        <v>4240</v>
      </c>
      <c r="C522" t="s">
        <v>4241</v>
      </c>
      <c r="D522" t="s">
        <v>4242</v>
      </c>
      <c r="E522" t="s">
        <v>4243</v>
      </c>
      <c r="F522" s="7" t="str">
        <f>IFERROR(INDEX(测试!H:H,MATCH(E522,测试!A:A,0)),1)</f>
        <v>-</v>
      </c>
    </row>
    <row r="523" spans="1:6" hidden="1" x14ac:dyDescent="0.3">
      <c r="A523" t="s">
        <v>4223</v>
      </c>
      <c r="B523" t="s">
        <v>4244</v>
      </c>
      <c r="C523" t="s">
        <v>4245</v>
      </c>
      <c r="D523" t="s">
        <v>4246</v>
      </c>
      <c r="E523" t="s">
        <v>4247</v>
      </c>
      <c r="F523" s="7" t="str">
        <f>IFERROR(INDEX(测试!H:H,MATCH(E523,测试!A:A,0)),1)</f>
        <v>-</v>
      </c>
    </row>
    <row r="524" spans="1:6" hidden="1" x14ac:dyDescent="0.3">
      <c r="A524" t="s">
        <v>4223</v>
      </c>
      <c r="B524" t="s">
        <v>4248</v>
      </c>
      <c r="C524" t="s">
        <v>4249</v>
      </c>
      <c r="D524" t="s">
        <v>4250</v>
      </c>
      <c r="E524" t="s">
        <v>4251</v>
      </c>
      <c r="F524" s="7" t="str">
        <f>IFERROR(INDEX(测试!H:H,MATCH(E524,测试!A:A,0)),1)</f>
        <v>-</v>
      </c>
    </row>
    <row r="525" spans="1:6" hidden="1" x14ac:dyDescent="0.3">
      <c r="A525" t="s">
        <v>4223</v>
      </c>
      <c r="B525" t="s">
        <v>4252</v>
      </c>
      <c r="C525" t="s">
        <v>4253</v>
      </c>
      <c r="D525" t="s">
        <v>4254</v>
      </c>
      <c r="E525" t="s">
        <v>4255</v>
      </c>
      <c r="F525" s="7" t="str">
        <f>IFERROR(INDEX(测试!H:H,MATCH(E525,测试!A:A,0)),1)</f>
        <v>-</v>
      </c>
    </row>
    <row r="526" spans="1:6" hidden="1" x14ac:dyDescent="0.3">
      <c r="A526" t="s">
        <v>4223</v>
      </c>
      <c r="B526" t="s">
        <v>4256</v>
      </c>
      <c r="C526" t="s">
        <v>4257</v>
      </c>
      <c r="D526" t="s">
        <v>4258</v>
      </c>
      <c r="E526" t="s">
        <v>4259</v>
      </c>
      <c r="F526" s="7" t="str">
        <f>IFERROR(INDEX(测试!H:H,MATCH(E526,测试!A:A,0)),1)</f>
        <v>-</v>
      </c>
    </row>
    <row r="527" spans="1:6" hidden="1" x14ac:dyDescent="0.3">
      <c r="A527" t="s">
        <v>4223</v>
      </c>
      <c r="B527" t="s">
        <v>4260</v>
      </c>
      <c r="C527" t="s">
        <v>4261</v>
      </c>
      <c r="D527" t="s">
        <v>4262</v>
      </c>
      <c r="E527" t="s">
        <v>4263</v>
      </c>
      <c r="F527" s="7" t="str">
        <f>IFERROR(INDEX(测试!H:H,MATCH(E527,测试!A:A,0)),1)</f>
        <v>-</v>
      </c>
    </row>
    <row r="528" spans="1:6" hidden="1" x14ac:dyDescent="0.3">
      <c r="A528" t="s">
        <v>4223</v>
      </c>
      <c r="B528" t="s">
        <v>4432</v>
      </c>
      <c r="C528" t="s">
        <v>4265</v>
      </c>
      <c r="D528" t="s">
        <v>4266</v>
      </c>
      <c r="E528" t="s">
        <v>4267</v>
      </c>
      <c r="F528" s="7" t="str">
        <f>IFERROR(INDEX(测试!H:H,MATCH(E528,测试!A:A,0)),1)</f>
        <v>文件名错误</v>
      </c>
    </row>
    <row r="529" spans="1:6" hidden="1" x14ac:dyDescent="0.3">
      <c r="A529" t="s">
        <v>4223</v>
      </c>
      <c r="B529" t="s">
        <v>4268</v>
      </c>
      <c r="C529" t="s">
        <v>4269</v>
      </c>
      <c r="D529" t="s">
        <v>4270</v>
      </c>
      <c r="E529" t="s">
        <v>4271</v>
      </c>
      <c r="F529" s="7" t="str">
        <f>IFERROR(INDEX(测试!H:H,MATCH(E529,测试!A:A,0)),1)</f>
        <v>-</v>
      </c>
    </row>
    <row r="530" spans="1:6" hidden="1" x14ac:dyDescent="0.3">
      <c r="A530" t="s">
        <v>4223</v>
      </c>
      <c r="B530" t="s">
        <v>4272</v>
      </c>
      <c r="C530" t="s">
        <v>4273</v>
      </c>
      <c r="D530" t="s">
        <v>4274</v>
      </c>
      <c r="E530" t="s">
        <v>4275</v>
      </c>
      <c r="F530" s="7" t="str">
        <f>IFERROR(INDEX(测试!H:H,MATCH(E530,测试!A:A,0)),1)</f>
        <v>-</v>
      </c>
    </row>
    <row r="531" spans="1:6" hidden="1" x14ac:dyDescent="0.3">
      <c r="A531" t="s">
        <v>4223</v>
      </c>
      <c r="B531" t="s">
        <v>4276</v>
      </c>
      <c r="C531" t="s">
        <v>4277</v>
      </c>
      <c r="D531" t="s">
        <v>4278</v>
      </c>
      <c r="E531" t="s">
        <v>4279</v>
      </c>
      <c r="F531" s="7" t="str">
        <f>IFERROR(INDEX(测试!H:H,MATCH(E531,测试!A:A,0)),1)</f>
        <v>-</v>
      </c>
    </row>
    <row r="532" spans="1:6" hidden="1" x14ac:dyDescent="0.3">
      <c r="A532" t="s">
        <v>4223</v>
      </c>
      <c r="B532" t="s">
        <v>4280</v>
      </c>
      <c r="C532" t="s">
        <v>4281</v>
      </c>
      <c r="D532" t="s">
        <v>4282</v>
      </c>
      <c r="E532" t="s">
        <v>4283</v>
      </c>
      <c r="F532" s="7" t="str">
        <f>IFERROR(INDEX(测试!H:H,MATCH(E532,测试!A:A,0)),1)</f>
        <v>-</v>
      </c>
    </row>
    <row r="533" spans="1:6" hidden="1" x14ac:dyDescent="0.3">
      <c r="A533" t="s">
        <v>4223</v>
      </c>
      <c r="B533" t="s">
        <v>4284</v>
      </c>
      <c r="C533" t="s">
        <v>4285</v>
      </c>
      <c r="D533" t="s">
        <v>4286</v>
      </c>
      <c r="E533" t="s">
        <v>4287</v>
      </c>
      <c r="F533" s="7" t="str">
        <f>IFERROR(INDEX(测试!H:H,MATCH(E533,测试!A:A,0)),1)</f>
        <v>-</v>
      </c>
    </row>
    <row r="534" spans="1:6" hidden="1" x14ac:dyDescent="0.3">
      <c r="A534" t="s">
        <v>4223</v>
      </c>
      <c r="B534" t="s">
        <v>4288</v>
      </c>
      <c r="C534" t="s">
        <v>4289</v>
      </c>
      <c r="D534" t="s">
        <v>4290</v>
      </c>
      <c r="E534" t="s">
        <v>4291</v>
      </c>
      <c r="F534" s="7" t="str">
        <f>IFERROR(INDEX(测试!H:H,MATCH(E534,测试!A:A,0)),1)</f>
        <v>-</v>
      </c>
    </row>
    <row r="535" spans="1:6" hidden="1" x14ac:dyDescent="0.3">
      <c r="A535" t="s">
        <v>4223</v>
      </c>
      <c r="B535" t="s">
        <v>4292</v>
      </c>
      <c r="C535" t="s">
        <v>4293</v>
      </c>
      <c r="D535" t="s">
        <v>4294</v>
      </c>
      <c r="E535" t="s">
        <v>4295</v>
      </c>
      <c r="F535" s="7" t="str">
        <f>IFERROR(INDEX(测试!H:H,MATCH(E535,测试!A:A,0)),1)</f>
        <v>-</v>
      </c>
    </row>
    <row r="536" spans="1:6" hidden="1" x14ac:dyDescent="0.3">
      <c r="A536" t="s">
        <v>4223</v>
      </c>
      <c r="B536" t="s">
        <v>4296</v>
      </c>
      <c r="C536" t="s">
        <v>4297</v>
      </c>
      <c r="D536" t="s">
        <v>4298</v>
      </c>
      <c r="E536" t="s">
        <v>4299</v>
      </c>
      <c r="F536" s="7" t="str">
        <f>IFERROR(INDEX(测试!H:H,MATCH(E536,测试!A:A,0)),1)</f>
        <v>-</v>
      </c>
    </row>
    <row r="537" spans="1:6" hidden="1" x14ac:dyDescent="0.3">
      <c r="A537" t="s">
        <v>4223</v>
      </c>
      <c r="B537" t="s">
        <v>4300</v>
      </c>
      <c r="C537" t="s">
        <v>4301</v>
      </c>
      <c r="D537" t="s">
        <v>4302</v>
      </c>
      <c r="E537" t="s">
        <v>4303</v>
      </c>
      <c r="F537" s="7" t="str">
        <f>IFERROR(INDEX(测试!H:H,MATCH(E537,测试!A:A,0)),1)</f>
        <v>-</v>
      </c>
    </row>
    <row r="538" spans="1:6" hidden="1" x14ac:dyDescent="0.3">
      <c r="A538" t="s">
        <v>4223</v>
      </c>
      <c r="B538" t="s">
        <v>4304</v>
      </c>
      <c r="C538" t="s">
        <v>4305</v>
      </c>
      <c r="D538" t="s">
        <v>4306</v>
      </c>
      <c r="E538" t="s">
        <v>4307</v>
      </c>
      <c r="F538" s="7" t="str">
        <f>IFERROR(INDEX(测试!H:H,MATCH(E538,测试!A:A,0)),1)</f>
        <v>-</v>
      </c>
    </row>
    <row r="539" spans="1:6" hidden="1" x14ac:dyDescent="0.3">
      <c r="A539" t="s">
        <v>4223</v>
      </c>
      <c r="B539" t="s">
        <v>4308</v>
      </c>
      <c r="C539" t="s">
        <v>4309</v>
      </c>
      <c r="D539" t="s">
        <v>4310</v>
      </c>
      <c r="E539" t="s">
        <v>4311</v>
      </c>
      <c r="F539" s="7" t="str">
        <f>IFERROR(INDEX(测试!H:H,MATCH(E539,测试!A:A,0)),1)</f>
        <v>-</v>
      </c>
    </row>
    <row r="540" spans="1:6" hidden="1" x14ac:dyDescent="0.3">
      <c r="A540" t="s">
        <v>4223</v>
      </c>
      <c r="B540" t="s">
        <v>4312</v>
      </c>
      <c r="C540" t="s">
        <v>4313</v>
      </c>
      <c r="D540" t="s">
        <v>4314</v>
      </c>
      <c r="E540" t="s">
        <v>4315</v>
      </c>
      <c r="F540" s="7" t="str">
        <f>IFERROR(INDEX(测试!H:H,MATCH(E540,测试!A:A,0)),1)</f>
        <v>-</v>
      </c>
    </row>
    <row r="541" spans="1:6" hidden="1" x14ac:dyDescent="0.3">
      <c r="A541" t="s">
        <v>4223</v>
      </c>
      <c r="B541" t="s">
        <v>4316</v>
      </c>
      <c r="C541" t="s">
        <v>4317</v>
      </c>
      <c r="D541" t="s">
        <v>4318</v>
      </c>
      <c r="E541" t="s">
        <v>4319</v>
      </c>
      <c r="F541" s="7" t="str">
        <f>IFERROR(INDEX(测试!H:H,MATCH(E541,测试!A:A,0)),1)</f>
        <v>-</v>
      </c>
    </row>
    <row r="542" spans="1:6" hidden="1" x14ac:dyDescent="0.3">
      <c r="A542" t="s">
        <v>4223</v>
      </c>
      <c r="B542" t="s">
        <v>4320</v>
      </c>
      <c r="C542" t="s">
        <v>4321</v>
      </c>
      <c r="D542" t="s">
        <v>4322</v>
      </c>
      <c r="E542" t="s">
        <v>4323</v>
      </c>
      <c r="F542" s="7" t="str">
        <f>IFERROR(INDEX(测试!H:H,MATCH(E542,测试!A:A,0)),1)</f>
        <v>-</v>
      </c>
    </row>
    <row r="543" spans="1:6" hidden="1" x14ac:dyDescent="0.3">
      <c r="A543" t="s">
        <v>4223</v>
      </c>
      <c r="B543" t="s">
        <v>4324</v>
      </c>
      <c r="C543" t="s">
        <v>4325</v>
      </c>
      <c r="D543" t="s">
        <v>4326</v>
      </c>
      <c r="E543" t="s">
        <v>4327</v>
      </c>
      <c r="F543" s="7" t="str">
        <f>IFERROR(INDEX(测试!H:H,MATCH(E543,测试!A:A,0)),1)</f>
        <v>-</v>
      </c>
    </row>
    <row r="544" spans="1:6" hidden="1" x14ac:dyDescent="0.3">
      <c r="A544" t="s">
        <v>4223</v>
      </c>
      <c r="B544" t="s">
        <v>4328</v>
      </c>
      <c r="C544" t="s">
        <v>4329</v>
      </c>
      <c r="D544" t="s">
        <v>4330</v>
      </c>
      <c r="E544" t="s">
        <v>4331</v>
      </c>
      <c r="F544" s="7" t="str">
        <f>IFERROR(INDEX(测试!H:H,MATCH(E544,测试!A:A,0)),1)</f>
        <v>-</v>
      </c>
    </row>
    <row r="545" spans="1:6" hidden="1" x14ac:dyDescent="0.3">
      <c r="A545" t="s">
        <v>4223</v>
      </c>
      <c r="B545" t="s">
        <v>4433</v>
      </c>
      <c r="C545" t="s">
        <v>4333</v>
      </c>
      <c r="D545" t="s">
        <v>4334</v>
      </c>
      <c r="E545" t="s">
        <v>4335</v>
      </c>
      <c r="F545" s="7" t="str">
        <f>IFERROR(INDEX(测试!H:H,MATCH(E545,测试!A:A,0)),1)</f>
        <v>文件名错误</v>
      </c>
    </row>
    <row r="546" spans="1:6" hidden="1" x14ac:dyDescent="0.3">
      <c r="A546" t="s">
        <v>4223</v>
      </c>
      <c r="B546" t="s">
        <v>4336</v>
      </c>
      <c r="C546" t="s">
        <v>4337</v>
      </c>
      <c r="D546" t="s">
        <v>4338</v>
      </c>
      <c r="E546" t="s">
        <v>4339</v>
      </c>
      <c r="F546" s="7" t="str">
        <f>IFERROR(INDEX(测试!H:H,MATCH(E546,测试!A:A,0)),1)</f>
        <v>-</v>
      </c>
    </row>
    <row r="547" spans="1:6" hidden="1" x14ac:dyDescent="0.3">
      <c r="A547" t="s">
        <v>4223</v>
      </c>
      <c r="B547" t="s">
        <v>4434</v>
      </c>
      <c r="C547" t="s">
        <v>4341</v>
      </c>
      <c r="D547" t="s">
        <v>4342</v>
      </c>
      <c r="E547" t="s">
        <v>4343</v>
      </c>
      <c r="F547" s="7" t="str">
        <f>IFERROR(INDEX(测试!H:H,MATCH(E547,测试!A:A,0)),1)</f>
        <v>文件名错误</v>
      </c>
    </row>
    <row r="548" spans="1:6" hidden="1" x14ac:dyDescent="0.3">
      <c r="A548" t="s">
        <v>4223</v>
      </c>
      <c r="B548" t="s">
        <v>4344</v>
      </c>
      <c r="C548" t="s">
        <v>4345</v>
      </c>
      <c r="D548" t="s">
        <v>4346</v>
      </c>
      <c r="E548" t="s">
        <v>4347</v>
      </c>
      <c r="F548" s="7" t="str">
        <f>IFERROR(INDEX(测试!H:H,MATCH(E548,测试!A:A,0)),1)</f>
        <v>-</v>
      </c>
    </row>
    <row r="549" spans="1:6" hidden="1" x14ac:dyDescent="0.3">
      <c r="A549" t="s">
        <v>4223</v>
      </c>
      <c r="B549" t="s">
        <v>4348</v>
      </c>
      <c r="C549" t="s">
        <v>4349</v>
      </c>
      <c r="D549" t="s">
        <v>4350</v>
      </c>
      <c r="E549" t="s">
        <v>4351</v>
      </c>
      <c r="F549" s="7" t="str">
        <f>IFERROR(INDEX(测试!H:H,MATCH(E549,测试!A:A,0)),1)</f>
        <v>-</v>
      </c>
    </row>
    <row r="550" spans="1:6" hidden="1" x14ac:dyDescent="0.3">
      <c r="A550" t="s">
        <v>4223</v>
      </c>
      <c r="B550" t="s">
        <v>4352</v>
      </c>
      <c r="C550" t="s">
        <v>4353</v>
      </c>
      <c r="D550" t="s">
        <v>4354</v>
      </c>
      <c r="E550" t="s">
        <v>4355</v>
      </c>
      <c r="F550" s="7" t="str">
        <f>IFERROR(INDEX(测试!H:H,MATCH(E550,测试!A:A,0)),1)</f>
        <v>-</v>
      </c>
    </row>
    <row r="551" spans="1:6" hidden="1" x14ac:dyDescent="0.3">
      <c r="A551" t="s">
        <v>4223</v>
      </c>
      <c r="B551" t="s">
        <v>4356</v>
      </c>
      <c r="C551" t="s">
        <v>4357</v>
      </c>
      <c r="D551" t="s">
        <v>4358</v>
      </c>
      <c r="E551" t="s">
        <v>4359</v>
      </c>
      <c r="F551" s="7" t="str">
        <f>IFERROR(INDEX(测试!H:H,MATCH(E551,测试!A:A,0)),1)</f>
        <v>-</v>
      </c>
    </row>
    <row r="552" spans="1:6" hidden="1" x14ac:dyDescent="0.3">
      <c r="A552" t="s">
        <v>4223</v>
      </c>
      <c r="B552" t="s">
        <v>4360</v>
      </c>
      <c r="C552" t="s">
        <v>4361</v>
      </c>
      <c r="D552" t="s">
        <v>4362</v>
      </c>
      <c r="E552" t="s">
        <v>4363</v>
      </c>
      <c r="F552" s="7" t="str">
        <f>IFERROR(INDEX(测试!H:H,MATCH(E552,测试!A:A,0)),1)</f>
        <v>-</v>
      </c>
    </row>
    <row r="553" spans="1:6" hidden="1" x14ac:dyDescent="0.3">
      <c r="A553" t="s">
        <v>4223</v>
      </c>
      <c r="B553" t="s">
        <v>4364</v>
      </c>
      <c r="C553" t="s">
        <v>4365</v>
      </c>
      <c r="D553" t="s">
        <v>4366</v>
      </c>
      <c r="E553" t="s">
        <v>4367</v>
      </c>
      <c r="F553" s="7" t="str">
        <f>IFERROR(INDEX(测试!H:H,MATCH(E553,测试!A:A,0)),1)</f>
        <v>-</v>
      </c>
    </row>
    <row r="554" spans="1:6" hidden="1" x14ac:dyDescent="0.3">
      <c r="A554" t="s">
        <v>4223</v>
      </c>
      <c r="B554" t="s">
        <v>4368</v>
      </c>
      <c r="C554" t="s">
        <v>4369</v>
      </c>
      <c r="D554" t="s">
        <v>4370</v>
      </c>
      <c r="E554" t="s">
        <v>4371</v>
      </c>
      <c r="F554" s="7" t="str">
        <f>IFERROR(INDEX(测试!H:H,MATCH(E554,测试!A:A,0)),1)</f>
        <v>-</v>
      </c>
    </row>
    <row r="555" spans="1:6" hidden="1" x14ac:dyDescent="0.3">
      <c r="A555" t="s">
        <v>4223</v>
      </c>
      <c r="B555" t="s">
        <v>4372</v>
      </c>
      <c r="C555" t="s">
        <v>4373</v>
      </c>
      <c r="D555" t="s">
        <v>4374</v>
      </c>
      <c r="E555" t="s">
        <v>4375</v>
      </c>
      <c r="F555" s="7" t="str">
        <f>IFERROR(INDEX(测试!H:H,MATCH(E555,测试!A:A,0)),1)</f>
        <v>-</v>
      </c>
    </row>
    <row r="556" spans="1:6" hidden="1" x14ac:dyDescent="0.3">
      <c r="A556" t="s">
        <v>4223</v>
      </c>
      <c r="B556" t="s">
        <v>4376</v>
      </c>
      <c r="C556" t="s">
        <v>4377</v>
      </c>
      <c r="D556" t="s">
        <v>4378</v>
      </c>
      <c r="E556" t="s">
        <v>4379</v>
      </c>
      <c r="F556" s="7" t="str">
        <f>IFERROR(INDEX(测试!H:H,MATCH(E556,测试!A:A,0)),1)</f>
        <v>-</v>
      </c>
    </row>
    <row r="557" spans="1:6" hidden="1" x14ac:dyDescent="0.3">
      <c r="A557" t="s">
        <v>4223</v>
      </c>
      <c r="B557" t="s">
        <v>4380</v>
      </c>
      <c r="C557" t="s">
        <v>4381</v>
      </c>
      <c r="D557" t="s">
        <v>4382</v>
      </c>
      <c r="E557" t="s">
        <v>4383</v>
      </c>
      <c r="F557" s="7" t="str">
        <f>IFERROR(INDEX(测试!H:H,MATCH(E557,测试!A:A,0)),1)</f>
        <v>-</v>
      </c>
    </row>
    <row r="558" spans="1:6" hidden="1" x14ac:dyDescent="0.3">
      <c r="A558" t="s">
        <v>4223</v>
      </c>
      <c r="B558" t="s">
        <v>4384</v>
      </c>
      <c r="C558" t="s">
        <v>4385</v>
      </c>
      <c r="D558" t="s">
        <v>4386</v>
      </c>
      <c r="E558" t="s">
        <v>4387</v>
      </c>
      <c r="F558" s="7" t="str">
        <f>IFERROR(INDEX(测试!H:H,MATCH(E558,测试!A:A,0)),1)</f>
        <v>-</v>
      </c>
    </row>
    <row r="559" spans="1:6" hidden="1" x14ac:dyDescent="0.3">
      <c r="A559" t="s">
        <v>4223</v>
      </c>
      <c r="B559" t="s">
        <v>4388</v>
      </c>
      <c r="C559" t="s">
        <v>4389</v>
      </c>
      <c r="D559" t="s">
        <v>4390</v>
      </c>
      <c r="E559" t="s">
        <v>4391</v>
      </c>
      <c r="F559" s="7" t="str">
        <f>IFERROR(INDEX(测试!H:H,MATCH(E559,测试!A:A,0)),1)</f>
        <v>-</v>
      </c>
    </row>
    <row r="560" spans="1:6" hidden="1" x14ac:dyDescent="0.3">
      <c r="A560" t="s">
        <v>4223</v>
      </c>
      <c r="B560" t="s">
        <v>4392</v>
      </c>
      <c r="C560" t="s">
        <v>4393</v>
      </c>
      <c r="D560" t="s">
        <v>4394</v>
      </c>
      <c r="E560" t="s">
        <v>4395</v>
      </c>
      <c r="F560" s="7" t="str">
        <f>IFERROR(INDEX(测试!H:H,MATCH(E560,测试!A:A,0)),1)</f>
        <v>-</v>
      </c>
    </row>
    <row r="561" spans="1:6" hidden="1" x14ac:dyDescent="0.3">
      <c r="A561" t="s">
        <v>4223</v>
      </c>
      <c r="B561" t="s">
        <v>4396</v>
      </c>
      <c r="C561" t="s">
        <v>4397</v>
      </c>
      <c r="D561" t="s">
        <v>4398</v>
      </c>
      <c r="E561" t="s">
        <v>4399</v>
      </c>
      <c r="F561" s="7" t="str">
        <f>IFERROR(INDEX(测试!H:H,MATCH(E561,测试!A:A,0)),1)</f>
        <v>-</v>
      </c>
    </row>
    <row r="562" spans="1:6" hidden="1" x14ac:dyDescent="0.3">
      <c r="A562" t="s">
        <v>4223</v>
      </c>
      <c r="B562" t="s">
        <v>4400</v>
      </c>
      <c r="C562" t="s">
        <v>4401</v>
      </c>
      <c r="D562" t="s">
        <v>4402</v>
      </c>
      <c r="E562" t="s">
        <v>4403</v>
      </c>
      <c r="F562" s="7" t="str">
        <f>IFERROR(INDEX(测试!H:H,MATCH(E562,测试!A:A,0)),1)</f>
        <v>-</v>
      </c>
    </row>
    <row r="563" spans="1:6" hidden="1" x14ac:dyDescent="0.3">
      <c r="A563" t="s">
        <v>4223</v>
      </c>
      <c r="B563" t="s">
        <v>4404</v>
      </c>
      <c r="C563" t="s">
        <v>4405</v>
      </c>
      <c r="D563" t="s">
        <v>4406</v>
      </c>
      <c r="E563" t="s">
        <v>4407</v>
      </c>
      <c r="F563" s="7" t="str">
        <f>IFERROR(INDEX(测试!H:H,MATCH(E563,测试!A:A,0)),1)</f>
        <v>-</v>
      </c>
    </row>
    <row r="564" spans="1:6" hidden="1" x14ac:dyDescent="0.3">
      <c r="A564" t="s">
        <v>4223</v>
      </c>
      <c r="B564" t="s">
        <v>4408</v>
      </c>
      <c r="C564" t="s">
        <v>4409</v>
      </c>
      <c r="D564" t="s">
        <v>4410</v>
      </c>
      <c r="E564" t="s">
        <v>4411</v>
      </c>
      <c r="F564" s="7" t="str">
        <f>IFERROR(INDEX(测试!H:H,MATCH(E564,测试!A:A,0)),1)</f>
        <v>-</v>
      </c>
    </row>
    <row r="565" spans="1:6" hidden="1" x14ac:dyDescent="0.3">
      <c r="A565" t="s">
        <v>4223</v>
      </c>
      <c r="B565" t="s">
        <v>4412</v>
      </c>
      <c r="C565" t="s">
        <v>4413</v>
      </c>
      <c r="D565" t="s">
        <v>4414</v>
      </c>
      <c r="E565" t="s">
        <v>4415</v>
      </c>
      <c r="F565" s="7" t="str">
        <f>IFERROR(INDEX(测试!H:H,MATCH(E565,测试!A:A,0)),1)</f>
        <v>-</v>
      </c>
    </row>
    <row r="566" spans="1:6" hidden="1" x14ac:dyDescent="0.3">
      <c r="A566" t="s">
        <v>2979</v>
      </c>
      <c r="B566" t="s">
        <v>1135</v>
      </c>
      <c r="C566" t="s">
        <v>1136</v>
      </c>
      <c r="D566" t="s">
        <v>3356</v>
      </c>
      <c r="E566" t="s">
        <v>1138</v>
      </c>
      <c r="F566" s="7" t="str">
        <f>IFERROR(INDEX(测试!H:H,MATCH(E566,测试!A:A,0)),1)</f>
        <v>-</v>
      </c>
    </row>
    <row r="567" spans="1:6" hidden="1" x14ac:dyDescent="0.3">
      <c r="A567" t="s">
        <v>2979</v>
      </c>
      <c r="B567" t="s">
        <v>1139</v>
      </c>
      <c r="C567" t="s">
        <v>1140</v>
      </c>
      <c r="D567" t="s">
        <v>3357</v>
      </c>
      <c r="E567" t="s">
        <v>1142</v>
      </c>
      <c r="F567" s="7" t="str">
        <f>IFERROR(INDEX(测试!H:H,MATCH(E567,测试!A:A,0)),1)</f>
        <v>-</v>
      </c>
    </row>
    <row r="568" spans="1:6" hidden="1" x14ac:dyDescent="0.3">
      <c r="A568" t="s">
        <v>2979</v>
      </c>
      <c r="B568" t="s">
        <v>1143</v>
      </c>
      <c r="C568" t="s">
        <v>1144</v>
      </c>
      <c r="D568" t="s">
        <v>3358</v>
      </c>
      <c r="E568" t="s">
        <v>1146</v>
      </c>
      <c r="F568" s="7" t="str">
        <f>IFERROR(INDEX(测试!H:H,MATCH(E568,测试!A:A,0)),1)</f>
        <v>-</v>
      </c>
    </row>
    <row r="569" spans="1:6" hidden="1" x14ac:dyDescent="0.3">
      <c r="A569" t="s">
        <v>2979</v>
      </c>
      <c r="B569" t="s">
        <v>1147</v>
      </c>
      <c r="C569" t="s">
        <v>1148</v>
      </c>
      <c r="D569" t="s">
        <v>3359</v>
      </c>
      <c r="E569" t="s">
        <v>1150</v>
      </c>
      <c r="F569" s="7" t="str">
        <f>IFERROR(INDEX(测试!H:H,MATCH(E569,测试!A:A,0)),1)</f>
        <v>-</v>
      </c>
    </row>
    <row r="570" spans="1:6" hidden="1" x14ac:dyDescent="0.3">
      <c r="A570" t="s">
        <v>2979</v>
      </c>
      <c r="B570" t="s">
        <v>1151</v>
      </c>
      <c r="C570" t="s">
        <v>1152</v>
      </c>
      <c r="D570" t="s">
        <v>3360</v>
      </c>
      <c r="E570" t="s">
        <v>1154</v>
      </c>
      <c r="F570" s="7" t="str">
        <f>IFERROR(INDEX(测试!H:H,MATCH(E570,测试!A:A,0)),1)</f>
        <v>-</v>
      </c>
    </row>
    <row r="571" spans="1:6" hidden="1" x14ac:dyDescent="0.3">
      <c r="A571" t="s">
        <v>2979</v>
      </c>
      <c r="B571" t="s">
        <v>1155</v>
      </c>
      <c r="C571" t="s">
        <v>1156</v>
      </c>
      <c r="D571" t="s">
        <v>3361</v>
      </c>
      <c r="E571" t="s">
        <v>1158</v>
      </c>
      <c r="F571" s="7" t="str">
        <f>IFERROR(INDEX(测试!H:H,MATCH(E571,测试!A:A,0)),1)</f>
        <v>-</v>
      </c>
    </row>
    <row r="572" spans="1:6" hidden="1" x14ac:dyDescent="0.3">
      <c r="A572" t="s">
        <v>2979</v>
      </c>
      <c r="B572" t="s">
        <v>1159</v>
      </c>
      <c r="C572" t="s">
        <v>1160</v>
      </c>
      <c r="D572" t="s">
        <v>3362</v>
      </c>
      <c r="E572" t="s">
        <v>1162</v>
      </c>
      <c r="F572" s="7" t="str">
        <f>IFERROR(INDEX(测试!H:H,MATCH(E572,测试!A:A,0)),1)</f>
        <v>-</v>
      </c>
    </row>
    <row r="573" spans="1:6" hidden="1" x14ac:dyDescent="0.3">
      <c r="A573" t="s">
        <v>2979</v>
      </c>
      <c r="B573" t="s">
        <v>1163</v>
      </c>
      <c r="C573" t="s">
        <v>1164</v>
      </c>
      <c r="D573" t="s">
        <v>3363</v>
      </c>
      <c r="E573" t="s">
        <v>1166</v>
      </c>
      <c r="F573" s="7" t="str">
        <f>IFERROR(INDEX(测试!H:H,MATCH(E573,测试!A:A,0)),1)</f>
        <v>-</v>
      </c>
    </row>
    <row r="574" spans="1:6" hidden="1" x14ac:dyDescent="0.3">
      <c r="A574" t="s">
        <v>2979</v>
      </c>
      <c r="B574" t="s">
        <v>1167</v>
      </c>
      <c r="C574" t="s">
        <v>1168</v>
      </c>
      <c r="D574" t="s">
        <v>3364</v>
      </c>
      <c r="E574" t="s">
        <v>1170</v>
      </c>
      <c r="F574" s="7" t="str">
        <f>IFERROR(INDEX(测试!H:H,MATCH(E574,测试!A:A,0)),1)</f>
        <v>-</v>
      </c>
    </row>
    <row r="575" spans="1:6" hidden="1" x14ac:dyDescent="0.3">
      <c r="A575" t="s">
        <v>2979</v>
      </c>
      <c r="B575" t="s">
        <v>1171</v>
      </c>
      <c r="C575" t="s">
        <v>1172</v>
      </c>
      <c r="D575" t="s">
        <v>3365</v>
      </c>
      <c r="E575" t="s">
        <v>1174</v>
      </c>
      <c r="F575" s="7" t="str">
        <f>IFERROR(INDEX(测试!H:H,MATCH(E575,测试!A:A,0)),1)</f>
        <v>-</v>
      </c>
    </row>
    <row r="576" spans="1:6" hidden="1" x14ac:dyDescent="0.3">
      <c r="A576" t="s">
        <v>2979</v>
      </c>
      <c r="B576" t="s">
        <v>1175</v>
      </c>
      <c r="C576" t="s">
        <v>1176</v>
      </c>
      <c r="D576" t="s">
        <v>3366</v>
      </c>
      <c r="E576" t="s">
        <v>1178</v>
      </c>
      <c r="F576" s="7" t="str">
        <f>IFERROR(INDEX(测试!H:H,MATCH(E576,测试!A:A,0)),1)</f>
        <v>-</v>
      </c>
    </row>
    <row r="577" spans="1:6" hidden="1" x14ac:dyDescent="0.3">
      <c r="A577" t="s">
        <v>2979</v>
      </c>
      <c r="B577" t="s">
        <v>1179</v>
      </c>
      <c r="C577" t="s">
        <v>1180</v>
      </c>
      <c r="D577" t="s">
        <v>3367</v>
      </c>
      <c r="E577" t="s">
        <v>1182</v>
      </c>
      <c r="F577" s="7" t="str">
        <f>IFERROR(INDEX(测试!H:H,MATCH(E577,测试!A:A,0)),1)</f>
        <v>-</v>
      </c>
    </row>
    <row r="578" spans="1:6" hidden="1" x14ac:dyDescent="0.3">
      <c r="A578" t="s">
        <v>2979</v>
      </c>
      <c r="B578" t="s">
        <v>1183</v>
      </c>
      <c r="C578" t="s">
        <v>1184</v>
      </c>
      <c r="D578" t="s">
        <v>3368</v>
      </c>
      <c r="E578" t="s">
        <v>1186</v>
      </c>
      <c r="F578" s="7" t="str">
        <f>IFERROR(INDEX(测试!H:H,MATCH(E578,测试!A:A,0)),1)</f>
        <v>-</v>
      </c>
    </row>
    <row r="579" spans="1:6" hidden="1" x14ac:dyDescent="0.3">
      <c r="A579" t="s">
        <v>2979</v>
      </c>
      <c r="B579" t="s">
        <v>1187</v>
      </c>
      <c r="C579" t="s">
        <v>1188</v>
      </c>
      <c r="D579" t="s">
        <v>3369</v>
      </c>
      <c r="E579" t="s">
        <v>1190</v>
      </c>
      <c r="F579" s="7" t="str">
        <f>IFERROR(INDEX(测试!H:H,MATCH(E579,测试!A:A,0)),1)</f>
        <v>-</v>
      </c>
    </row>
    <row r="580" spans="1:6" hidden="1" x14ac:dyDescent="0.3">
      <c r="A580" t="s">
        <v>2979</v>
      </c>
      <c r="B580" t="s">
        <v>1191</v>
      </c>
      <c r="C580" t="s">
        <v>1192</v>
      </c>
      <c r="D580" t="s">
        <v>3370</v>
      </c>
      <c r="E580" t="s">
        <v>1194</v>
      </c>
      <c r="F580" s="7" t="str">
        <f>IFERROR(INDEX(测试!H:H,MATCH(E580,测试!A:A,0)),1)</f>
        <v>-</v>
      </c>
    </row>
    <row r="581" spans="1:6" hidden="1" x14ac:dyDescent="0.3">
      <c r="A581" t="s">
        <v>2979</v>
      </c>
      <c r="B581" t="s">
        <v>1195</v>
      </c>
      <c r="C581" t="s">
        <v>1196</v>
      </c>
      <c r="D581" t="s">
        <v>3371</v>
      </c>
      <c r="E581" t="s">
        <v>1198</v>
      </c>
      <c r="F581" s="7" t="str">
        <f>IFERROR(INDEX(测试!H:H,MATCH(E581,测试!A:A,0)),1)</f>
        <v>-</v>
      </c>
    </row>
    <row r="582" spans="1:6" hidden="1" x14ac:dyDescent="0.3">
      <c r="A582" t="s">
        <v>2979</v>
      </c>
      <c r="B582" t="s">
        <v>1199</v>
      </c>
      <c r="C582" t="s">
        <v>1200</v>
      </c>
      <c r="D582" t="s">
        <v>3372</v>
      </c>
      <c r="E582" t="s">
        <v>1202</v>
      </c>
      <c r="F582" s="7" t="str">
        <f>IFERROR(INDEX(测试!H:H,MATCH(E582,测试!A:A,0)),1)</f>
        <v>-</v>
      </c>
    </row>
    <row r="583" spans="1:6" hidden="1" x14ac:dyDescent="0.3">
      <c r="A583" t="s">
        <v>2979</v>
      </c>
      <c r="B583" t="s">
        <v>1203</v>
      </c>
      <c r="C583" t="s">
        <v>1204</v>
      </c>
      <c r="D583" t="s">
        <v>3373</v>
      </c>
      <c r="E583" t="s">
        <v>1206</v>
      </c>
      <c r="F583" s="7" t="str">
        <f>IFERROR(INDEX(测试!H:H,MATCH(E583,测试!A:A,0)),1)</f>
        <v>-</v>
      </c>
    </row>
    <row r="584" spans="1:6" hidden="1" x14ac:dyDescent="0.3">
      <c r="A584" t="s">
        <v>2979</v>
      </c>
      <c r="B584" t="s">
        <v>1207</v>
      </c>
      <c r="C584" t="s">
        <v>1208</v>
      </c>
      <c r="D584" t="s">
        <v>3374</v>
      </c>
      <c r="E584" t="s">
        <v>1210</v>
      </c>
      <c r="F584" s="7" t="str">
        <f>IFERROR(INDEX(测试!H:H,MATCH(E584,测试!A:A,0)),1)</f>
        <v>-</v>
      </c>
    </row>
    <row r="585" spans="1:6" hidden="1" x14ac:dyDescent="0.3">
      <c r="A585" t="s">
        <v>2979</v>
      </c>
      <c r="B585" t="s">
        <v>1211</v>
      </c>
      <c r="C585" t="s">
        <v>1212</v>
      </c>
      <c r="D585" t="s">
        <v>3375</v>
      </c>
      <c r="E585" t="s">
        <v>1214</v>
      </c>
      <c r="F585" s="7" t="str">
        <f>IFERROR(INDEX(测试!H:H,MATCH(E585,测试!A:A,0)),1)</f>
        <v>-</v>
      </c>
    </row>
    <row r="586" spans="1:6" hidden="1" x14ac:dyDescent="0.3">
      <c r="A586" t="s">
        <v>2979</v>
      </c>
      <c r="B586" t="s">
        <v>1215</v>
      </c>
      <c r="C586" t="s">
        <v>1216</v>
      </c>
      <c r="D586" t="s">
        <v>3376</v>
      </c>
      <c r="E586" t="s">
        <v>3077</v>
      </c>
      <c r="F586" s="7" t="str">
        <f>IFERROR(INDEX(测试!H:H,MATCH(E586,测试!A:A,0)),1)</f>
        <v>-</v>
      </c>
    </row>
    <row r="587" spans="1:6" hidden="1" x14ac:dyDescent="0.3">
      <c r="A587" t="s">
        <v>2979</v>
      </c>
      <c r="B587" t="s">
        <v>1218</v>
      </c>
      <c r="C587" t="s">
        <v>1219</v>
      </c>
      <c r="D587" t="s">
        <v>3377</v>
      </c>
      <c r="E587" t="s">
        <v>3078</v>
      </c>
      <c r="F587" s="7" t="str">
        <f>IFERROR(INDEX(测试!H:H,MATCH(E587,测试!A:A,0)),1)</f>
        <v>-</v>
      </c>
    </row>
    <row r="588" spans="1:6" hidden="1" x14ac:dyDescent="0.3">
      <c r="A588" t="s">
        <v>2979</v>
      </c>
      <c r="B588" t="s">
        <v>1221</v>
      </c>
      <c r="C588" t="s">
        <v>1222</v>
      </c>
      <c r="D588" t="s">
        <v>3378</v>
      </c>
      <c r="E588" t="s">
        <v>1224</v>
      </c>
      <c r="F588" s="7" t="str">
        <f>IFERROR(INDEX(测试!H:H,MATCH(E588,测试!A:A,0)),1)</f>
        <v>-</v>
      </c>
    </row>
    <row r="589" spans="1:6" hidden="1" x14ac:dyDescent="0.3">
      <c r="A589" t="s">
        <v>2979</v>
      </c>
      <c r="B589" t="s">
        <v>1225</v>
      </c>
      <c r="C589" t="s">
        <v>1226</v>
      </c>
      <c r="D589" t="s">
        <v>3379</v>
      </c>
      <c r="E589" t="s">
        <v>1228</v>
      </c>
      <c r="F589" s="7" t="str">
        <f>IFERROR(INDEX(测试!H:H,MATCH(E589,测试!A:A,0)),1)</f>
        <v>-</v>
      </c>
    </row>
    <row r="590" spans="1:6" hidden="1" x14ac:dyDescent="0.3">
      <c r="A590" t="s">
        <v>2979</v>
      </c>
      <c r="B590" t="s">
        <v>1229</v>
      </c>
      <c r="C590" t="s">
        <v>1230</v>
      </c>
      <c r="D590" t="s">
        <v>3380</v>
      </c>
      <c r="E590" t="s">
        <v>1232</v>
      </c>
      <c r="F590" s="7" t="str">
        <f>IFERROR(INDEX(测试!H:H,MATCH(E590,测试!A:A,0)),1)</f>
        <v>-</v>
      </c>
    </row>
    <row r="591" spans="1:6" hidden="1" x14ac:dyDescent="0.3">
      <c r="A591" t="s">
        <v>2979</v>
      </c>
      <c r="B591" t="s">
        <v>1233</v>
      </c>
      <c r="C591" t="s">
        <v>1234</v>
      </c>
      <c r="D591" t="s">
        <v>3381</v>
      </c>
      <c r="E591" t="s">
        <v>1236</v>
      </c>
      <c r="F591" s="7" t="str">
        <f>IFERROR(INDEX(测试!H:H,MATCH(E591,测试!A:A,0)),1)</f>
        <v>-</v>
      </c>
    </row>
    <row r="592" spans="1:6" hidden="1" x14ac:dyDescent="0.3">
      <c r="A592" t="s">
        <v>2979</v>
      </c>
      <c r="B592" t="s">
        <v>1237</v>
      </c>
      <c r="C592" t="s">
        <v>1238</v>
      </c>
      <c r="D592" t="s">
        <v>3382</v>
      </c>
      <c r="E592" t="s">
        <v>1240</v>
      </c>
      <c r="F592" s="7" t="str">
        <f>IFERROR(INDEX(测试!H:H,MATCH(E592,测试!A:A,0)),1)</f>
        <v>-</v>
      </c>
    </row>
    <row r="593" spans="1:6" hidden="1" x14ac:dyDescent="0.3">
      <c r="A593" t="s">
        <v>2979</v>
      </c>
      <c r="B593" t="s">
        <v>1241</v>
      </c>
      <c r="C593" t="s">
        <v>1242</v>
      </c>
      <c r="D593" t="s">
        <v>3383</v>
      </c>
      <c r="E593" t="s">
        <v>1244</v>
      </c>
      <c r="F593" s="7" t="str">
        <f>IFERROR(INDEX(测试!H:H,MATCH(E593,测试!A:A,0)),1)</f>
        <v>-</v>
      </c>
    </row>
    <row r="594" spans="1:6" hidden="1" x14ac:dyDescent="0.3">
      <c r="A594" t="s">
        <v>2979</v>
      </c>
      <c r="B594" t="s">
        <v>1245</v>
      </c>
      <c r="C594" t="s">
        <v>1246</v>
      </c>
      <c r="D594" t="s">
        <v>3384</v>
      </c>
      <c r="E594" t="s">
        <v>1248</v>
      </c>
      <c r="F594" s="7" t="str">
        <f>IFERROR(INDEX(测试!H:H,MATCH(E594,测试!A:A,0)),1)</f>
        <v>-</v>
      </c>
    </row>
    <row r="595" spans="1:6" hidden="1" x14ac:dyDescent="0.3">
      <c r="A595" t="s">
        <v>2979</v>
      </c>
      <c r="B595" t="s">
        <v>1249</v>
      </c>
      <c r="C595" t="s">
        <v>1250</v>
      </c>
      <c r="D595" t="s">
        <v>3385</v>
      </c>
      <c r="E595" t="s">
        <v>1252</v>
      </c>
      <c r="F595" s="7" t="str">
        <f>IFERROR(INDEX(测试!H:H,MATCH(E595,测试!A:A,0)),1)</f>
        <v>-</v>
      </c>
    </row>
    <row r="596" spans="1:6" hidden="1" x14ac:dyDescent="0.3">
      <c r="A596" t="s">
        <v>2979</v>
      </c>
      <c r="B596" t="s">
        <v>1253</v>
      </c>
      <c r="C596" t="s">
        <v>1254</v>
      </c>
      <c r="D596" t="s">
        <v>3386</v>
      </c>
      <c r="E596" t="s">
        <v>1256</v>
      </c>
      <c r="F596" s="7" t="str">
        <f>IFERROR(INDEX(测试!H:H,MATCH(E596,测试!A:A,0)),1)</f>
        <v>-</v>
      </c>
    </row>
    <row r="597" spans="1:6" hidden="1" x14ac:dyDescent="0.3">
      <c r="A597" t="s">
        <v>2979</v>
      </c>
      <c r="B597" t="s">
        <v>1257</v>
      </c>
      <c r="C597" t="s">
        <v>1258</v>
      </c>
      <c r="D597" t="s">
        <v>3387</v>
      </c>
      <c r="E597" t="s">
        <v>1260</v>
      </c>
      <c r="F597" s="7" t="str">
        <f>IFERROR(INDEX(测试!H:H,MATCH(E597,测试!A:A,0)),1)</f>
        <v>-</v>
      </c>
    </row>
    <row r="598" spans="1:6" hidden="1" x14ac:dyDescent="0.3">
      <c r="A598" t="s">
        <v>2979</v>
      </c>
      <c r="B598" t="s">
        <v>1261</v>
      </c>
      <c r="C598" t="s">
        <v>1262</v>
      </c>
      <c r="D598" t="s">
        <v>3388</v>
      </c>
      <c r="E598" t="s">
        <v>1264</v>
      </c>
      <c r="F598" s="7" t="str">
        <f>IFERROR(INDEX(测试!H:H,MATCH(E598,测试!A:A,0)),1)</f>
        <v>-</v>
      </c>
    </row>
    <row r="599" spans="1:6" hidden="1" x14ac:dyDescent="0.3">
      <c r="A599" t="s">
        <v>2979</v>
      </c>
      <c r="B599" t="s">
        <v>1265</v>
      </c>
      <c r="C599" t="s">
        <v>1266</v>
      </c>
      <c r="D599" t="s">
        <v>3389</v>
      </c>
      <c r="E599" t="s">
        <v>1268</v>
      </c>
      <c r="F599" s="7" t="str">
        <f>IFERROR(INDEX(测试!H:H,MATCH(E599,测试!A:A,0)),1)</f>
        <v>-</v>
      </c>
    </row>
    <row r="600" spans="1:6" hidden="1" x14ac:dyDescent="0.3">
      <c r="A600" t="s">
        <v>2979</v>
      </c>
      <c r="B600" t="s">
        <v>1269</v>
      </c>
      <c r="C600" t="s">
        <v>1270</v>
      </c>
      <c r="D600" t="s">
        <v>3390</v>
      </c>
      <c r="E600" t="s">
        <v>1272</v>
      </c>
      <c r="F600" s="7" t="str">
        <f>IFERROR(INDEX(测试!H:H,MATCH(E600,测试!A:A,0)),1)</f>
        <v>-</v>
      </c>
    </row>
    <row r="601" spans="1:6" hidden="1" x14ac:dyDescent="0.3">
      <c r="A601" t="s">
        <v>2979</v>
      </c>
      <c r="B601" t="s">
        <v>1273</v>
      </c>
      <c r="C601" t="s">
        <v>1274</v>
      </c>
      <c r="D601" t="s">
        <v>3391</v>
      </c>
      <c r="E601" t="s">
        <v>1276</v>
      </c>
      <c r="F601" s="7" t="str">
        <f>IFERROR(INDEX(测试!H:H,MATCH(E601,测试!A:A,0)),1)</f>
        <v>-</v>
      </c>
    </row>
    <row r="602" spans="1:6" hidden="1" x14ac:dyDescent="0.3">
      <c r="A602" t="s">
        <v>2979</v>
      </c>
      <c r="B602" t="s">
        <v>1277</v>
      </c>
      <c r="C602" t="s">
        <v>1278</v>
      </c>
      <c r="D602" t="s">
        <v>3392</v>
      </c>
      <c r="E602" t="s">
        <v>1280</v>
      </c>
      <c r="F602" s="7" t="str">
        <f>IFERROR(INDEX(测试!H:H,MATCH(E602,测试!A:A,0)),1)</f>
        <v>-</v>
      </c>
    </row>
    <row r="603" spans="1:6" hidden="1" x14ac:dyDescent="0.3">
      <c r="A603" t="s">
        <v>2979</v>
      </c>
      <c r="B603" t="s">
        <v>1281</v>
      </c>
      <c r="C603" t="s">
        <v>1282</v>
      </c>
      <c r="D603" t="s">
        <v>3393</v>
      </c>
      <c r="E603" t="s">
        <v>1284</v>
      </c>
      <c r="F603" s="7" t="str">
        <f>IFERROR(INDEX(测试!H:H,MATCH(E603,测试!A:A,0)),1)</f>
        <v>-</v>
      </c>
    </row>
    <row r="604" spans="1:6" hidden="1" x14ac:dyDescent="0.3">
      <c r="A604" t="s">
        <v>2979</v>
      </c>
      <c r="B604" t="s">
        <v>1285</v>
      </c>
      <c r="C604" t="s">
        <v>1286</v>
      </c>
      <c r="D604" t="s">
        <v>3394</v>
      </c>
      <c r="E604" t="s">
        <v>1288</v>
      </c>
      <c r="F604" s="7" t="str">
        <f>IFERROR(INDEX(测试!H:H,MATCH(E604,测试!A:A,0)),1)</f>
        <v>-</v>
      </c>
    </row>
    <row r="605" spans="1:6" hidden="1" x14ac:dyDescent="0.3">
      <c r="A605" t="s">
        <v>2979</v>
      </c>
      <c r="B605" t="s">
        <v>1289</v>
      </c>
      <c r="C605" t="s">
        <v>1290</v>
      </c>
      <c r="D605" t="s">
        <v>3395</v>
      </c>
      <c r="E605" t="s">
        <v>1292</v>
      </c>
      <c r="F605" s="7" t="str">
        <f>IFERROR(INDEX(测试!H:H,MATCH(E605,测试!A:A,0)),1)</f>
        <v>-</v>
      </c>
    </row>
    <row r="606" spans="1:6" hidden="1" x14ac:dyDescent="0.3">
      <c r="A606" t="s">
        <v>2979</v>
      </c>
      <c r="B606" t="s">
        <v>1293</v>
      </c>
      <c r="C606" t="s">
        <v>1294</v>
      </c>
      <c r="D606" t="s">
        <v>3396</v>
      </c>
      <c r="E606" t="s">
        <v>1296</v>
      </c>
      <c r="F606" s="7" t="str">
        <f>IFERROR(INDEX(测试!H:H,MATCH(E606,测试!A:A,0)),1)</f>
        <v>-</v>
      </c>
    </row>
    <row r="607" spans="1:6" hidden="1" x14ac:dyDescent="0.3">
      <c r="A607" t="s">
        <v>2979</v>
      </c>
      <c r="B607" t="s">
        <v>1297</v>
      </c>
      <c r="C607" t="s">
        <v>1298</v>
      </c>
      <c r="D607" t="s">
        <v>3397</v>
      </c>
      <c r="E607" t="s">
        <v>1300</v>
      </c>
      <c r="F607" s="7" t="str">
        <f>IFERROR(INDEX(测试!H:H,MATCH(E607,测试!A:A,0)),1)</f>
        <v>-</v>
      </c>
    </row>
    <row r="608" spans="1:6" hidden="1" x14ac:dyDescent="0.3">
      <c r="A608" t="s">
        <v>2979</v>
      </c>
      <c r="B608" t="s">
        <v>1301</v>
      </c>
      <c r="C608" t="s">
        <v>1302</v>
      </c>
      <c r="D608" t="s">
        <v>3398</v>
      </c>
      <c r="E608" t="s">
        <v>1304</v>
      </c>
      <c r="F608" s="7" t="str">
        <f>IFERROR(INDEX(测试!H:H,MATCH(E608,测试!A:A,0)),1)</f>
        <v>-</v>
      </c>
    </row>
    <row r="609" spans="1:6" hidden="1" x14ac:dyDescent="0.3">
      <c r="A609" t="s">
        <v>2979</v>
      </c>
      <c r="B609" t="s">
        <v>1305</v>
      </c>
      <c r="C609" t="s">
        <v>1306</v>
      </c>
      <c r="D609" t="s">
        <v>3399</v>
      </c>
      <c r="E609" t="s">
        <v>1308</v>
      </c>
      <c r="F609" s="7" t="str">
        <f>IFERROR(INDEX(测试!H:H,MATCH(E609,测试!A:A,0)),1)</f>
        <v>-</v>
      </c>
    </row>
    <row r="610" spans="1:6" hidden="1" x14ac:dyDescent="0.3">
      <c r="A610" t="s">
        <v>2979</v>
      </c>
      <c r="B610" t="s">
        <v>1309</v>
      </c>
      <c r="C610" t="s">
        <v>1310</v>
      </c>
      <c r="D610" t="s">
        <v>3400</v>
      </c>
      <c r="E610" t="s">
        <v>1312</v>
      </c>
      <c r="F610" s="7" t="str">
        <f>IFERROR(INDEX(测试!H:H,MATCH(E610,测试!A:A,0)),1)</f>
        <v>-</v>
      </c>
    </row>
    <row r="611" spans="1:6" hidden="1" x14ac:dyDescent="0.3">
      <c r="A611" t="s">
        <v>2979</v>
      </c>
      <c r="B611" t="s">
        <v>1313</v>
      </c>
      <c r="C611" t="s">
        <v>1314</v>
      </c>
      <c r="D611" t="s">
        <v>3401</v>
      </c>
      <c r="E611" t="s">
        <v>1316</v>
      </c>
      <c r="F611" s="7" t="str">
        <f>IFERROR(INDEX(测试!H:H,MATCH(E611,测试!A:A,0)),1)</f>
        <v>-</v>
      </c>
    </row>
    <row r="612" spans="1:6" hidden="1" x14ac:dyDescent="0.3">
      <c r="A612" t="s">
        <v>2979</v>
      </c>
      <c r="B612" t="s">
        <v>1317</v>
      </c>
      <c r="C612" t="s">
        <v>1318</v>
      </c>
      <c r="D612" t="s">
        <v>3402</v>
      </c>
      <c r="E612" t="s">
        <v>1320</v>
      </c>
      <c r="F612" s="7" t="str">
        <f>IFERROR(INDEX(测试!H:H,MATCH(E612,测试!A:A,0)),1)</f>
        <v>-</v>
      </c>
    </row>
    <row r="613" spans="1:6" hidden="1" x14ac:dyDescent="0.3">
      <c r="A613" t="s">
        <v>2979</v>
      </c>
      <c r="B613" t="s">
        <v>1321</v>
      </c>
      <c r="C613" t="s">
        <v>1322</v>
      </c>
      <c r="D613" t="s">
        <v>3403</v>
      </c>
      <c r="E613" t="s">
        <v>1324</v>
      </c>
      <c r="F613" s="7" t="str">
        <f>IFERROR(INDEX(测试!H:H,MATCH(E613,测试!A:A,0)),1)</f>
        <v>-</v>
      </c>
    </row>
    <row r="614" spans="1:6" hidden="1" x14ac:dyDescent="0.3">
      <c r="A614" t="s">
        <v>2979</v>
      </c>
      <c r="B614" t="s">
        <v>1325</v>
      </c>
      <c r="C614" t="s">
        <v>1326</v>
      </c>
      <c r="D614" t="s">
        <v>3404</v>
      </c>
      <c r="E614" t="s">
        <v>1328</v>
      </c>
      <c r="F614" s="7" t="str">
        <f>IFERROR(INDEX(测试!H:H,MATCH(E614,测试!A:A,0)),1)</f>
        <v>-</v>
      </c>
    </row>
    <row r="615" spans="1:6" hidden="1" x14ac:dyDescent="0.3">
      <c r="A615" t="s">
        <v>2979</v>
      </c>
      <c r="B615" t="s">
        <v>1329</v>
      </c>
      <c r="C615" t="s">
        <v>1330</v>
      </c>
      <c r="D615" t="s">
        <v>3405</v>
      </c>
      <c r="E615" t="s">
        <v>1332</v>
      </c>
      <c r="F615" s="7" t="str">
        <f>IFERROR(INDEX(测试!H:H,MATCH(E615,测试!A:A,0)),1)</f>
        <v>-</v>
      </c>
    </row>
    <row r="616" spans="1:6" hidden="1" x14ac:dyDescent="0.3">
      <c r="A616" t="s">
        <v>2962</v>
      </c>
      <c r="B616" t="s">
        <v>4435</v>
      </c>
      <c r="C616" t="s">
        <v>11</v>
      </c>
      <c r="D616" t="s">
        <v>3340</v>
      </c>
      <c r="E616" t="s">
        <v>1101</v>
      </c>
      <c r="F616" s="7" t="str">
        <f>IFERROR(INDEX(测试!H:H,MATCH(E616,测试!A:A,0)),1)</f>
        <v>文件名错误</v>
      </c>
    </row>
    <row r="617" spans="1:6" hidden="1" x14ac:dyDescent="0.3">
      <c r="A617" t="s">
        <v>2962</v>
      </c>
      <c r="B617" t="s">
        <v>4436</v>
      </c>
      <c r="C617" t="s">
        <v>13</v>
      </c>
      <c r="D617" t="s">
        <v>3341</v>
      </c>
      <c r="E617" t="s">
        <v>1104</v>
      </c>
      <c r="F617" s="7" t="str">
        <f>IFERROR(INDEX(测试!H:H,MATCH(E617,测试!A:A,0)),1)</f>
        <v>文件名错误</v>
      </c>
    </row>
    <row r="618" spans="1:6" hidden="1" x14ac:dyDescent="0.3">
      <c r="A618" t="s">
        <v>2962</v>
      </c>
      <c r="B618" t="s">
        <v>1105</v>
      </c>
      <c r="C618" t="s">
        <v>14</v>
      </c>
      <c r="D618" t="s">
        <v>3342</v>
      </c>
      <c r="E618" t="s">
        <v>1107</v>
      </c>
      <c r="F618" s="7" t="str">
        <f>IFERROR(INDEX(测试!H:H,MATCH(E618,测试!A:A,0)),1)</f>
        <v>-</v>
      </c>
    </row>
    <row r="619" spans="1:6" hidden="1" x14ac:dyDescent="0.3">
      <c r="A619" t="s">
        <v>2962</v>
      </c>
      <c r="B619" t="s">
        <v>1108</v>
      </c>
      <c r="C619" t="s">
        <v>15</v>
      </c>
      <c r="D619" t="s">
        <v>3343</v>
      </c>
      <c r="E619" t="s">
        <v>1110</v>
      </c>
      <c r="F619" s="7" t="str">
        <f>IFERROR(INDEX(测试!H:H,MATCH(E619,测试!A:A,0)),1)</f>
        <v>-</v>
      </c>
    </row>
    <row r="620" spans="1:6" hidden="1" x14ac:dyDescent="0.3">
      <c r="A620" t="s">
        <v>2962</v>
      </c>
      <c r="B620" t="s">
        <v>4437</v>
      </c>
      <c r="C620" t="s">
        <v>16</v>
      </c>
      <c r="D620" t="s">
        <v>3344</v>
      </c>
      <c r="E620" t="s">
        <v>1112</v>
      </c>
      <c r="F620" s="7" t="str">
        <f>IFERROR(INDEX(测试!H:H,MATCH(E620,测试!A:A,0)),1)</f>
        <v>-</v>
      </c>
    </row>
    <row r="621" spans="1:6" hidden="1" x14ac:dyDescent="0.3">
      <c r="A621" t="s">
        <v>2962</v>
      </c>
      <c r="B621" t="s">
        <v>1113</v>
      </c>
      <c r="C621" t="s">
        <v>17</v>
      </c>
      <c r="D621" t="s">
        <v>3345</v>
      </c>
      <c r="E621" t="s">
        <v>1115</v>
      </c>
      <c r="F621" s="7" t="str">
        <f>IFERROR(INDEX(测试!H:H,MATCH(E621,测试!A:A,0)),1)</f>
        <v>-</v>
      </c>
    </row>
    <row r="622" spans="1:6" hidden="1" x14ac:dyDescent="0.3">
      <c r="A622" t="s">
        <v>2962</v>
      </c>
      <c r="B622" t="s">
        <v>1116</v>
      </c>
      <c r="C622" t="s">
        <v>18</v>
      </c>
      <c r="D622" t="s">
        <v>3346</v>
      </c>
      <c r="E622" t="s">
        <v>1118</v>
      </c>
      <c r="F622" s="7" t="str">
        <f>IFERROR(INDEX(测试!H:H,MATCH(E622,测试!A:A,0)),1)</f>
        <v>-</v>
      </c>
    </row>
    <row r="623" spans="1:6" hidden="1" x14ac:dyDescent="0.3">
      <c r="A623" t="s">
        <v>2962</v>
      </c>
      <c r="B623" t="s">
        <v>1119</v>
      </c>
      <c r="C623" t="s">
        <v>19</v>
      </c>
      <c r="D623" t="s">
        <v>3347</v>
      </c>
      <c r="E623" t="s">
        <v>1120</v>
      </c>
      <c r="F623" s="7" t="str">
        <f>IFERROR(INDEX(测试!H:H,MATCH(E623,测试!A:A,0)),1)</f>
        <v>-</v>
      </c>
    </row>
    <row r="624" spans="1:6" hidden="1" x14ac:dyDescent="0.3">
      <c r="A624" t="s">
        <v>2962</v>
      </c>
      <c r="B624" t="s">
        <v>1121</v>
      </c>
      <c r="C624" t="s">
        <v>21</v>
      </c>
      <c r="D624" t="s">
        <v>3348</v>
      </c>
      <c r="E624" t="s">
        <v>1122</v>
      </c>
      <c r="F624" s="7" t="str">
        <f>IFERROR(INDEX(测试!H:H,MATCH(E624,测试!A:A,0)),1)</f>
        <v>-</v>
      </c>
    </row>
    <row r="625" spans="1:6" hidden="1" x14ac:dyDescent="0.3">
      <c r="A625" t="s">
        <v>2962</v>
      </c>
      <c r="B625" t="s">
        <v>1123</v>
      </c>
      <c r="C625" t="s">
        <v>23</v>
      </c>
      <c r="D625" t="s">
        <v>3349</v>
      </c>
      <c r="E625" t="s">
        <v>1124</v>
      </c>
      <c r="F625" s="7" t="str">
        <f>IFERROR(INDEX(测试!H:H,MATCH(E625,测试!A:A,0)),1)</f>
        <v>-</v>
      </c>
    </row>
    <row r="626" spans="1:6" hidden="1" x14ac:dyDescent="0.3">
      <c r="A626" t="s">
        <v>2962</v>
      </c>
      <c r="B626" t="s">
        <v>1125</v>
      </c>
      <c r="C626" t="s">
        <v>25</v>
      </c>
      <c r="D626" t="s">
        <v>3350</v>
      </c>
      <c r="E626" t="s">
        <v>1126</v>
      </c>
      <c r="F626" s="7" t="str">
        <f>IFERROR(INDEX(测试!H:H,MATCH(E626,测试!A:A,0)),1)</f>
        <v>-</v>
      </c>
    </row>
    <row r="627" spans="1:6" hidden="1" x14ac:dyDescent="0.3">
      <c r="A627" t="s">
        <v>2962</v>
      </c>
      <c r="B627" t="s">
        <v>1127</v>
      </c>
      <c r="C627" t="s">
        <v>27</v>
      </c>
      <c r="D627" t="s">
        <v>3351</v>
      </c>
      <c r="E627" t="s">
        <v>1128</v>
      </c>
      <c r="F627" s="7" t="str">
        <f>IFERROR(INDEX(测试!H:H,MATCH(E627,测试!A:A,0)),1)</f>
        <v>-</v>
      </c>
    </row>
    <row r="628" spans="1:6" hidden="1" x14ac:dyDescent="0.3">
      <c r="A628" t="s">
        <v>2962</v>
      </c>
      <c r="B628" t="s">
        <v>1129</v>
      </c>
      <c r="C628" t="s">
        <v>29</v>
      </c>
      <c r="D628" t="s">
        <v>3352</v>
      </c>
      <c r="E628" t="s">
        <v>3079</v>
      </c>
      <c r="F628" s="7" t="str">
        <f>IFERROR(INDEX(测试!H:H,MATCH(E628,测试!A:A,0)),1)</f>
        <v>-</v>
      </c>
    </row>
    <row r="629" spans="1:6" hidden="1" x14ac:dyDescent="0.3">
      <c r="A629" t="s">
        <v>2962</v>
      </c>
      <c r="B629" t="s">
        <v>1130</v>
      </c>
      <c r="C629" t="s">
        <v>31</v>
      </c>
      <c r="D629" t="s">
        <v>3353</v>
      </c>
      <c r="E629" t="s">
        <v>1131</v>
      </c>
      <c r="F629" s="7" t="str">
        <f>IFERROR(INDEX(测试!H:H,MATCH(E629,测试!A:A,0)),1)</f>
        <v>-</v>
      </c>
    </row>
    <row r="630" spans="1:6" hidden="1" x14ac:dyDescent="0.3">
      <c r="A630" t="s">
        <v>2962</v>
      </c>
      <c r="B630" t="s">
        <v>1132</v>
      </c>
      <c r="C630" t="s">
        <v>33</v>
      </c>
      <c r="D630" t="s">
        <v>3354</v>
      </c>
      <c r="E630" t="s">
        <v>3080</v>
      </c>
      <c r="F630" s="7" t="str">
        <f>IFERROR(INDEX(测试!H:H,MATCH(E630,测试!A:A,0)),1)</f>
        <v>-</v>
      </c>
    </row>
    <row r="631" spans="1:6" hidden="1" x14ac:dyDescent="0.3">
      <c r="A631" t="s">
        <v>2962</v>
      </c>
      <c r="B631" t="s">
        <v>1133</v>
      </c>
      <c r="C631" t="s">
        <v>35</v>
      </c>
      <c r="D631" t="s">
        <v>3355</v>
      </c>
      <c r="E631" t="s">
        <v>1134</v>
      </c>
      <c r="F631" s="7" t="str">
        <f>IFERROR(INDEX(测试!H:H,MATCH(E631,测试!A:A,0)),1)</f>
        <v>-</v>
      </c>
    </row>
    <row r="632" spans="1:6" hidden="1" x14ac:dyDescent="0.3">
      <c r="A632" t="s">
        <v>4438</v>
      </c>
      <c r="B632" t="s">
        <v>1096</v>
      </c>
      <c r="C632" t="s">
        <v>1097</v>
      </c>
      <c r="D632" t="s">
        <v>3339</v>
      </c>
      <c r="E632" t="s">
        <v>1099</v>
      </c>
      <c r="F632" s="7" t="str">
        <f>IFERROR(INDEX(测试!H:H,MATCH(E632,测试!A:A,0)),1)</f>
        <v>-</v>
      </c>
    </row>
    <row r="633" spans="1:6" hidden="1" x14ac:dyDescent="0.3">
      <c r="A633" t="s">
        <v>4439</v>
      </c>
      <c r="B633" t="s">
        <v>1092</v>
      </c>
      <c r="C633" t="s">
        <v>1093</v>
      </c>
      <c r="D633" t="s">
        <v>3338</v>
      </c>
      <c r="E633" t="s">
        <v>1095</v>
      </c>
      <c r="F633" s="7" t="str">
        <f>IFERROR(INDEX(测试!H:H,MATCH(E633,测试!A:A,0)),1)</f>
        <v>文件名错误</v>
      </c>
    </row>
    <row r="634" spans="1:6" hidden="1" x14ac:dyDescent="0.3">
      <c r="A634" t="s">
        <v>3958</v>
      </c>
      <c r="B634" t="s">
        <v>3928</v>
      </c>
      <c r="C634" t="s">
        <v>3929</v>
      </c>
      <c r="D634" t="s">
        <v>3930</v>
      </c>
      <c r="E634" t="s">
        <v>3931</v>
      </c>
      <c r="F634" s="7" t="str">
        <f>IFERROR(INDEX(测试!H:H,MATCH(E634,测试!A:A,0)),1)</f>
        <v>-</v>
      </c>
    </row>
    <row r="635" spans="1:6" hidden="1" x14ac:dyDescent="0.3">
      <c r="A635" t="s">
        <v>3911</v>
      </c>
      <c r="B635" t="s">
        <v>3912</v>
      </c>
      <c r="C635" t="s">
        <v>3913</v>
      </c>
      <c r="D635" t="s">
        <v>3914</v>
      </c>
      <c r="E635" t="s">
        <v>3915</v>
      </c>
      <c r="F635" s="7" t="str">
        <f>IFERROR(INDEX(测试!H:H,MATCH(E635,测试!A:A,0)),1)</f>
        <v>-</v>
      </c>
    </row>
    <row r="636" spans="1:6" hidden="1" x14ac:dyDescent="0.3">
      <c r="A636" t="s">
        <v>3980</v>
      </c>
      <c r="B636" t="s">
        <v>3954</v>
      </c>
      <c r="C636" t="s">
        <v>3955</v>
      </c>
      <c r="D636" t="s">
        <v>3956</v>
      </c>
      <c r="E636" t="s">
        <v>3957</v>
      </c>
      <c r="F636" s="7" t="str">
        <f>IFERROR(INDEX(测试!H:H,MATCH(E636,测试!A:A,0)),1)</f>
        <v>-</v>
      </c>
    </row>
    <row r="637" spans="1:6" hidden="1" x14ac:dyDescent="0.3">
      <c r="A637" t="s">
        <v>2959</v>
      </c>
      <c r="B637" t="s">
        <v>1084</v>
      </c>
      <c r="C637" t="s">
        <v>1085</v>
      </c>
      <c r="D637" t="s">
        <v>3336</v>
      </c>
      <c r="E637" t="s">
        <v>1087</v>
      </c>
      <c r="F637" s="7" t="str">
        <f>IFERROR(INDEX(测试!H:H,MATCH(E637,测试!A:A,0)),1)</f>
        <v>-</v>
      </c>
    </row>
    <row r="638" spans="1:6" hidden="1" x14ac:dyDescent="0.3">
      <c r="A638" t="s">
        <v>2959</v>
      </c>
      <c r="B638" t="s">
        <v>1088</v>
      </c>
      <c r="C638" t="s">
        <v>1089</v>
      </c>
      <c r="D638" t="s">
        <v>3337</v>
      </c>
      <c r="E638" t="s">
        <v>1091</v>
      </c>
      <c r="F638" s="7" t="str">
        <f>IFERROR(INDEX(测试!H:H,MATCH(E638,测试!A:A,0)),1)</f>
        <v>-</v>
      </c>
    </row>
    <row r="639" spans="1:6" hidden="1" x14ac:dyDescent="0.3">
      <c r="A639" t="s">
        <v>2959</v>
      </c>
      <c r="B639" t="s">
        <v>3871</v>
      </c>
      <c r="C639" t="s">
        <v>3847</v>
      </c>
      <c r="D639" t="s">
        <v>3848</v>
      </c>
      <c r="E639" t="s">
        <v>3849</v>
      </c>
      <c r="F639" s="7" t="str">
        <f>IFERROR(INDEX(测试!H:H,MATCH(E639,测试!A:A,0)),1)</f>
        <v>-</v>
      </c>
    </row>
    <row r="640" spans="1:6" hidden="1" x14ac:dyDescent="0.3">
      <c r="A640" t="s">
        <v>2959</v>
      </c>
      <c r="B640" t="s">
        <v>3872</v>
      </c>
      <c r="C640" t="s">
        <v>3850</v>
      </c>
      <c r="D640" t="s">
        <v>3851</v>
      </c>
      <c r="E640" t="s">
        <v>3873</v>
      </c>
      <c r="F640" s="7" t="str">
        <f>IFERROR(INDEX(测试!H:H,MATCH(E640,测试!A:A,0)),1)</f>
        <v>-</v>
      </c>
    </row>
    <row r="641" spans="1:6" hidden="1" x14ac:dyDescent="0.3">
      <c r="A641" t="s">
        <v>4067</v>
      </c>
      <c r="B641" t="s">
        <v>4068</v>
      </c>
      <c r="C641" t="s">
        <v>4069</v>
      </c>
      <c r="D641" t="s">
        <v>4070</v>
      </c>
      <c r="E641" t="s">
        <v>4071</v>
      </c>
      <c r="F641" s="7" t="str">
        <f>IFERROR(INDEX(测试!H:H,MATCH(E641,测试!A:A,0)),1)</f>
        <v>-</v>
      </c>
    </row>
    <row r="642" spans="1:6" hidden="1" x14ac:dyDescent="0.3">
      <c r="A642" t="s">
        <v>4067</v>
      </c>
      <c r="B642" t="s">
        <v>4072</v>
      </c>
      <c r="C642" t="s">
        <v>4073</v>
      </c>
      <c r="D642" t="s">
        <v>4074</v>
      </c>
      <c r="E642" t="s">
        <v>4075</v>
      </c>
      <c r="F642" s="7" t="str">
        <f>IFERROR(INDEX(测试!H:H,MATCH(E642,测试!A:A,0)),1)</f>
        <v>-</v>
      </c>
    </row>
    <row r="643" spans="1:6" hidden="1" x14ac:dyDescent="0.3">
      <c r="A643" t="s">
        <v>4067</v>
      </c>
      <c r="B643" t="s">
        <v>4076</v>
      </c>
      <c r="C643" t="s">
        <v>4089</v>
      </c>
      <c r="D643" t="s">
        <v>4090</v>
      </c>
      <c r="E643" t="s">
        <v>4091</v>
      </c>
      <c r="F643" s="7" t="str">
        <f>IFERROR(INDEX(测试!H:H,MATCH(E643,测试!A:A,0)),1)</f>
        <v>文件名错误</v>
      </c>
    </row>
    <row r="644" spans="1:6" hidden="1" x14ac:dyDescent="0.3">
      <c r="A644" t="s">
        <v>4067</v>
      </c>
      <c r="B644" t="s">
        <v>4080</v>
      </c>
      <c r="C644" t="s">
        <v>4081</v>
      </c>
      <c r="D644" t="s">
        <v>4082</v>
      </c>
      <c r="E644" t="s">
        <v>4083</v>
      </c>
      <c r="F644" s="7" t="str">
        <f>IFERROR(INDEX(测试!H:H,MATCH(E644,测试!A:A,0)),1)</f>
        <v>-</v>
      </c>
    </row>
    <row r="645" spans="1:6" hidden="1" x14ac:dyDescent="0.3">
      <c r="A645" t="s">
        <v>4067</v>
      </c>
      <c r="B645" t="s">
        <v>4084</v>
      </c>
      <c r="C645" t="s">
        <v>4077</v>
      </c>
      <c r="D645" t="s">
        <v>4078</v>
      </c>
      <c r="E645" t="s">
        <v>4079</v>
      </c>
      <c r="F645" s="7" t="str">
        <f>IFERROR(INDEX(测试!H:H,MATCH(E645,测试!A:A,0)),1)</f>
        <v>文件名错误</v>
      </c>
    </row>
    <row r="646" spans="1:6" hidden="1" x14ac:dyDescent="0.3">
      <c r="A646" t="s">
        <v>4067</v>
      </c>
      <c r="B646" t="s">
        <v>4088</v>
      </c>
      <c r="C646" t="s">
        <v>4085</v>
      </c>
      <c r="D646" t="s">
        <v>4086</v>
      </c>
      <c r="E646" t="s">
        <v>4087</v>
      </c>
      <c r="F646" s="7" t="str">
        <f>IFERROR(INDEX(测试!H:H,MATCH(E646,测试!A:A,0)),1)</f>
        <v>文件名错误</v>
      </c>
    </row>
    <row r="647" spans="1:6" x14ac:dyDescent="0.3">
      <c r="A647" t="s">
        <v>2958</v>
      </c>
      <c r="B647" t="s">
        <v>4587</v>
      </c>
      <c r="C647" t="s">
        <v>4588</v>
      </c>
      <c r="D647" t="s">
        <v>4589</v>
      </c>
      <c r="E647" t="s">
        <v>4590</v>
      </c>
      <c r="F647" s="7" t="str">
        <f>IFERROR(INDEX(测试!H:H,MATCH(E647,测试!A:A,0)),1)</f>
        <v>无此文件</v>
      </c>
    </row>
    <row r="648" spans="1:6" x14ac:dyDescent="0.3">
      <c r="A648" t="s">
        <v>2958</v>
      </c>
      <c r="B648" t="s">
        <v>4591</v>
      </c>
      <c r="C648" t="s">
        <v>4592</v>
      </c>
      <c r="D648" t="s">
        <v>4593</v>
      </c>
      <c r="E648" t="s">
        <v>4594</v>
      </c>
      <c r="F648" s="7" t="str">
        <f>IFERROR(INDEX(测试!H:H,MATCH(E648,测试!A:A,0)),1)</f>
        <v>无此文件</v>
      </c>
    </row>
    <row r="649" spans="1:6" hidden="1" x14ac:dyDescent="0.3">
      <c r="A649" t="s">
        <v>2958</v>
      </c>
      <c r="B649" t="s">
        <v>4440</v>
      </c>
      <c r="C649" t="s">
        <v>1069</v>
      </c>
      <c r="D649" t="s">
        <v>3332</v>
      </c>
      <c r="E649" t="s">
        <v>1071</v>
      </c>
      <c r="F649" s="7" t="str">
        <f>IFERROR(INDEX(测试!H:H,MATCH(E649,测试!A:A,0)),1)</f>
        <v>文件名错误</v>
      </c>
    </row>
    <row r="650" spans="1:6" hidden="1" x14ac:dyDescent="0.3">
      <c r="A650" t="s">
        <v>2958</v>
      </c>
      <c r="B650" t="s">
        <v>4441</v>
      </c>
      <c r="C650" t="s">
        <v>1073</v>
      </c>
      <c r="D650" t="s">
        <v>3333</v>
      </c>
      <c r="E650" t="s">
        <v>1075</v>
      </c>
      <c r="F650" s="7" t="str">
        <f>IFERROR(INDEX(测试!H:H,MATCH(E650,测试!A:A,0)),1)</f>
        <v>文件名错误</v>
      </c>
    </row>
    <row r="651" spans="1:6" hidden="1" x14ac:dyDescent="0.3">
      <c r="A651" t="s">
        <v>2958</v>
      </c>
      <c r="B651" t="s">
        <v>4442</v>
      </c>
      <c r="C651" t="s">
        <v>1077</v>
      </c>
      <c r="D651" t="s">
        <v>3334</v>
      </c>
      <c r="E651" t="s">
        <v>1079</v>
      </c>
      <c r="F651" s="7" t="str">
        <f>IFERROR(INDEX(测试!H:H,MATCH(E651,测试!A:A,0)),1)</f>
        <v>文件名错误</v>
      </c>
    </row>
    <row r="652" spans="1:6" hidden="1" x14ac:dyDescent="0.3">
      <c r="A652" t="s">
        <v>2958</v>
      </c>
      <c r="B652" t="s">
        <v>4443</v>
      </c>
      <c r="C652" t="s">
        <v>1081</v>
      </c>
      <c r="D652" t="s">
        <v>3335</v>
      </c>
      <c r="E652" t="s">
        <v>1083</v>
      </c>
      <c r="F652" s="7" t="str">
        <f>IFERROR(INDEX(测试!H:H,MATCH(E652,测试!A:A,0)),1)</f>
        <v>文件名错误</v>
      </c>
    </row>
    <row r="653" spans="1:6" x14ac:dyDescent="0.3">
      <c r="A653" t="s">
        <v>4595</v>
      </c>
      <c r="B653" t="s">
        <v>4596</v>
      </c>
      <c r="C653" t="s">
        <v>4597</v>
      </c>
      <c r="D653" t="s">
        <v>4598</v>
      </c>
      <c r="E653" t="s">
        <v>4599</v>
      </c>
      <c r="F653" s="7" t="str">
        <f>IFERROR(INDEX(测试!H:H,MATCH(E653,测试!A:A,0)),1)</f>
        <v>无此文件</v>
      </c>
    </row>
    <row r="654" spans="1:6" hidden="1" x14ac:dyDescent="0.3">
      <c r="A654" t="s">
        <v>3331</v>
      </c>
      <c r="B654" t="s">
        <v>844</v>
      </c>
      <c r="C654" t="s">
        <v>42</v>
      </c>
      <c r="D654" t="s">
        <v>3106</v>
      </c>
      <c r="E654" t="s">
        <v>845</v>
      </c>
      <c r="F654" s="7" t="str">
        <f>IFERROR(INDEX(测试!H:H,MATCH(E654,测试!A:A,0)),1)</f>
        <v>-</v>
      </c>
    </row>
    <row r="655" spans="1:6" hidden="1" x14ac:dyDescent="0.3">
      <c r="A655" t="s">
        <v>3331</v>
      </c>
      <c r="B655" t="s">
        <v>846</v>
      </c>
      <c r="C655" t="s">
        <v>46</v>
      </c>
      <c r="D655" t="s">
        <v>3107</v>
      </c>
      <c r="E655" t="s">
        <v>847</v>
      </c>
      <c r="F655" s="7" t="str">
        <f>IFERROR(INDEX(测试!H:H,MATCH(E655,测试!A:A,0)),1)</f>
        <v>-</v>
      </c>
    </row>
    <row r="656" spans="1:6" hidden="1" x14ac:dyDescent="0.3">
      <c r="A656" t="s">
        <v>3331</v>
      </c>
      <c r="B656" t="s">
        <v>848</v>
      </c>
      <c r="C656" t="s">
        <v>50</v>
      </c>
      <c r="D656" t="s">
        <v>3108</v>
      </c>
      <c r="E656" t="s">
        <v>849</v>
      </c>
      <c r="F656" s="7" t="str">
        <f>IFERROR(INDEX(测试!H:H,MATCH(E656,测试!A:A,0)),1)</f>
        <v>-</v>
      </c>
    </row>
    <row r="657" spans="1:6" hidden="1" x14ac:dyDescent="0.3">
      <c r="A657" t="s">
        <v>3331</v>
      </c>
      <c r="B657" t="s">
        <v>850</v>
      </c>
      <c r="C657" t="s">
        <v>54</v>
      </c>
      <c r="D657" t="s">
        <v>3109</v>
      </c>
      <c r="E657" t="s">
        <v>851</v>
      </c>
      <c r="F657" s="7" t="str">
        <f>IFERROR(INDEX(测试!H:H,MATCH(E657,测试!A:A,0)),1)</f>
        <v>-</v>
      </c>
    </row>
    <row r="658" spans="1:6" hidden="1" x14ac:dyDescent="0.3">
      <c r="A658" t="s">
        <v>3331</v>
      </c>
      <c r="B658" t="s">
        <v>852</v>
      </c>
      <c r="C658" t="s">
        <v>58</v>
      </c>
      <c r="D658" t="s">
        <v>3110</v>
      </c>
      <c r="E658" t="s">
        <v>3081</v>
      </c>
      <c r="F658" s="7" t="str">
        <f>IFERROR(INDEX(测试!H:H,MATCH(E658,测试!A:A,0)),1)</f>
        <v>-</v>
      </c>
    </row>
    <row r="659" spans="1:6" hidden="1" x14ac:dyDescent="0.3">
      <c r="A659" t="s">
        <v>3331</v>
      </c>
      <c r="B659" t="s">
        <v>853</v>
      </c>
      <c r="C659" t="s">
        <v>62</v>
      </c>
      <c r="D659" t="s">
        <v>3111</v>
      </c>
      <c r="E659" t="s">
        <v>854</v>
      </c>
      <c r="F659" s="7" t="str">
        <f>IFERROR(INDEX(测试!H:H,MATCH(E659,测试!A:A,0)),1)</f>
        <v>-</v>
      </c>
    </row>
    <row r="660" spans="1:6" hidden="1" x14ac:dyDescent="0.3">
      <c r="A660" t="s">
        <v>3331</v>
      </c>
      <c r="B660" t="s">
        <v>855</v>
      </c>
      <c r="C660" t="s">
        <v>66</v>
      </c>
      <c r="D660" t="s">
        <v>3112</v>
      </c>
      <c r="E660" t="s">
        <v>856</v>
      </c>
      <c r="F660" s="7" t="str">
        <f>IFERROR(INDEX(测试!H:H,MATCH(E660,测试!A:A,0)),1)</f>
        <v>-</v>
      </c>
    </row>
    <row r="661" spans="1:6" hidden="1" x14ac:dyDescent="0.3">
      <c r="A661" t="s">
        <v>3331</v>
      </c>
      <c r="B661" t="s">
        <v>857</v>
      </c>
      <c r="C661" t="s">
        <v>70</v>
      </c>
      <c r="D661" t="s">
        <v>3113</v>
      </c>
      <c r="E661" t="s">
        <v>858</v>
      </c>
      <c r="F661" s="7" t="str">
        <f>IFERROR(INDEX(测试!H:H,MATCH(E661,测试!A:A,0)),1)</f>
        <v>-</v>
      </c>
    </row>
    <row r="662" spans="1:6" hidden="1" x14ac:dyDescent="0.3">
      <c r="A662" t="s">
        <v>3331</v>
      </c>
      <c r="B662" t="s">
        <v>859</v>
      </c>
      <c r="C662" t="s">
        <v>74</v>
      </c>
      <c r="D662" t="s">
        <v>3114</v>
      </c>
      <c r="E662" t="s">
        <v>860</v>
      </c>
      <c r="F662" s="7" t="str">
        <f>IFERROR(INDEX(测试!H:H,MATCH(E662,测试!A:A,0)),1)</f>
        <v>-</v>
      </c>
    </row>
    <row r="663" spans="1:6" hidden="1" x14ac:dyDescent="0.3">
      <c r="A663" t="s">
        <v>3331</v>
      </c>
      <c r="B663" t="s">
        <v>861</v>
      </c>
      <c r="C663" t="s">
        <v>78</v>
      </c>
      <c r="D663" t="s">
        <v>3115</v>
      </c>
      <c r="E663" t="s">
        <v>3082</v>
      </c>
      <c r="F663" s="7" t="str">
        <f>IFERROR(INDEX(测试!H:H,MATCH(E663,测试!A:A,0)),1)</f>
        <v>-</v>
      </c>
    </row>
    <row r="664" spans="1:6" hidden="1" x14ac:dyDescent="0.3">
      <c r="A664" t="s">
        <v>3331</v>
      </c>
      <c r="B664" t="s">
        <v>862</v>
      </c>
      <c r="C664" t="s">
        <v>82</v>
      </c>
      <c r="D664" t="s">
        <v>3116</v>
      </c>
      <c r="E664" t="s">
        <v>863</v>
      </c>
      <c r="F664" s="7" t="str">
        <f>IFERROR(INDEX(测试!H:H,MATCH(E664,测试!A:A,0)),1)</f>
        <v>-</v>
      </c>
    </row>
    <row r="665" spans="1:6" hidden="1" x14ac:dyDescent="0.3">
      <c r="A665" t="s">
        <v>3331</v>
      </c>
      <c r="B665" t="s">
        <v>864</v>
      </c>
      <c r="C665" t="s">
        <v>86</v>
      </c>
      <c r="D665" t="s">
        <v>3117</v>
      </c>
      <c r="E665" t="s">
        <v>865</v>
      </c>
      <c r="F665" s="7" t="str">
        <f>IFERROR(INDEX(测试!H:H,MATCH(E665,测试!A:A,0)),1)</f>
        <v>-</v>
      </c>
    </row>
    <row r="666" spans="1:6" hidden="1" x14ac:dyDescent="0.3">
      <c r="A666" t="s">
        <v>3331</v>
      </c>
      <c r="B666" t="s">
        <v>866</v>
      </c>
      <c r="C666" t="s">
        <v>90</v>
      </c>
      <c r="D666" t="s">
        <v>3118</v>
      </c>
      <c r="E666" t="s">
        <v>867</v>
      </c>
      <c r="F666" s="7" t="str">
        <f>IFERROR(INDEX(测试!H:H,MATCH(E666,测试!A:A,0)),1)</f>
        <v>-</v>
      </c>
    </row>
    <row r="667" spans="1:6" hidden="1" x14ac:dyDescent="0.3">
      <c r="A667" t="s">
        <v>3331</v>
      </c>
      <c r="B667" t="s">
        <v>868</v>
      </c>
      <c r="C667" t="s">
        <v>94</v>
      </c>
      <c r="D667" t="s">
        <v>3119</v>
      </c>
      <c r="E667" t="s">
        <v>869</v>
      </c>
      <c r="F667" s="7" t="str">
        <f>IFERROR(INDEX(测试!H:H,MATCH(E667,测试!A:A,0)),1)</f>
        <v>-</v>
      </c>
    </row>
    <row r="668" spans="1:6" hidden="1" x14ac:dyDescent="0.3">
      <c r="A668" t="s">
        <v>3331</v>
      </c>
      <c r="B668" t="s">
        <v>870</v>
      </c>
      <c r="C668" t="s">
        <v>98</v>
      </c>
      <c r="D668" t="s">
        <v>3120</v>
      </c>
      <c r="E668" t="s">
        <v>3083</v>
      </c>
      <c r="F668" s="7" t="str">
        <f>IFERROR(INDEX(测试!H:H,MATCH(E668,测试!A:A,0)),1)</f>
        <v>-</v>
      </c>
    </row>
    <row r="669" spans="1:6" hidden="1" x14ac:dyDescent="0.3">
      <c r="A669" t="s">
        <v>3331</v>
      </c>
      <c r="B669" t="s">
        <v>871</v>
      </c>
      <c r="C669" t="s">
        <v>102</v>
      </c>
      <c r="D669" t="s">
        <v>3121</v>
      </c>
      <c r="E669" t="s">
        <v>872</v>
      </c>
      <c r="F669" s="7" t="str">
        <f>IFERROR(INDEX(测试!H:H,MATCH(E669,测试!A:A,0)),1)</f>
        <v>-</v>
      </c>
    </row>
    <row r="670" spans="1:6" hidden="1" x14ac:dyDescent="0.3">
      <c r="A670" t="s">
        <v>3331</v>
      </c>
      <c r="B670" t="s">
        <v>873</v>
      </c>
      <c r="C670" t="s">
        <v>106</v>
      </c>
      <c r="D670" t="s">
        <v>3122</v>
      </c>
      <c r="E670" t="s">
        <v>3084</v>
      </c>
      <c r="F670" s="7" t="str">
        <f>IFERROR(INDEX(测试!H:H,MATCH(E670,测试!A:A,0)),1)</f>
        <v>-</v>
      </c>
    </row>
    <row r="671" spans="1:6" hidden="1" x14ac:dyDescent="0.3">
      <c r="A671" t="s">
        <v>3331</v>
      </c>
      <c r="B671" t="s">
        <v>874</v>
      </c>
      <c r="C671" t="s">
        <v>110</v>
      </c>
      <c r="D671" t="s">
        <v>3123</v>
      </c>
      <c r="E671" t="s">
        <v>875</v>
      </c>
      <c r="F671" s="7" t="str">
        <f>IFERROR(INDEX(测试!H:H,MATCH(E671,测试!A:A,0)),1)</f>
        <v>-</v>
      </c>
    </row>
    <row r="672" spans="1:6" hidden="1" x14ac:dyDescent="0.3">
      <c r="A672" t="s">
        <v>3331</v>
      </c>
      <c r="B672" t="s">
        <v>876</v>
      </c>
      <c r="C672" t="s">
        <v>114</v>
      </c>
      <c r="D672" t="s">
        <v>3124</v>
      </c>
      <c r="E672" t="s">
        <v>877</v>
      </c>
      <c r="F672" s="7" t="str">
        <f>IFERROR(INDEX(测试!H:H,MATCH(E672,测试!A:A,0)),1)</f>
        <v>-</v>
      </c>
    </row>
    <row r="673" spans="1:6" hidden="1" x14ac:dyDescent="0.3">
      <c r="A673" t="s">
        <v>3331</v>
      </c>
      <c r="B673" t="s">
        <v>878</v>
      </c>
      <c r="C673" t="s">
        <v>118</v>
      </c>
      <c r="D673" t="s">
        <v>3125</v>
      </c>
      <c r="E673" t="s">
        <v>879</v>
      </c>
      <c r="F673" s="7" t="str">
        <f>IFERROR(INDEX(测试!H:H,MATCH(E673,测试!A:A,0)),1)</f>
        <v>-</v>
      </c>
    </row>
    <row r="674" spans="1:6" hidden="1" x14ac:dyDescent="0.3">
      <c r="A674" t="s">
        <v>3331</v>
      </c>
      <c r="B674" t="s">
        <v>880</v>
      </c>
      <c r="C674" t="s">
        <v>122</v>
      </c>
      <c r="D674" t="s">
        <v>3126</v>
      </c>
      <c r="E674" t="s">
        <v>881</v>
      </c>
      <c r="F674" s="7" t="str">
        <f>IFERROR(INDEX(测试!H:H,MATCH(E674,测试!A:A,0)),1)</f>
        <v>-</v>
      </c>
    </row>
    <row r="675" spans="1:6" hidden="1" x14ac:dyDescent="0.3">
      <c r="A675" t="s">
        <v>3331</v>
      </c>
      <c r="B675" t="s">
        <v>882</v>
      </c>
      <c r="C675" t="s">
        <v>126</v>
      </c>
      <c r="D675" t="s">
        <v>3127</v>
      </c>
      <c r="E675" t="s">
        <v>3085</v>
      </c>
      <c r="F675" s="7" t="str">
        <f>IFERROR(INDEX(测试!H:H,MATCH(E675,测试!A:A,0)),1)</f>
        <v>-</v>
      </c>
    </row>
    <row r="676" spans="1:6" hidden="1" x14ac:dyDescent="0.3">
      <c r="A676" t="s">
        <v>3331</v>
      </c>
      <c r="B676" t="s">
        <v>883</v>
      </c>
      <c r="C676" t="s">
        <v>130</v>
      </c>
      <c r="D676" t="s">
        <v>3128</v>
      </c>
      <c r="E676" t="s">
        <v>884</v>
      </c>
      <c r="F676" s="7" t="str">
        <f>IFERROR(INDEX(测试!H:H,MATCH(E676,测试!A:A,0)),1)</f>
        <v>-</v>
      </c>
    </row>
    <row r="677" spans="1:6" hidden="1" x14ac:dyDescent="0.3">
      <c r="A677" t="s">
        <v>3331</v>
      </c>
      <c r="B677" t="s">
        <v>885</v>
      </c>
      <c r="C677" t="s">
        <v>134</v>
      </c>
      <c r="D677" t="s">
        <v>3129</v>
      </c>
      <c r="E677" t="s">
        <v>886</v>
      </c>
      <c r="F677" s="7" t="str">
        <f>IFERROR(INDEX(测试!H:H,MATCH(E677,测试!A:A,0)),1)</f>
        <v>-</v>
      </c>
    </row>
    <row r="678" spans="1:6" hidden="1" x14ac:dyDescent="0.3">
      <c r="A678" t="s">
        <v>3331</v>
      </c>
      <c r="B678" t="s">
        <v>887</v>
      </c>
      <c r="C678" t="s">
        <v>138</v>
      </c>
      <c r="D678" t="s">
        <v>3130</v>
      </c>
      <c r="E678" t="s">
        <v>888</v>
      </c>
      <c r="F678" s="7" t="str">
        <f>IFERROR(INDEX(测试!H:H,MATCH(E678,测试!A:A,0)),1)</f>
        <v>-</v>
      </c>
    </row>
    <row r="679" spans="1:6" hidden="1" x14ac:dyDescent="0.3">
      <c r="A679" t="s">
        <v>3331</v>
      </c>
      <c r="B679" t="s">
        <v>889</v>
      </c>
      <c r="C679" t="s">
        <v>142</v>
      </c>
      <c r="D679" t="s">
        <v>3131</v>
      </c>
      <c r="E679" t="s">
        <v>890</v>
      </c>
      <c r="F679" s="7" t="str">
        <f>IFERROR(INDEX(测试!H:H,MATCH(E679,测试!A:A,0)),1)</f>
        <v>-</v>
      </c>
    </row>
    <row r="680" spans="1:6" hidden="1" x14ac:dyDescent="0.3">
      <c r="A680" t="s">
        <v>3331</v>
      </c>
      <c r="B680" t="s">
        <v>891</v>
      </c>
      <c r="C680" t="s">
        <v>146</v>
      </c>
      <c r="D680" t="s">
        <v>3132</v>
      </c>
      <c r="E680" t="s">
        <v>892</v>
      </c>
      <c r="F680" s="7" t="str">
        <f>IFERROR(INDEX(测试!H:H,MATCH(E680,测试!A:A,0)),1)</f>
        <v>-</v>
      </c>
    </row>
    <row r="681" spans="1:6" hidden="1" x14ac:dyDescent="0.3">
      <c r="A681" t="s">
        <v>3331</v>
      </c>
      <c r="B681" t="s">
        <v>893</v>
      </c>
      <c r="C681" t="s">
        <v>150</v>
      </c>
      <c r="D681" t="s">
        <v>3133</v>
      </c>
      <c r="E681" t="s">
        <v>894</v>
      </c>
      <c r="F681" s="7" t="str">
        <f>IFERROR(INDEX(测试!H:H,MATCH(E681,测试!A:A,0)),1)</f>
        <v>-</v>
      </c>
    </row>
    <row r="682" spans="1:6" hidden="1" x14ac:dyDescent="0.3">
      <c r="A682" t="s">
        <v>3331</v>
      </c>
      <c r="B682" t="s">
        <v>895</v>
      </c>
      <c r="C682" t="s">
        <v>154</v>
      </c>
      <c r="D682" t="s">
        <v>3134</v>
      </c>
      <c r="E682" t="s">
        <v>896</v>
      </c>
      <c r="F682" s="7" t="str">
        <f>IFERROR(INDEX(测试!H:H,MATCH(E682,测试!A:A,0)),1)</f>
        <v>-</v>
      </c>
    </row>
    <row r="683" spans="1:6" hidden="1" x14ac:dyDescent="0.3">
      <c r="A683" t="s">
        <v>3331</v>
      </c>
      <c r="B683" t="s">
        <v>897</v>
      </c>
      <c r="C683" t="s">
        <v>158</v>
      </c>
      <c r="D683" t="s">
        <v>3135</v>
      </c>
      <c r="E683" t="s">
        <v>898</v>
      </c>
      <c r="F683" s="7" t="str">
        <f>IFERROR(INDEX(测试!H:H,MATCH(E683,测试!A:A,0)),1)</f>
        <v>-</v>
      </c>
    </row>
    <row r="684" spans="1:6" hidden="1" x14ac:dyDescent="0.3">
      <c r="A684" t="s">
        <v>3331</v>
      </c>
      <c r="B684" t="s">
        <v>899</v>
      </c>
      <c r="C684" t="s">
        <v>162</v>
      </c>
      <c r="D684" t="s">
        <v>3136</v>
      </c>
      <c r="E684" t="s">
        <v>900</v>
      </c>
      <c r="F684" s="7" t="str">
        <f>IFERROR(INDEX(测试!H:H,MATCH(E684,测试!A:A,0)),1)</f>
        <v>-</v>
      </c>
    </row>
    <row r="685" spans="1:6" hidden="1" x14ac:dyDescent="0.3">
      <c r="A685" t="s">
        <v>3331</v>
      </c>
      <c r="B685" t="s">
        <v>901</v>
      </c>
      <c r="C685" t="s">
        <v>166</v>
      </c>
      <c r="D685" t="s">
        <v>3137</v>
      </c>
      <c r="E685" t="s">
        <v>902</v>
      </c>
      <c r="F685" s="7" t="str">
        <f>IFERROR(INDEX(测试!H:H,MATCH(E685,测试!A:A,0)),1)</f>
        <v>-</v>
      </c>
    </row>
    <row r="686" spans="1:6" hidden="1" x14ac:dyDescent="0.3">
      <c r="A686" t="s">
        <v>3331</v>
      </c>
      <c r="B686" t="s">
        <v>903</v>
      </c>
      <c r="C686" t="s">
        <v>170</v>
      </c>
      <c r="D686" t="s">
        <v>3138</v>
      </c>
      <c r="E686" t="s">
        <v>904</v>
      </c>
      <c r="F686" s="7" t="str">
        <f>IFERROR(INDEX(测试!H:H,MATCH(E686,测试!A:A,0)),1)</f>
        <v>-</v>
      </c>
    </row>
    <row r="687" spans="1:6" hidden="1" x14ac:dyDescent="0.3">
      <c r="A687" t="s">
        <v>3331</v>
      </c>
      <c r="B687" t="s">
        <v>905</v>
      </c>
      <c r="C687" t="s">
        <v>174</v>
      </c>
      <c r="D687" t="s">
        <v>3139</v>
      </c>
      <c r="E687" t="s">
        <v>3086</v>
      </c>
      <c r="F687" s="7" t="str">
        <f>IFERROR(INDEX(测试!H:H,MATCH(E687,测试!A:A,0)),1)</f>
        <v>-</v>
      </c>
    </row>
    <row r="688" spans="1:6" hidden="1" x14ac:dyDescent="0.3">
      <c r="A688" t="s">
        <v>3331</v>
      </c>
      <c r="B688" t="s">
        <v>906</v>
      </c>
      <c r="C688" t="s">
        <v>178</v>
      </c>
      <c r="D688" t="s">
        <v>3140</v>
      </c>
      <c r="E688" t="s">
        <v>907</v>
      </c>
      <c r="F688" s="7" t="str">
        <f>IFERROR(INDEX(测试!H:H,MATCH(E688,测试!A:A,0)),1)</f>
        <v>-</v>
      </c>
    </row>
    <row r="689" spans="1:6" hidden="1" x14ac:dyDescent="0.3">
      <c r="A689" t="s">
        <v>3331</v>
      </c>
      <c r="B689" t="s">
        <v>908</v>
      </c>
      <c r="C689" t="s">
        <v>182</v>
      </c>
      <c r="D689" t="s">
        <v>3141</v>
      </c>
      <c r="E689" t="s">
        <v>909</v>
      </c>
      <c r="F689" s="7" t="str">
        <f>IFERROR(INDEX(测试!H:H,MATCH(E689,测试!A:A,0)),1)</f>
        <v>-</v>
      </c>
    </row>
    <row r="690" spans="1:6" hidden="1" x14ac:dyDescent="0.3">
      <c r="A690" t="s">
        <v>3331</v>
      </c>
      <c r="B690" t="s">
        <v>910</v>
      </c>
      <c r="C690" t="s">
        <v>186</v>
      </c>
      <c r="D690" t="s">
        <v>3142</v>
      </c>
      <c r="E690" t="s">
        <v>911</v>
      </c>
      <c r="F690" s="7" t="str">
        <f>IFERROR(INDEX(测试!H:H,MATCH(E690,测试!A:A,0)),1)</f>
        <v>-</v>
      </c>
    </row>
    <row r="691" spans="1:6" hidden="1" x14ac:dyDescent="0.3">
      <c r="A691" t="s">
        <v>3331</v>
      </c>
      <c r="B691" t="s">
        <v>912</v>
      </c>
      <c r="C691" t="s">
        <v>190</v>
      </c>
      <c r="D691" t="s">
        <v>3143</v>
      </c>
      <c r="E691" t="s">
        <v>913</v>
      </c>
      <c r="F691" s="7" t="str">
        <f>IFERROR(INDEX(测试!H:H,MATCH(E691,测试!A:A,0)),1)</f>
        <v>-</v>
      </c>
    </row>
    <row r="692" spans="1:6" hidden="1" x14ac:dyDescent="0.3">
      <c r="A692" t="s">
        <v>3331</v>
      </c>
      <c r="B692" t="s">
        <v>914</v>
      </c>
      <c r="C692" t="s">
        <v>194</v>
      </c>
      <c r="D692" t="s">
        <v>3144</v>
      </c>
      <c r="E692" t="s">
        <v>915</v>
      </c>
      <c r="F692" s="7" t="str">
        <f>IFERROR(INDEX(测试!H:H,MATCH(E692,测试!A:A,0)),1)</f>
        <v>-</v>
      </c>
    </row>
    <row r="693" spans="1:6" hidden="1" x14ac:dyDescent="0.3">
      <c r="A693" t="s">
        <v>3331</v>
      </c>
      <c r="B693" t="s">
        <v>916</v>
      </c>
      <c r="C693" t="s">
        <v>198</v>
      </c>
      <c r="D693" t="s">
        <v>3145</v>
      </c>
      <c r="E693" t="s">
        <v>917</v>
      </c>
      <c r="F693" s="7" t="str">
        <f>IFERROR(INDEX(测试!H:H,MATCH(E693,测试!A:A,0)),1)</f>
        <v>-</v>
      </c>
    </row>
    <row r="694" spans="1:6" hidden="1" x14ac:dyDescent="0.3">
      <c r="A694" t="s">
        <v>3331</v>
      </c>
      <c r="B694" t="s">
        <v>918</v>
      </c>
      <c r="C694" t="s">
        <v>201</v>
      </c>
      <c r="D694" t="s">
        <v>3147</v>
      </c>
      <c r="E694" t="s">
        <v>919</v>
      </c>
      <c r="F694" s="7" t="str">
        <f>IFERROR(INDEX(测试!H:H,MATCH(E694,测试!A:A,0)),1)</f>
        <v>-</v>
      </c>
    </row>
    <row r="695" spans="1:6" hidden="1" x14ac:dyDescent="0.3">
      <c r="A695" t="s">
        <v>3331</v>
      </c>
      <c r="B695" t="s">
        <v>920</v>
      </c>
      <c r="C695" t="s">
        <v>205</v>
      </c>
      <c r="D695" t="s">
        <v>3148</v>
      </c>
      <c r="E695" t="s">
        <v>921</v>
      </c>
      <c r="F695" s="7" t="str">
        <f>IFERROR(INDEX(测试!H:H,MATCH(E695,测试!A:A,0)),1)</f>
        <v>-</v>
      </c>
    </row>
    <row r="696" spans="1:6" hidden="1" x14ac:dyDescent="0.3">
      <c r="A696" t="s">
        <v>3331</v>
      </c>
      <c r="B696" t="s">
        <v>922</v>
      </c>
      <c r="C696" t="s">
        <v>208</v>
      </c>
      <c r="D696" t="s">
        <v>3149</v>
      </c>
      <c r="E696" t="s">
        <v>923</v>
      </c>
      <c r="F696" s="7" t="str">
        <f>IFERROR(INDEX(测试!H:H,MATCH(E696,测试!A:A,0)),1)</f>
        <v>-</v>
      </c>
    </row>
    <row r="697" spans="1:6" hidden="1" x14ac:dyDescent="0.3">
      <c r="A697" t="s">
        <v>3331</v>
      </c>
      <c r="B697" t="s">
        <v>924</v>
      </c>
      <c r="C697" t="s">
        <v>212</v>
      </c>
      <c r="D697" t="s">
        <v>3150</v>
      </c>
      <c r="E697" t="s">
        <v>925</v>
      </c>
      <c r="F697" s="7" t="str">
        <f>IFERROR(INDEX(测试!H:H,MATCH(E697,测试!A:A,0)),1)</f>
        <v>-</v>
      </c>
    </row>
    <row r="698" spans="1:6" hidden="1" x14ac:dyDescent="0.3">
      <c r="A698" t="s">
        <v>3331</v>
      </c>
      <c r="B698" t="s">
        <v>926</v>
      </c>
      <c r="C698" t="s">
        <v>216</v>
      </c>
      <c r="D698" t="s">
        <v>3151</v>
      </c>
      <c r="E698" t="s">
        <v>927</v>
      </c>
      <c r="F698" s="7" t="str">
        <f>IFERROR(INDEX(测试!H:H,MATCH(E698,测试!A:A,0)),1)</f>
        <v>-</v>
      </c>
    </row>
    <row r="699" spans="1:6" hidden="1" x14ac:dyDescent="0.3">
      <c r="A699" t="s">
        <v>3331</v>
      </c>
      <c r="B699" t="s">
        <v>928</v>
      </c>
      <c r="C699" t="s">
        <v>220</v>
      </c>
      <c r="D699" t="s">
        <v>3152</v>
      </c>
      <c r="E699" t="s">
        <v>929</v>
      </c>
      <c r="F699" s="7" t="str">
        <f>IFERROR(INDEX(测试!H:H,MATCH(E699,测试!A:A,0)),1)</f>
        <v>-</v>
      </c>
    </row>
    <row r="700" spans="1:6" hidden="1" x14ac:dyDescent="0.3">
      <c r="A700" t="s">
        <v>3331</v>
      </c>
      <c r="B700" t="s">
        <v>930</v>
      </c>
      <c r="C700" t="s">
        <v>224</v>
      </c>
      <c r="D700" t="s">
        <v>3153</v>
      </c>
      <c r="E700" t="s">
        <v>931</v>
      </c>
      <c r="F700" s="7" t="str">
        <f>IFERROR(INDEX(测试!H:H,MATCH(E700,测试!A:A,0)),1)</f>
        <v>-</v>
      </c>
    </row>
    <row r="701" spans="1:6" hidden="1" x14ac:dyDescent="0.3">
      <c r="A701" t="s">
        <v>3331</v>
      </c>
      <c r="B701" t="s">
        <v>932</v>
      </c>
      <c r="C701" t="s">
        <v>228</v>
      </c>
      <c r="D701" t="s">
        <v>3154</v>
      </c>
      <c r="E701" t="s">
        <v>933</v>
      </c>
      <c r="F701" s="7" t="str">
        <f>IFERROR(INDEX(测试!H:H,MATCH(E701,测试!A:A,0)),1)</f>
        <v>-</v>
      </c>
    </row>
    <row r="702" spans="1:6" hidden="1" x14ac:dyDescent="0.3">
      <c r="A702" t="s">
        <v>3331</v>
      </c>
      <c r="B702" t="s">
        <v>934</v>
      </c>
      <c r="C702" t="s">
        <v>232</v>
      </c>
      <c r="D702" t="s">
        <v>3155</v>
      </c>
      <c r="E702" t="s">
        <v>935</v>
      </c>
      <c r="F702" s="7" t="str">
        <f>IFERROR(INDEX(测试!H:H,MATCH(E702,测试!A:A,0)),1)</f>
        <v>-</v>
      </c>
    </row>
    <row r="703" spans="1:6" hidden="1" x14ac:dyDescent="0.3">
      <c r="A703" t="s">
        <v>3331</v>
      </c>
      <c r="B703" t="s">
        <v>936</v>
      </c>
      <c r="C703" t="s">
        <v>236</v>
      </c>
      <c r="D703" t="s">
        <v>3156</v>
      </c>
      <c r="E703" t="s">
        <v>937</v>
      </c>
      <c r="F703" s="7" t="str">
        <f>IFERROR(INDEX(测试!H:H,MATCH(E703,测试!A:A,0)),1)</f>
        <v>-</v>
      </c>
    </row>
    <row r="704" spans="1:6" hidden="1" x14ac:dyDescent="0.3">
      <c r="A704" t="s">
        <v>3331</v>
      </c>
      <c r="B704" t="s">
        <v>938</v>
      </c>
      <c r="C704" t="s">
        <v>240</v>
      </c>
      <c r="D704" t="s">
        <v>3157</v>
      </c>
      <c r="E704" t="s">
        <v>939</v>
      </c>
      <c r="F704" s="7" t="str">
        <f>IFERROR(INDEX(测试!H:H,MATCH(E704,测试!A:A,0)),1)</f>
        <v>-</v>
      </c>
    </row>
    <row r="705" spans="1:6" hidden="1" x14ac:dyDescent="0.3">
      <c r="A705" t="s">
        <v>3331</v>
      </c>
      <c r="B705" t="s">
        <v>940</v>
      </c>
      <c r="C705" t="s">
        <v>244</v>
      </c>
      <c r="D705" t="s">
        <v>3158</v>
      </c>
      <c r="E705" t="s">
        <v>941</v>
      </c>
      <c r="F705" s="7" t="str">
        <f>IFERROR(INDEX(测试!H:H,MATCH(E705,测试!A:A,0)),1)</f>
        <v>-</v>
      </c>
    </row>
    <row r="706" spans="1:6" hidden="1" x14ac:dyDescent="0.3">
      <c r="A706" t="s">
        <v>3331</v>
      </c>
      <c r="B706" t="s">
        <v>942</v>
      </c>
      <c r="C706" t="s">
        <v>248</v>
      </c>
      <c r="D706" t="s">
        <v>3159</v>
      </c>
      <c r="E706" t="s">
        <v>943</v>
      </c>
      <c r="F706" s="7" t="str">
        <f>IFERROR(INDEX(测试!H:H,MATCH(E706,测试!A:A,0)),1)</f>
        <v>-</v>
      </c>
    </row>
    <row r="707" spans="1:6" hidden="1" x14ac:dyDescent="0.3">
      <c r="A707" t="s">
        <v>3331</v>
      </c>
      <c r="B707" t="s">
        <v>944</v>
      </c>
      <c r="C707" t="s">
        <v>252</v>
      </c>
      <c r="D707" t="s">
        <v>3160</v>
      </c>
      <c r="E707" t="s">
        <v>945</v>
      </c>
      <c r="F707" s="7" t="str">
        <f>IFERROR(INDEX(测试!H:H,MATCH(E707,测试!A:A,0)),1)</f>
        <v>-</v>
      </c>
    </row>
    <row r="708" spans="1:6" hidden="1" x14ac:dyDescent="0.3">
      <c r="A708" t="s">
        <v>3331</v>
      </c>
      <c r="B708" t="s">
        <v>946</v>
      </c>
      <c r="C708" t="s">
        <v>256</v>
      </c>
      <c r="D708" t="s">
        <v>3161</v>
      </c>
      <c r="E708" t="s">
        <v>947</v>
      </c>
      <c r="F708" s="7" t="str">
        <f>IFERROR(INDEX(测试!H:H,MATCH(E708,测试!A:A,0)),1)</f>
        <v>-</v>
      </c>
    </row>
    <row r="709" spans="1:6" hidden="1" x14ac:dyDescent="0.3">
      <c r="A709" t="s">
        <v>3331</v>
      </c>
      <c r="B709" t="s">
        <v>948</v>
      </c>
      <c r="C709" t="s">
        <v>260</v>
      </c>
      <c r="D709" t="s">
        <v>3162</v>
      </c>
      <c r="E709" t="s">
        <v>949</v>
      </c>
      <c r="F709" s="7" t="str">
        <f>IFERROR(INDEX(测试!H:H,MATCH(E709,测试!A:A,0)),1)</f>
        <v>-</v>
      </c>
    </row>
    <row r="710" spans="1:6" hidden="1" x14ac:dyDescent="0.3">
      <c r="A710" t="s">
        <v>3331</v>
      </c>
      <c r="B710" t="s">
        <v>950</v>
      </c>
      <c r="C710" t="s">
        <v>264</v>
      </c>
      <c r="D710" t="s">
        <v>3163</v>
      </c>
      <c r="E710" t="s">
        <v>951</v>
      </c>
      <c r="F710" s="7" t="str">
        <f>IFERROR(INDEX(测试!H:H,MATCH(E710,测试!A:A,0)),1)</f>
        <v>-</v>
      </c>
    </row>
    <row r="711" spans="1:6" hidden="1" x14ac:dyDescent="0.3">
      <c r="A711" t="s">
        <v>3331</v>
      </c>
      <c r="B711" t="s">
        <v>952</v>
      </c>
      <c r="C711" t="s">
        <v>268</v>
      </c>
      <c r="D711" t="s">
        <v>3164</v>
      </c>
      <c r="E711" t="s">
        <v>953</v>
      </c>
      <c r="F711" s="7" t="str">
        <f>IFERROR(INDEX(测试!H:H,MATCH(E711,测试!A:A,0)),1)</f>
        <v>-</v>
      </c>
    </row>
    <row r="712" spans="1:6" hidden="1" x14ac:dyDescent="0.3">
      <c r="A712" t="s">
        <v>3331</v>
      </c>
      <c r="B712" t="s">
        <v>954</v>
      </c>
      <c r="C712" t="s">
        <v>272</v>
      </c>
      <c r="D712" t="s">
        <v>3165</v>
      </c>
      <c r="E712" t="s">
        <v>955</v>
      </c>
      <c r="F712" s="7" t="str">
        <f>IFERROR(INDEX(测试!H:H,MATCH(E712,测试!A:A,0)),1)</f>
        <v>-</v>
      </c>
    </row>
    <row r="713" spans="1:6" hidden="1" x14ac:dyDescent="0.3">
      <c r="A713" t="s">
        <v>3331</v>
      </c>
      <c r="B713" t="s">
        <v>956</v>
      </c>
      <c r="C713" t="s">
        <v>276</v>
      </c>
      <c r="D713" t="s">
        <v>3166</v>
      </c>
      <c r="E713" t="s">
        <v>957</v>
      </c>
      <c r="F713" s="7" t="str">
        <f>IFERROR(INDEX(测试!H:H,MATCH(E713,测试!A:A,0)),1)</f>
        <v>-</v>
      </c>
    </row>
    <row r="714" spans="1:6" hidden="1" x14ac:dyDescent="0.3">
      <c r="A714" t="s">
        <v>3331</v>
      </c>
      <c r="B714" t="s">
        <v>958</v>
      </c>
      <c r="C714" t="s">
        <v>280</v>
      </c>
      <c r="D714" t="s">
        <v>3167</v>
      </c>
      <c r="E714" t="s">
        <v>959</v>
      </c>
      <c r="F714" s="7" t="str">
        <f>IFERROR(INDEX(测试!H:H,MATCH(E714,测试!A:A,0)),1)</f>
        <v>-</v>
      </c>
    </row>
    <row r="715" spans="1:6" hidden="1" x14ac:dyDescent="0.3">
      <c r="A715" t="s">
        <v>3331</v>
      </c>
      <c r="B715" t="s">
        <v>960</v>
      </c>
      <c r="C715" t="s">
        <v>284</v>
      </c>
      <c r="D715" t="s">
        <v>3168</v>
      </c>
      <c r="E715" t="s">
        <v>961</v>
      </c>
      <c r="F715" s="7" t="str">
        <f>IFERROR(INDEX(测试!H:H,MATCH(E715,测试!A:A,0)),1)</f>
        <v>-</v>
      </c>
    </row>
    <row r="716" spans="1:6" hidden="1" x14ac:dyDescent="0.3">
      <c r="A716" t="s">
        <v>3331</v>
      </c>
      <c r="B716" t="s">
        <v>962</v>
      </c>
      <c r="C716" t="s">
        <v>288</v>
      </c>
      <c r="D716" t="s">
        <v>3169</v>
      </c>
      <c r="E716" t="s">
        <v>963</v>
      </c>
      <c r="F716" s="7" t="str">
        <f>IFERROR(INDEX(测试!H:H,MATCH(E716,测试!A:A,0)),1)</f>
        <v>-</v>
      </c>
    </row>
    <row r="717" spans="1:6" hidden="1" x14ac:dyDescent="0.3">
      <c r="A717" t="s">
        <v>3331</v>
      </c>
      <c r="B717" t="s">
        <v>964</v>
      </c>
      <c r="C717" t="s">
        <v>292</v>
      </c>
      <c r="D717" t="s">
        <v>3170</v>
      </c>
      <c r="E717" t="s">
        <v>965</v>
      </c>
      <c r="F717" s="7" t="str">
        <f>IFERROR(INDEX(测试!H:H,MATCH(E717,测试!A:A,0)),1)</f>
        <v>-</v>
      </c>
    </row>
    <row r="718" spans="1:6" hidden="1" x14ac:dyDescent="0.3">
      <c r="A718" t="s">
        <v>3331</v>
      </c>
      <c r="B718" t="s">
        <v>966</v>
      </c>
      <c r="C718" t="s">
        <v>296</v>
      </c>
      <c r="D718" t="s">
        <v>3171</v>
      </c>
      <c r="E718" t="s">
        <v>967</v>
      </c>
      <c r="F718" s="7" t="str">
        <f>IFERROR(INDEX(测试!H:H,MATCH(E718,测试!A:A,0)),1)</f>
        <v>-</v>
      </c>
    </row>
    <row r="719" spans="1:6" hidden="1" x14ac:dyDescent="0.3">
      <c r="A719" t="s">
        <v>3331</v>
      </c>
      <c r="B719" t="s">
        <v>968</v>
      </c>
      <c r="C719" t="s">
        <v>300</v>
      </c>
      <c r="D719" t="s">
        <v>3172</v>
      </c>
      <c r="E719" t="s">
        <v>969</v>
      </c>
      <c r="F719" s="7" t="str">
        <f>IFERROR(INDEX(测试!H:H,MATCH(E719,测试!A:A,0)),1)</f>
        <v>-</v>
      </c>
    </row>
    <row r="720" spans="1:6" hidden="1" x14ac:dyDescent="0.3">
      <c r="A720" t="s">
        <v>3331</v>
      </c>
      <c r="B720" t="s">
        <v>970</v>
      </c>
      <c r="C720" t="s">
        <v>304</v>
      </c>
      <c r="D720" t="s">
        <v>3173</v>
      </c>
      <c r="E720" t="s">
        <v>971</v>
      </c>
      <c r="F720" s="7" t="str">
        <f>IFERROR(INDEX(测试!H:H,MATCH(E720,测试!A:A,0)),1)</f>
        <v>-</v>
      </c>
    </row>
    <row r="721" spans="1:6" hidden="1" x14ac:dyDescent="0.3">
      <c r="A721" t="s">
        <v>3331</v>
      </c>
      <c r="B721" t="s">
        <v>972</v>
      </c>
      <c r="C721" t="s">
        <v>308</v>
      </c>
      <c r="D721" t="s">
        <v>3174</v>
      </c>
      <c r="E721" t="s">
        <v>973</v>
      </c>
      <c r="F721" s="7" t="str">
        <f>IFERROR(INDEX(测试!H:H,MATCH(E721,测试!A:A,0)),1)</f>
        <v>-</v>
      </c>
    </row>
    <row r="722" spans="1:6" hidden="1" x14ac:dyDescent="0.3">
      <c r="A722" t="s">
        <v>3331</v>
      </c>
      <c r="B722" t="s">
        <v>974</v>
      </c>
      <c r="C722" t="s">
        <v>312</v>
      </c>
      <c r="D722" t="s">
        <v>3175</v>
      </c>
      <c r="E722" t="s">
        <v>975</v>
      </c>
      <c r="F722" s="7" t="str">
        <f>IFERROR(INDEX(测试!H:H,MATCH(E722,测试!A:A,0)),1)</f>
        <v>-</v>
      </c>
    </row>
    <row r="723" spans="1:6" hidden="1" x14ac:dyDescent="0.3">
      <c r="A723" t="s">
        <v>3331</v>
      </c>
      <c r="B723" t="s">
        <v>976</v>
      </c>
      <c r="C723" t="s">
        <v>316</v>
      </c>
      <c r="D723" t="s">
        <v>3176</v>
      </c>
      <c r="E723" t="s">
        <v>977</v>
      </c>
      <c r="F723" s="7" t="str">
        <f>IFERROR(INDEX(测试!H:H,MATCH(E723,测试!A:A,0)),1)</f>
        <v>-</v>
      </c>
    </row>
    <row r="724" spans="1:6" hidden="1" x14ac:dyDescent="0.3">
      <c r="A724" t="s">
        <v>3331</v>
      </c>
      <c r="B724" t="s">
        <v>978</v>
      </c>
      <c r="C724" t="s">
        <v>320</v>
      </c>
      <c r="D724" t="s">
        <v>3177</v>
      </c>
      <c r="E724" t="s">
        <v>979</v>
      </c>
      <c r="F724" s="7" t="str">
        <f>IFERROR(INDEX(测试!H:H,MATCH(E724,测试!A:A,0)),1)</f>
        <v>-</v>
      </c>
    </row>
    <row r="725" spans="1:6" hidden="1" x14ac:dyDescent="0.3">
      <c r="A725" t="s">
        <v>3331</v>
      </c>
      <c r="B725" t="s">
        <v>980</v>
      </c>
      <c r="C725" t="s">
        <v>324</v>
      </c>
      <c r="D725" t="s">
        <v>3178</v>
      </c>
      <c r="E725" t="s">
        <v>981</v>
      </c>
      <c r="F725" s="7" t="str">
        <f>IFERROR(INDEX(测试!H:H,MATCH(E725,测试!A:A,0)),1)</f>
        <v>-</v>
      </c>
    </row>
    <row r="726" spans="1:6" hidden="1" x14ac:dyDescent="0.3">
      <c r="A726" t="s">
        <v>3331</v>
      </c>
      <c r="B726" t="s">
        <v>982</v>
      </c>
      <c r="C726" t="s">
        <v>328</v>
      </c>
      <c r="D726" t="s">
        <v>3179</v>
      </c>
      <c r="E726" t="s">
        <v>983</v>
      </c>
      <c r="F726" s="7" t="str">
        <f>IFERROR(INDEX(测试!H:H,MATCH(E726,测试!A:A,0)),1)</f>
        <v>-</v>
      </c>
    </row>
    <row r="727" spans="1:6" hidden="1" x14ac:dyDescent="0.3">
      <c r="A727" t="s">
        <v>3331</v>
      </c>
      <c r="B727" t="s">
        <v>984</v>
      </c>
      <c r="C727" t="s">
        <v>332</v>
      </c>
      <c r="D727" t="s">
        <v>3180</v>
      </c>
      <c r="E727" t="s">
        <v>985</v>
      </c>
      <c r="F727" s="7" t="str">
        <f>IFERROR(INDEX(测试!H:H,MATCH(E727,测试!A:A,0)),1)</f>
        <v>-</v>
      </c>
    </row>
    <row r="728" spans="1:6" hidden="1" x14ac:dyDescent="0.3">
      <c r="A728" t="s">
        <v>3331</v>
      </c>
      <c r="B728" t="s">
        <v>986</v>
      </c>
      <c r="C728" t="s">
        <v>336</v>
      </c>
      <c r="D728" t="s">
        <v>3181</v>
      </c>
      <c r="E728" t="s">
        <v>987</v>
      </c>
      <c r="F728" s="7" t="str">
        <f>IFERROR(INDEX(测试!H:H,MATCH(E728,测试!A:A,0)),1)</f>
        <v>-</v>
      </c>
    </row>
    <row r="729" spans="1:6" hidden="1" x14ac:dyDescent="0.3">
      <c r="A729" t="s">
        <v>3331</v>
      </c>
      <c r="B729" t="s">
        <v>988</v>
      </c>
      <c r="C729" t="s">
        <v>340</v>
      </c>
      <c r="D729" t="s">
        <v>3182</v>
      </c>
      <c r="E729" t="s">
        <v>989</v>
      </c>
      <c r="F729" s="7" t="str">
        <f>IFERROR(INDEX(测试!H:H,MATCH(E729,测试!A:A,0)),1)</f>
        <v>-</v>
      </c>
    </row>
    <row r="730" spans="1:6" hidden="1" x14ac:dyDescent="0.3">
      <c r="A730" t="s">
        <v>3331</v>
      </c>
      <c r="B730" t="s">
        <v>990</v>
      </c>
      <c r="C730" t="s">
        <v>344</v>
      </c>
      <c r="D730" t="s">
        <v>3183</v>
      </c>
      <c r="E730" t="s">
        <v>991</v>
      </c>
      <c r="F730" s="7" t="str">
        <f>IFERROR(INDEX(测试!H:H,MATCH(E730,测试!A:A,0)),1)</f>
        <v>-</v>
      </c>
    </row>
    <row r="731" spans="1:6" hidden="1" x14ac:dyDescent="0.3">
      <c r="A731" t="s">
        <v>3331</v>
      </c>
      <c r="B731" t="s">
        <v>992</v>
      </c>
      <c r="C731" t="s">
        <v>348</v>
      </c>
      <c r="D731" t="s">
        <v>3184</v>
      </c>
      <c r="E731" t="s">
        <v>993</v>
      </c>
      <c r="F731" s="7" t="str">
        <f>IFERROR(INDEX(测试!H:H,MATCH(E731,测试!A:A,0)),1)</f>
        <v>-</v>
      </c>
    </row>
    <row r="732" spans="1:6" hidden="1" x14ac:dyDescent="0.3">
      <c r="A732" t="s">
        <v>3331</v>
      </c>
      <c r="B732" t="s">
        <v>994</v>
      </c>
      <c r="C732" t="s">
        <v>352</v>
      </c>
      <c r="D732" t="s">
        <v>3185</v>
      </c>
      <c r="E732" t="s">
        <v>995</v>
      </c>
      <c r="F732" s="7" t="str">
        <f>IFERROR(INDEX(测试!H:H,MATCH(E732,测试!A:A,0)),1)</f>
        <v>-</v>
      </c>
    </row>
    <row r="733" spans="1:6" hidden="1" x14ac:dyDescent="0.3">
      <c r="A733" t="s">
        <v>3331</v>
      </c>
      <c r="B733" t="s">
        <v>996</v>
      </c>
      <c r="C733" t="s">
        <v>356</v>
      </c>
      <c r="D733" t="s">
        <v>3186</v>
      </c>
      <c r="E733" t="s">
        <v>997</v>
      </c>
      <c r="F733" s="7" t="str">
        <f>IFERROR(INDEX(测试!H:H,MATCH(E733,测试!A:A,0)),1)</f>
        <v>-</v>
      </c>
    </row>
    <row r="734" spans="1:6" hidden="1" x14ac:dyDescent="0.3">
      <c r="A734" t="s">
        <v>3331</v>
      </c>
      <c r="B734" t="s">
        <v>998</v>
      </c>
      <c r="C734" t="s">
        <v>360</v>
      </c>
      <c r="D734" t="s">
        <v>3187</v>
      </c>
      <c r="E734" t="s">
        <v>999</v>
      </c>
      <c r="F734" s="7" t="str">
        <f>IFERROR(INDEX(测试!H:H,MATCH(E734,测试!A:A,0)),1)</f>
        <v>-</v>
      </c>
    </row>
    <row r="735" spans="1:6" hidden="1" x14ac:dyDescent="0.3">
      <c r="A735" t="s">
        <v>3331</v>
      </c>
      <c r="B735" t="s">
        <v>1000</v>
      </c>
      <c r="C735" t="s">
        <v>364</v>
      </c>
      <c r="D735" t="s">
        <v>3188</v>
      </c>
      <c r="E735" t="s">
        <v>1001</v>
      </c>
      <c r="F735" s="7" t="str">
        <f>IFERROR(INDEX(测试!H:H,MATCH(E735,测试!A:A,0)),1)</f>
        <v>-</v>
      </c>
    </row>
    <row r="736" spans="1:6" hidden="1" x14ac:dyDescent="0.3">
      <c r="A736" t="s">
        <v>3331</v>
      </c>
      <c r="B736" t="s">
        <v>1002</v>
      </c>
      <c r="C736" t="s">
        <v>368</v>
      </c>
      <c r="D736" t="s">
        <v>3189</v>
      </c>
      <c r="E736" t="s">
        <v>3087</v>
      </c>
      <c r="F736" s="7" t="str">
        <f>IFERROR(INDEX(测试!H:H,MATCH(E736,测试!A:A,0)),1)</f>
        <v>-</v>
      </c>
    </row>
    <row r="737" spans="1:6" hidden="1" x14ac:dyDescent="0.3">
      <c r="A737" t="s">
        <v>3331</v>
      </c>
      <c r="B737" t="s">
        <v>1003</v>
      </c>
      <c r="C737" t="s">
        <v>372</v>
      </c>
      <c r="D737" t="s">
        <v>3190</v>
      </c>
      <c r="E737" t="s">
        <v>1004</v>
      </c>
      <c r="F737" s="7" t="str">
        <f>IFERROR(INDEX(测试!H:H,MATCH(E737,测试!A:A,0)),1)</f>
        <v>-</v>
      </c>
    </row>
    <row r="738" spans="1:6" hidden="1" x14ac:dyDescent="0.3">
      <c r="A738" t="s">
        <v>3331</v>
      </c>
      <c r="B738" t="s">
        <v>1005</v>
      </c>
      <c r="C738" t="s">
        <v>376</v>
      </c>
      <c r="D738" t="s">
        <v>3191</v>
      </c>
      <c r="E738" t="s">
        <v>1006</v>
      </c>
      <c r="F738" s="7" t="str">
        <f>IFERROR(INDEX(测试!H:H,MATCH(E738,测试!A:A,0)),1)</f>
        <v>-</v>
      </c>
    </row>
    <row r="739" spans="1:6" hidden="1" x14ac:dyDescent="0.3">
      <c r="A739" t="s">
        <v>3331</v>
      </c>
      <c r="B739" t="s">
        <v>1007</v>
      </c>
      <c r="C739" t="s">
        <v>380</v>
      </c>
      <c r="D739" t="s">
        <v>3192</v>
      </c>
      <c r="E739" t="s">
        <v>1008</v>
      </c>
      <c r="F739" s="7" t="str">
        <f>IFERROR(INDEX(测试!H:H,MATCH(E739,测试!A:A,0)),1)</f>
        <v>-</v>
      </c>
    </row>
    <row r="740" spans="1:6" hidden="1" x14ac:dyDescent="0.3">
      <c r="A740" t="s">
        <v>3331</v>
      </c>
      <c r="B740" t="s">
        <v>1009</v>
      </c>
      <c r="C740" t="s">
        <v>384</v>
      </c>
      <c r="D740" t="s">
        <v>3193</v>
      </c>
      <c r="E740" t="s">
        <v>1010</v>
      </c>
      <c r="F740" s="7" t="str">
        <f>IFERROR(INDEX(测试!H:H,MATCH(E740,测试!A:A,0)),1)</f>
        <v>-</v>
      </c>
    </row>
    <row r="741" spans="1:6" hidden="1" x14ac:dyDescent="0.3">
      <c r="A741" t="s">
        <v>3331</v>
      </c>
      <c r="B741" t="s">
        <v>1011</v>
      </c>
      <c r="C741" t="s">
        <v>388</v>
      </c>
      <c r="D741" t="s">
        <v>3194</v>
      </c>
      <c r="E741" t="s">
        <v>1012</v>
      </c>
      <c r="F741" s="7" t="str">
        <f>IFERROR(INDEX(测试!H:H,MATCH(E741,测试!A:A,0)),1)</f>
        <v>-</v>
      </c>
    </row>
    <row r="742" spans="1:6" hidden="1" x14ac:dyDescent="0.3">
      <c r="A742" t="s">
        <v>3331</v>
      </c>
      <c r="B742" t="s">
        <v>1013</v>
      </c>
      <c r="C742" t="s">
        <v>392</v>
      </c>
      <c r="D742" t="s">
        <v>3195</v>
      </c>
      <c r="E742" t="s">
        <v>1014</v>
      </c>
      <c r="F742" s="7" t="str">
        <f>IFERROR(INDEX(测试!H:H,MATCH(E742,测试!A:A,0)),1)</f>
        <v>-</v>
      </c>
    </row>
    <row r="743" spans="1:6" hidden="1" x14ac:dyDescent="0.3">
      <c r="A743" t="s">
        <v>3331</v>
      </c>
      <c r="B743" t="s">
        <v>1015</v>
      </c>
      <c r="C743" t="s">
        <v>396</v>
      </c>
      <c r="D743" t="s">
        <v>3196</v>
      </c>
      <c r="E743" t="s">
        <v>1016</v>
      </c>
      <c r="F743" s="7" t="str">
        <f>IFERROR(INDEX(测试!H:H,MATCH(E743,测试!A:A,0)),1)</f>
        <v>-</v>
      </c>
    </row>
    <row r="744" spans="1:6" x14ac:dyDescent="0.3">
      <c r="A744" t="s">
        <v>4600</v>
      </c>
      <c r="B744" t="s">
        <v>4601</v>
      </c>
      <c r="C744" t="s">
        <v>4602</v>
      </c>
      <c r="D744" t="s">
        <v>4603</v>
      </c>
      <c r="E744" t="s">
        <v>4604</v>
      </c>
      <c r="F744" s="7" t="str">
        <f>IFERROR(INDEX(测试!H:H,MATCH(E744,测试!A:A,0)),1)</f>
        <v>无此文件</v>
      </c>
    </row>
    <row r="745" spans="1:6" x14ac:dyDescent="0.3">
      <c r="A745" t="s">
        <v>4600</v>
      </c>
      <c r="B745" t="s">
        <v>4605</v>
      </c>
      <c r="C745" t="s">
        <v>4606</v>
      </c>
      <c r="D745" t="s">
        <v>4607</v>
      </c>
      <c r="E745" t="s">
        <v>4608</v>
      </c>
      <c r="F745" s="7" t="str">
        <f>IFERROR(INDEX(测试!H:H,MATCH(E745,测试!A:A,0)),1)</f>
        <v>无此文件</v>
      </c>
    </row>
    <row r="746" spans="1:6" x14ac:dyDescent="0.3">
      <c r="A746" t="s">
        <v>4600</v>
      </c>
      <c r="B746" t="s">
        <v>4609</v>
      </c>
      <c r="C746" t="s">
        <v>4610</v>
      </c>
      <c r="D746" t="s">
        <v>4611</v>
      </c>
      <c r="E746" t="s">
        <v>4612</v>
      </c>
      <c r="F746" s="7" t="str">
        <f>IFERROR(INDEX(测试!H:H,MATCH(E746,测试!A:A,0)),1)</f>
        <v>无此文件</v>
      </c>
    </row>
    <row r="747" spans="1:6" x14ac:dyDescent="0.3">
      <c r="A747" t="s">
        <v>4600</v>
      </c>
      <c r="B747" t="s">
        <v>4613</v>
      </c>
      <c r="C747" t="s">
        <v>4614</v>
      </c>
      <c r="D747" t="s">
        <v>4615</v>
      </c>
      <c r="E747" t="s">
        <v>4616</v>
      </c>
      <c r="F747" s="7" t="str">
        <f>IFERROR(INDEX(测试!H:H,MATCH(E747,测试!A:A,0)),1)</f>
        <v>无此文件</v>
      </c>
    </row>
    <row r="748" spans="1:6" hidden="1" x14ac:dyDescent="0.3">
      <c r="A748" t="s">
        <v>2957</v>
      </c>
      <c r="B748" t="s">
        <v>1061</v>
      </c>
      <c r="C748" t="s">
        <v>10</v>
      </c>
      <c r="D748" t="s">
        <v>3329</v>
      </c>
      <c r="E748" t="s">
        <v>1063</v>
      </c>
      <c r="F748" s="7" t="str">
        <f>IFERROR(INDEX(测试!H:H,MATCH(E748,测试!A:A,0)),1)</f>
        <v>-</v>
      </c>
    </row>
    <row r="749" spans="1:6" hidden="1" x14ac:dyDescent="0.3">
      <c r="A749" t="s">
        <v>2957</v>
      </c>
      <c r="B749" t="s">
        <v>1064</v>
      </c>
      <c r="C749" t="s">
        <v>1065</v>
      </c>
      <c r="D749" t="s">
        <v>3330</v>
      </c>
      <c r="E749" t="s">
        <v>1067</v>
      </c>
      <c r="F749" s="7" t="str">
        <f>IFERROR(INDEX(测试!H:H,MATCH(E749,测试!A:A,0)),1)</f>
        <v>-</v>
      </c>
    </row>
    <row r="750" spans="1:6" hidden="1" x14ac:dyDescent="0.3">
      <c r="A750" t="s">
        <v>3909</v>
      </c>
      <c r="B750" t="s">
        <v>3910</v>
      </c>
      <c r="C750" t="s">
        <v>3895</v>
      </c>
      <c r="D750" t="s">
        <v>3896</v>
      </c>
      <c r="E750" t="s">
        <v>3897</v>
      </c>
      <c r="F750" s="7" t="str">
        <f>IFERROR(INDEX(测试!H:H,MATCH(E750,测试!A:A,0)),1)</f>
        <v>-</v>
      </c>
    </row>
    <row r="751" spans="1:6" hidden="1" x14ac:dyDescent="0.3">
      <c r="A751" t="s">
        <v>2956</v>
      </c>
      <c r="B751" t="s">
        <v>1017</v>
      </c>
      <c r="C751" t="s">
        <v>2</v>
      </c>
      <c r="D751" t="s">
        <v>3197</v>
      </c>
      <c r="E751" t="s">
        <v>1018</v>
      </c>
      <c r="F751" s="7" t="str">
        <f>IFERROR(INDEX(测试!H:H,MATCH(E751,测试!A:A,0)),1)</f>
        <v>-</v>
      </c>
    </row>
    <row r="752" spans="1:6" hidden="1" x14ac:dyDescent="0.3">
      <c r="A752" t="s">
        <v>2956</v>
      </c>
      <c r="B752" t="s">
        <v>1019</v>
      </c>
      <c r="C752" t="s">
        <v>4</v>
      </c>
      <c r="D752" t="s">
        <v>3198</v>
      </c>
      <c r="E752" t="s">
        <v>1020</v>
      </c>
      <c r="F752" s="7" t="str">
        <f>IFERROR(INDEX(测试!H:H,MATCH(E752,测试!A:A,0)),1)</f>
        <v>-</v>
      </c>
    </row>
    <row r="753" spans="1:6" hidden="1" x14ac:dyDescent="0.3">
      <c r="A753" t="s">
        <v>2956</v>
      </c>
      <c r="B753" t="s">
        <v>1021</v>
      </c>
      <c r="C753" t="s">
        <v>6</v>
      </c>
      <c r="D753" t="s">
        <v>3199</v>
      </c>
      <c r="E753" t="s">
        <v>1022</v>
      </c>
      <c r="F753" s="7" t="str">
        <f>IFERROR(INDEX(测试!H:H,MATCH(E753,测试!A:A,0)),1)</f>
        <v>-</v>
      </c>
    </row>
    <row r="754" spans="1:6" hidden="1" x14ac:dyDescent="0.3">
      <c r="A754" t="s">
        <v>2956</v>
      </c>
      <c r="B754" t="s">
        <v>1023</v>
      </c>
      <c r="C754" t="s">
        <v>8</v>
      </c>
      <c r="D754" t="s">
        <v>3200</v>
      </c>
      <c r="E754" t="s">
        <v>1024</v>
      </c>
      <c r="F754" s="7" t="str">
        <f>IFERROR(INDEX(测试!H:H,MATCH(E754,测试!A:A,0)),1)</f>
        <v>-</v>
      </c>
    </row>
    <row r="755" spans="1:6" hidden="1" x14ac:dyDescent="0.3">
      <c r="A755" t="s">
        <v>2956</v>
      </c>
      <c r="B755" t="s">
        <v>1025</v>
      </c>
      <c r="C755" t="s">
        <v>408</v>
      </c>
      <c r="D755" t="s">
        <v>3201</v>
      </c>
      <c r="E755" t="s">
        <v>1026</v>
      </c>
      <c r="F755" s="7" t="str">
        <f>IFERROR(INDEX(测试!H:H,MATCH(E755,测试!A:A,0)),1)</f>
        <v>-</v>
      </c>
    </row>
    <row r="756" spans="1:6" hidden="1" x14ac:dyDescent="0.3">
      <c r="A756" t="s">
        <v>2956</v>
      </c>
      <c r="B756" t="s">
        <v>1027</v>
      </c>
      <c r="C756" t="s">
        <v>412</v>
      </c>
      <c r="D756" t="s">
        <v>3202</v>
      </c>
      <c r="E756" t="s">
        <v>1028</v>
      </c>
      <c r="F756" s="7" t="str">
        <f>IFERROR(INDEX(测试!H:H,MATCH(E756,测试!A:A,0)),1)</f>
        <v>-</v>
      </c>
    </row>
    <row r="757" spans="1:6" hidden="1" x14ac:dyDescent="0.3">
      <c r="A757" t="s">
        <v>2956</v>
      </c>
      <c r="B757" t="s">
        <v>1029</v>
      </c>
      <c r="C757" t="s">
        <v>416</v>
      </c>
      <c r="D757" t="s">
        <v>3320</v>
      </c>
      <c r="E757" t="s">
        <v>1031</v>
      </c>
      <c r="F757" s="7" t="str">
        <f>IFERROR(INDEX(测试!H:H,MATCH(E757,测试!A:A,0)),1)</f>
        <v>-</v>
      </c>
    </row>
    <row r="758" spans="1:6" hidden="1" x14ac:dyDescent="0.3">
      <c r="A758" t="s">
        <v>2956</v>
      </c>
      <c r="B758" t="s">
        <v>1032</v>
      </c>
      <c r="C758" t="s">
        <v>420</v>
      </c>
      <c r="D758" t="s">
        <v>3321</v>
      </c>
      <c r="E758" t="s">
        <v>3088</v>
      </c>
      <c r="F758" s="7" t="str">
        <f>IFERROR(INDEX(测试!H:H,MATCH(E758,测试!A:A,0)),1)</f>
        <v>-</v>
      </c>
    </row>
    <row r="759" spans="1:6" hidden="1" x14ac:dyDescent="0.3">
      <c r="A759" t="s">
        <v>2956</v>
      </c>
      <c r="B759" t="s">
        <v>1034</v>
      </c>
      <c r="C759" t="s">
        <v>1035</v>
      </c>
      <c r="D759" t="s">
        <v>3322</v>
      </c>
      <c r="E759" t="s">
        <v>3089</v>
      </c>
      <c r="F759" s="7" t="str">
        <f>IFERROR(INDEX(测试!H:H,MATCH(E759,测试!A:A,0)),1)</f>
        <v>-</v>
      </c>
    </row>
    <row r="760" spans="1:6" hidden="1" x14ac:dyDescent="0.3">
      <c r="A760" t="s">
        <v>2956</v>
      </c>
      <c r="B760" t="s">
        <v>1037</v>
      </c>
      <c r="C760" t="s">
        <v>1038</v>
      </c>
      <c r="D760" t="s">
        <v>3323</v>
      </c>
      <c r="E760" t="s">
        <v>1040</v>
      </c>
      <c r="F760" s="7" t="str">
        <f>IFERROR(INDEX(测试!H:H,MATCH(E760,测试!A:A,0)),1)</f>
        <v>-</v>
      </c>
    </row>
    <row r="761" spans="1:6" hidden="1" x14ac:dyDescent="0.3">
      <c r="A761" t="s">
        <v>2956</v>
      </c>
      <c r="B761" t="s">
        <v>1041</v>
      </c>
      <c r="C761" t="s">
        <v>1042</v>
      </c>
      <c r="D761" t="s">
        <v>3324</v>
      </c>
      <c r="E761" t="s">
        <v>1044</v>
      </c>
      <c r="F761" s="7" t="str">
        <f>IFERROR(INDEX(测试!H:H,MATCH(E761,测试!A:A,0)),1)</f>
        <v>-</v>
      </c>
    </row>
    <row r="762" spans="1:6" hidden="1" x14ac:dyDescent="0.3">
      <c r="A762" t="s">
        <v>2956</v>
      </c>
      <c r="B762" t="s">
        <v>1045</v>
      </c>
      <c r="C762" t="s">
        <v>1046</v>
      </c>
      <c r="D762" t="s">
        <v>3325</v>
      </c>
      <c r="E762" t="s">
        <v>1048</v>
      </c>
      <c r="F762" s="7" t="str">
        <f>IFERROR(INDEX(测试!H:H,MATCH(E762,测试!A:A,0)),1)</f>
        <v>-</v>
      </c>
    </row>
    <row r="763" spans="1:6" hidden="1" x14ac:dyDescent="0.3">
      <c r="A763" t="s">
        <v>2956</v>
      </c>
      <c r="B763" t="s">
        <v>1049</v>
      </c>
      <c r="C763" t="s">
        <v>1050</v>
      </c>
      <c r="D763" t="s">
        <v>3326</v>
      </c>
      <c r="E763" t="s">
        <v>1052</v>
      </c>
      <c r="F763" s="7" t="str">
        <f>IFERROR(INDEX(测试!H:H,MATCH(E763,测试!A:A,0)),1)</f>
        <v>-</v>
      </c>
    </row>
    <row r="764" spans="1:6" hidden="1" x14ac:dyDescent="0.3">
      <c r="A764" t="s">
        <v>2956</v>
      </c>
      <c r="B764" t="s">
        <v>1053</v>
      </c>
      <c r="C764" t="s">
        <v>1054</v>
      </c>
      <c r="D764" t="s">
        <v>3327</v>
      </c>
      <c r="E764" t="s">
        <v>1056</v>
      </c>
      <c r="F764" s="7" t="str">
        <f>IFERROR(INDEX(测试!H:H,MATCH(E764,测试!A:A,0)),1)</f>
        <v>-</v>
      </c>
    </row>
    <row r="765" spans="1:6" hidden="1" x14ac:dyDescent="0.3">
      <c r="A765" t="s">
        <v>2956</v>
      </c>
      <c r="B765" t="s">
        <v>1057</v>
      </c>
      <c r="C765" t="s">
        <v>1058</v>
      </c>
      <c r="D765" t="s">
        <v>3328</v>
      </c>
      <c r="E765" t="s">
        <v>1060</v>
      </c>
      <c r="F765" s="7" t="str">
        <f>IFERROR(INDEX(测试!H:H,MATCH(E765,测试!A:A,0)),1)</f>
        <v>-</v>
      </c>
    </row>
    <row r="766" spans="1:6" hidden="1" x14ac:dyDescent="0.3">
      <c r="A766" t="s">
        <v>2956</v>
      </c>
      <c r="B766" t="s">
        <v>3830</v>
      </c>
      <c r="C766" t="s">
        <v>3831</v>
      </c>
      <c r="D766" t="s">
        <v>3832</v>
      </c>
      <c r="E766" t="s">
        <v>3833</v>
      </c>
      <c r="F766" s="7" t="str">
        <f>IFERROR(INDEX(测试!H:H,MATCH(E766,测试!A:A,0)),1)</f>
        <v>-</v>
      </c>
    </row>
    <row r="767" spans="1:6" hidden="1" x14ac:dyDescent="0.3">
      <c r="A767" t="s">
        <v>2956</v>
      </c>
      <c r="B767" t="s">
        <v>3834</v>
      </c>
      <c r="C767" t="s">
        <v>3835</v>
      </c>
      <c r="D767" t="s">
        <v>3836</v>
      </c>
      <c r="E767" t="s">
        <v>3837</v>
      </c>
      <c r="F767" s="7" t="str">
        <f>IFERROR(INDEX(测试!H:H,MATCH(E767,测试!A:A,0)),1)</f>
        <v>-</v>
      </c>
    </row>
    <row r="768" spans="1:6" hidden="1" x14ac:dyDescent="0.3">
      <c r="A768" t="s">
        <v>2956</v>
      </c>
      <c r="B768" t="s">
        <v>3859</v>
      </c>
      <c r="C768" t="s">
        <v>3860</v>
      </c>
      <c r="D768" t="s">
        <v>3861</v>
      </c>
      <c r="E768" t="s">
        <v>3862</v>
      </c>
      <c r="F768" s="7" t="str">
        <f>IFERROR(INDEX(测试!H:H,MATCH(E768,测试!A:A,0)),1)</f>
        <v>-</v>
      </c>
    </row>
    <row r="769" spans="1:6" hidden="1" x14ac:dyDescent="0.3">
      <c r="A769" t="s">
        <v>2956</v>
      </c>
      <c r="B769" t="s">
        <v>3863</v>
      </c>
      <c r="C769" t="s">
        <v>3864</v>
      </c>
      <c r="D769" t="s">
        <v>3865</v>
      </c>
      <c r="E769" t="s">
        <v>3866</v>
      </c>
      <c r="F769" s="7" t="str">
        <f>IFERROR(INDEX(测试!H:H,MATCH(E769,测试!A:A,0)),1)</f>
        <v>-</v>
      </c>
    </row>
    <row r="770" spans="1:6" hidden="1" x14ac:dyDescent="0.3">
      <c r="A770" t="s">
        <v>2956</v>
      </c>
      <c r="B770" t="s">
        <v>3867</v>
      </c>
      <c r="C770" t="s">
        <v>3868</v>
      </c>
      <c r="D770" t="s">
        <v>3869</v>
      </c>
      <c r="E770" t="s">
        <v>3870</v>
      </c>
      <c r="F770" s="7" t="str">
        <f>IFERROR(INDEX(测试!H:H,MATCH(E770,测试!A:A,0)),1)</f>
        <v>-</v>
      </c>
    </row>
    <row r="771" spans="1:6" hidden="1" x14ac:dyDescent="0.3">
      <c r="A771" t="s">
        <v>2956</v>
      </c>
      <c r="B771" t="s">
        <v>4109</v>
      </c>
      <c r="C771" t="s">
        <v>4110</v>
      </c>
      <c r="D771" t="s">
        <v>4111</v>
      </c>
      <c r="E771" t="s">
        <v>4112</v>
      </c>
      <c r="F771" s="7" t="str">
        <f>IFERROR(INDEX(测试!H:H,MATCH(E771,测试!A:A,0)),1)</f>
        <v>-</v>
      </c>
    </row>
    <row r="772" spans="1:6" hidden="1" x14ac:dyDescent="0.3">
      <c r="A772" t="s">
        <v>2956</v>
      </c>
      <c r="B772" t="s">
        <v>4113</v>
      </c>
      <c r="C772" t="s">
        <v>4114</v>
      </c>
      <c r="D772" t="s">
        <v>4115</v>
      </c>
      <c r="E772" t="s">
        <v>4116</v>
      </c>
      <c r="F772" s="7" t="str">
        <f>IFERROR(INDEX(测试!H:H,MATCH(E772,测试!A:A,0)),1)</f>
        <v>-</v>
      </c>
    </row>
    <row r="773" spans="1:6" hidden="1" x14ac:dyDescent="0.3">
      <c r="A773" t="s">
        <v>4167</v>
      </c>
      <c r="B773" t="s">
        <v>4143</v>
      </c>
      <c r="C773" t="s">
        <v>4144</v>
      </c>
      <c r="D773" t="s">
        <v>4145</v>
      </c>
      <c r="E773" t="s">
        <v>4146</v>
      </c>
      <c r="F773" s="7" t="str">
        <f>IFERROR(INDEX(测试!H:H,MATCH(E773,测试!A:A,0)),1)</f>
        <v>-</v>
      </c>
    </row>
    <row r="774" spans="1:6" hidden="1" x14ac:dyDescent="0.3">
      <c r="A774" t="s">
        <v>4167</v>
      </c>
      <c r="B774" t="s">
        <v>4147</v>
      </c>
      <c r="C774" t="s">
        <v>4148</v>
      </c>
      <c r="D774" t="s">
        <v>4149</v>
      </c>
      <c r="E774" t="s">
        <v>4150</v>
      </c>
      <c r="F774" s="7" t="str">
        <f>IFERROR(INDEX(测试!H:H,MATCH(E774,测试!A:A,0)),1)</f>
        <v>-</v>
      </c>
    </row>
    <row r="775" spans="1:6" hidden="1" x14ac:dyDescent="0.3">
      <c r="A775" t="s">
        <v>4167</v>
      </c>
      <c r="B775" t="s">
        <v>4151</v>
      </c>
      <c r="C775" t="s">
        <v>4152</v>
      </c>
      <c r="D775" t="s">
        <v>4153</v>
      </c>
      <c r="E775" t="s">
        <v>4154</v>
      </c>
      <c r="F775" s="7" t="str">
        <f>IFERROR(INDEX(测试!H:H,MATCH(E775,测试!A:A,0)),1)</f>
        <v>-</v>
      </c>
    </row>
    <row r="776" spans="1:6" hidden="1" x14ac:dyDescent="0.3">
      <c r="A776" t="s">
        <v>4167</v>
      </c>
      <c r="B776" t="s">
        <v>4155</v>
      </c>
      <c r="C776" t="s">
        <v>4156</v>
      </c>
      <c r="D776" t="s">
        <v>4157</v>
      </c>
      <c r="E776" t="s">
        <v>4158</v>
      </c>
      <c r="F776" s="7" t="str">
        <f>IFERROR(INDEX(测试!H:H,MATCH(E776,测试!A:A,0)),1)</f>
        <v>-</v>
      </c>
    </row>
    <row r="777" spans="1:6" hidden="1" x14ac:dyDescent="0.3">
      <c r="A777" t="s">
        <v>4167</v>
      </c>
      <c r="B777" t="s">
        <v>4159</v>
      </c>
      <c r="C777" t="s">
        <v>4160</v>
      </c>
      <c r="D777" t="s">
        <v>4161</v>
      </c>
      <c r="E777" t="s">
        <v>4162</v>
      </c>
      <c r="F777" s="7" t="str">
        <f>IFERROR(INDEX(测试!H:H,MATCH(E777,测试!A:A,0)),1)</f>
        <v>-</v>
      </c>
    </row>
    <row r="778" spans="1:6" hidden="1" x14ac:dyDescent="0.3">
      <c r="A778" t="s">
        <v>4167</v>
      </c>
      <c r="B778" t="s">
        <v>4163</v>
      </c>
      <c r="C778" t="s">
        <v>4164</v>
      </c>
      <c r="D778" t="s">
        <v>4165</v>
      </c>
      <c r="E778" t="s">
        <v>4166</v>
      </c>
      <c r="F778" s="7" t="str">
        <f>IFERROR(INDEX(测试!H:H,MATCH(E778,测试!A:A,0)),1)</f>
        <v>-</v>
      </c>
    </row>
    <row r="779" spans="1:6" x14ac:dyDescent="0.3">
      <c r="A779" t="s">
        <v>4167</v>
      </c>
      <c r="B779" t="s">
        <v>4444</v>
      </c>
      <c r="C779" t="s">
        <v>4445</v>
      </c>
      <c r="D779" t="s">
        <v>4617</v>
      </c>
      <c r="E779" t="s">
        <v>4618</v>
      </c>
      <c r="F779" s="7" t="str">
        <f>IFERROR(INDEX(测试!H:H,MATCH(E779,测试!A:A,0)),1)</f>
        <v>无此文件</v>
      </c>
    </row>
    <row r="780" spans="1:6" x14ac:dyDescent="0.3">
      <c r="A780" t="s">
        <v>4167</v>
      </c>
      <c r="B780" t="s">
        <v>4530</v>
      </c>
      <c r="C780" t="s">
        <v>4531</v>
      </c>
      <c r="D780" t="s">
        <v>4619</v>
      </c>
      <c r="E780" t="s">
        <v>4620</v>
      </c>
      <c r="F780" s="7" t="str">
        <f>IFERROR(INDEX(测试!H:H,MATCH(E780,测试!A:A,0)),1)</f>
        <v>无此文件</v>
      </c>
    </row>
    <row r="781" spans="1:6" x14ac:dyDescent="0.3">
      <c r="A781" t="s">
        <v>4167</v>
      </c>
      <c r="B781" t="s">
        <v>4534</v>
      </c>
      <c r="C781" t="s">
        <v>4535</v>
      </c>
      <c r="D781" t="s">
        <v>4621</v>
      </c>
      <c r="E781" t="s">
        <v>4622</v>
      </c>
      <c r="F781" s="7" t="str">
        <f>IFERROR(INDEX(测试!H:H,MATCH(E781,测试!A:A,0)),1)</f>
        <v>无此文件</v>
      </c>
    </row>
    <row r="782" spans="1:6" hidden="1" x14ac:dyDescent="0.3">
      <c r="A782" t="s">
        <v>3918</v>
      </c>
      <c r="B782" t="s">
        <v>3919</v>
      </c>
      <c r="C782" t="s">
        <v>3920</v>
      </c>
      <c r="D782" t="s">
        <v>3921</v>
      </c>
      <c r="E782" t="s">
        <v>3922</v>
      </c>
      <c r="F782" s="7" t="str">
        <f>IFERROR(INDEX(测试!H:H,MATCH(E782,测试!A:A,0)),1)</f>
        <v>-</v>
      </c>
    </row>
    <row r="783" spans="1:6" hidden="1" x14ac:dyDescent="0.3">
      <c r="A783" t="s">
        <v>3311</v>
      </c>
      <c r="B783" t="s">
        <v>3312</v>
      </c>
      <c r="C783" t="s">
        <v>3313</v>
      </c>
      <c r="D783" t="s">
        <v>3314</v>
      </c>
      <c r="E783" t="s">
        <v>3315</v>
      </c>
      <c r="F783" s="7" t="str">
        <f>IFERROR(INDEX(测试!H:H,MATCH(E783,测试!A:A,0)),1)</f>
        <v>-</v>
      </c>
    </row>
    <row r="784" spans="1:6" hidden="1" x14ac:dyDescent="0.3">
      <c r="A784" t="s">
        <v>3311</v>
      </c>
      <c r="B784" t="s">
        <v>3316</v>
      </c>
      <c r="C784" t="s">
        <v>3317</v>
      </c>
      <c r="D784" t="s">
        <v>3318</v>
      </c>
      <c r="E784" t="s">
        <v>3319</v>
      </c>
      <c r="F784" s="7" t="str">
        <f>IFERROR(INDEX(测试!H:H,MATCH(E784,测试!A:A,0)),1)</f>
        <v>-</v>
      </c>
    </row>
    <row r="785" spans="1:6" hidden="1" x14ac:dyDescent="0.3">
      <c r="A785" t="s">
        <v>3311</v>
      </c>
      <c r="B785" t="s">
        <v>4186</v>
      </c>
      <c r="C785" t="s">
        <v>4187</v>
      </c>
      <c r="D785" t="s">
        <v>4188</v>
      </c>
      <c r="E785" t="s">
        <v>4189</v>
      </c>
      <c r="F785" s="7" t="str">
        <f>IFERROR(INDEX(测试!H:H,MATCH(E785,测试!A:A,0)),1)</f>
        <v>-</v>
      </c>
    </row>
    <row r="786" spans="1:6" hidden="1" x14ac:dyDescent="0.3">
      <c r="A786" t="s">
        <v>3311</v>
      </c>
      <c r="B786" t="s">
        <v>4190</v>
      </c>
      <c r="C786" t="s">
        <v>4191</v>
      </c>
      <c r="D786" t="s">
        <v>4192</v>
      </c>
      <c r="E786" t="s">
        <v>4193</v>
      </c>
      <c r="F786" s="7" t="str">
        <f>IFERROR(INDEX(测试!H:H,MATCH(E786,测试!A:A,0)),1)</f>
        <v>-</v>
      </c>
    </row>
    <row r="787" spans="1:6" x14ac:dyDescent="0.3">
      <c r="A787" t="s">
        <v>4623</v>
      </c>
      <c r="B787" t="s">
        <v>4624</v>
      </c>
      <c r="C787" t="s">
        <v>4625</v>
      </c>
      <c r="D787" t="s">
        <v>4626</v>
      </c>
      <c r="E787" t="s">
        <v>4627</v>
      </c>
      <c r="F787" s="7" t="str">
        <f>IFERROR(INDEX(测试!H:H,MATCH(E787,测试!A:A,0)),1)</f>
        <v>无此文件</v>
      </c>
    </row>
    <row r="788" spans="1:6" x14ac:dyDescent="0.3">
      <c r="A788" t="s">
        <v>4623</v>
      </c>
      <c r="B788" t="s">
        <v>4628</v>
      </c>
      <c r="C788" t="s">
        <v>4629</v>
      </c>
      <c r="D788" t="s">
        <v>4630</v>
      </c>
      <c r="E788" t="s">
        <v>4631</v>
      </c>
      <c r="F788" s="7" t="str">
        <f>IFERROR(INDEX(测试!H:H,MATCH(E788,测试!A:A,0)),1)</f>
        <v>无此文件</v>
      </c>
    </row>
    <row r="789" spans="1:6" x14ac:dyDescent="0.3">
      <c r="A789" t="s">
        <v>4623</v>
      </c>
      <c r="B789" t="s">
        <v>4632</v>
      </c>
      <c r="C789" t="s">
        <v>4633</v>
      </c>
      <c r="D789" t="s">
        <v>4634</v>
      </c>
      <c r="E789" t="s">
        <v>4635</v>
      </c>
      <c r="F789" s="7" t="str">
        <f>IFERROR(INDEX(测试!H:H,MATCH(E789,测试!A:A,0)),1)</f>
        <v>无此文件</v>
      </c>
    </row>
    <row r="790" spans="1:6" hidden="1" x14ac:dyDescent="0.3">
      <c r="A790" t="s">
        <v>4141</v>
      </c>
      <c r="B790" t="s">
        <v>4129</v>
      </c>
      <c r="C790" t="s">
        <v>4130</v>
      </c>
      <c r="D790" t="s">
        <v>4131</v>
      </c>
      <c r="E790" t="s">
        <v>4132</v>
      </c>
      <c r="F790" s="7" t="str">
        <f>IFERROR(INDEX(测试!H:H,MATCH(E790,测试!A:A,0)),1)</f>
        <v>-</v>
      </c>
    </row>
    <row r="791" spans="1:6" hidden="1" x14ac:dyDescent="0.3">
      <c r="A791" t="s">
        <v>4141</v>
      </c>
      <c r="B791" t="s">
        <v>4133</v>
      </c>
      <c r="C791" t="s">
        <v>4134</v>
      </c>
      <c r="D791" t="s">
        <v>4135</v>
      </c>
      <c r="E791" t="s">
        <v>4136</v>
      </c>
      <c r="F791" s="7" t="str">
        <f>IFERROR(INDEX(测试!H:H,MATCH(E791,测试!A:A,0)),1)</f>
        <v>-</v>
      </c>
    </row>
    <row r="792" spans="1:6" hidden="1" x14ac:dyDescent="0.3">
      <c r="A792" t="s">
        <v>4141</v>
      </c>
      <c r="B792" t="s">
        <v>4137</v>
      </c>
      <c r="C792" t="s">
        <v>4138</v>
      </c>
      <c r="D792" t="s">
        <v>4139</v>
      </c>
      <c r="E792" t="s">
        <v>4140</v>
      </c>
      <c r="F792" s="7" t="str">
        <f>IFERROR(INDEX(测试!H:H,MATCH(E792,测试!A:A,0)),1)</f>
        <v>-</v>
      </c>
    </row>
    <row r="793" spans="1:6" hidden="1" x14ac:dyDescent="0.3">
      <c r="A793" t="s">
        <v>4141</v>
      </c>
      <c r="B793" t="s">
        <v>4448</v>
      </c>
      <c r="C793" t="s">
        <v>4449</v>
      </c>
      <c r="D793" t="s">
        <v>4450</v>
      </c>
      <c r="E793" t="s">
        <v>4451</v>
      </c>
      <c r="F793" s="7" t="str">
        <f>IFERROR(INDEX(测试!H:H,MATCH(E793,测试!A:A,0)),1)</f>
        <v>-</v>
      </c>
    </row>
    <row r="794" spans="1:6" hidden="1" x14ac:dyDescent="0.3">
      <c r="A794" t="s">
        <v>4141</v>
      </c>
      <c r="B794" t="s">
        <v>4452</v>
      </c>
      <c r="C794" t="s">
        <v>4453</v>
      </c>
      <c r="D794" t="s">
        <v>4454</v>
      </c>
      <c r="E794" t="s">
        <v>4455</v>
      </c>
      <c r="F794" s="7" t="str">
        <f>IFERROR(INDEX(测试!H:H,MATCH(E794,测试!A:A,0)),1)</f>
        <v>-</v>
      </c>
    </row>
    <row r="795" spans="1:6" hidden="1" x14ac:dyDescent="0.3">
      <c r="A795" t="s">
        <v>4141</v>
      </c>
      <c r="B795" t="s">
        <v>4456</v>
      </c>
      <c r="C795" t="s">
        <v>4457</v>
      </c>
      <c r="D795" t="s">
        <v>4458</v>
      </c>
      <c r="E795" t="s">
        <v>4459</v>
      </c>
      <c r="F795" s="7" t="str">
        <f>IFERROR(INDEX(测试!H:H,MATCH(E795,测试!A:A,0)),1)</f>
        <v>-</v>
      </c>
    </row>
    <row r="796" spans="1:6" hidden="1" x14ac:dyDescent="0.3">
      <c r="A796" t="s">
        <v>2954</v>
      </c>
      <c r="B796" t="s">
        <v>820</v>
      </c>
      <c r="C796" t="s">
        <v>821</v>
      </c>
      <c r="D796" t="s">
        <v>3305</v>
      </c>
      <c r="E796" t="s">
        <v>823</v>
      </c>
      <c r="F796" s="7" t="str">
        <f>IFERROR(INDEX(测试!H:H,MATCH(E796,测试!A:A,0)),1)</f>
        <v>-</v>
      </c>
    </row>
    <row r="797" spans="1:6" hidden="1" x14ac:dyDescent="0.3">
      <c r="A797" t="s">
        <v>2954</v>
      </c>
      <c r="B797" t="s">
        <v>824</v>
      </c>
      <c r="C797" t="s">
        <v>825</v>
      </c>
      <c r="D797" t="s">
        <v>3306</v>
      </c>
      <c r="E797" t="s">
        <v>827</v>
      </c>
      <c r="F797" s="7" t="str">
        <f>IFERROR(INDEX(测试!H:H,MATCH(E797,测试!A:A,0)),1)</f>
        <v>-</v>
      </c>
    </row>
    <row r="798" spans="1:6" hidden="1" x14ac:dyDescent="0.3">
      <c r="A798" t="s">
        <v>2954</v>
      </c>
      <c r="B798" t="s">
        <v>4460</v>
      </c>
      <c r="C798" t="s">
        <v>829</v>
      </c>
      <c r="D798" t="s">
        <v>3307</v>
      </c>
      <c r="E798" t="s">
        <v>831</v>
      </c>
      <c r="F798" s="7" t="str">
        <f>IFERROR(INDEX(测试!H:H,MATCH(E798,测试!A:A,0)),1)</f>
        <v>文件名错误</v>
      </c>
    </row>
    <row r="799" spans="1:6" hidden="1" x14ac:dyDescent="0.3">
      <c r="A799" t="s">
        <v>2954</v>
      </c>
      <c r="B799" t="s">
        <v>832</v>
      </c>
      <c r="C799" t="s">
        <v>833</v>
      </c>
      <c r="D799" t="s">
        <v>3308</v>
      </c>
      <c r="E799" t="s">
        <v>835</v>
      </c>
      <c r="F799" s="7" t="str">
        <f>IFERROR(INDEX(测试!H:H,MATCH(E799,测试!A:A,0)),1)</f>
        <v>-</v>
      </c>
    </row>
    <row r="800" spans="1:6" hidden="1" x14ac:dyDescent="0.3">
      <c r="A800" t="s">
        <v>2954</v>
      </c>
      <c r="B800" t="s">
        <v>836</v>
      </c>
      <c r="C800" t="s">
        <v>837</v>
      </c>
      <c r="D800" t="s">
        <v>3309</v>
      </c>
      <c r="E800" t="s">
        <v>839</v>
      </c>
      <c r="F800" s="7" t="str">
        <f>IFERROR(INDEX(测试!H:H,MATCH(E800,测试!A:A,0)),1)</f>
        <v>-</v>
      </c>
    </row>
    <row r="801" spans="1:6" hidden="1" x14ac:dyDescent="0.3">
      <c r="A801" t="s">
        <v>2954</v>
      </c>
      <c r="B801" t="s">
        <v>840</v>
      </c>
      <c r="C801" t="s">
        <v>841</v>
      </c>
      <c r="D801" t="s">
        <v>3310</v>
      </c>
      <c r="E801" t="s">
        <v>843</v>
      </c>
      <c r="F801" s="7" t="str">
        <f>IFERROR(INDEX(测试!H:H,MATCH(E801,测试!A:A,0)),1)</f>
        <v>-</v>
      </c>
    </row>
    <row r="802" spans="1:6" hidden="1" x14ac:dyDescent="0.3">
      <c r="A802" t="s">
        <v>2954</v>
      </c>
      <c r="B802" t="s">
        <v>4169</v>
      </c>
      <c r="C802" t="s">
        <v>4170</v>
      </c>
      <c r="D802" t="s">
        <v>4171</v>
      </c>
      <c r="E802" t="s">
        <v>4172</v>
      </c>
      <c r="F802" s="7" t="str">
        <f>IFERROR(INDEX(测试!H:H,MATCH(E802,测试!A:A,0)),1)</f>
        <v>-</v>
      </c>
    </row>
    <row r="803" spans="1:6" hidden="1" x14ac:dyDescent="0.3">
      <c r="A803" t="s">
        <v>2954</v>
      </c>
      <c r="B803" t="s">
        <v>4173</v>
      </c>
      <c r="C803" t="s">
        <v>4174</v>
      </c>
      <c r="D803" t="s">
        <v>4175</v>
      </c>
      <c r="E803" t="s">
        <v>4176</v>
      </c>
      <c r="F803" s="7" t="str">
        <f>IFERROR(INDEX(测试!H:H,MATCH(E803,测试!A:A,0)),1)</f>
        <v>-</v>
      </c>
    </row>
    <row r="804" spans="1:6" hidden="1" x14ac:dyDescent="0.3">
      <c r="A804" t="s">
        <v>2954</v>
      </c>
      <c r="B804" t="s">
        <v>4177</v>
      </c>
      <c r="C804" t="s">
        <v>4178</v>
      </c>
      <c r="D804" t="s">
        <v>4179</v>
      </c>
      <c r="E804" t="s">
        <v>4180</v>
      </c>
      <c r="F804" s="7" t="str">
        <f>IFERROR(INDEX(测试!H:H,MATCH(E804,测试!A:A,0)),1)</f>
        <v>-</v>
      </c>
    </row>
    <row r="805" spans="1:6" hidden="1" x14ac:dyDescent="0.3">
      <c r="A805" t="s">
        <v>2953</v>
      </c>
      <c r="B805" t="s">
        <v>816</v>
      </c>
      <c r="C805" t="s">
        <v>817</v>
      </c>
      <c r="D805" t="s">
        <v>3304</v>
      </c>
      <c r="E805" t="s">
        <v>819</v>
      </c>
      <c r="F805" s="7" t="str">
        <f>IFERROR(INDEX(测试!H:H,MATCH(E805,测试!A:A,0)),1)</f>
        <v>-</v>
      </c>
    </row>
    <row r="806" spans="1:6" hidden="1" x14ac:dyDescent="0.3">
      <c r="A806" t="s">
        <v>2952</v>
      </c>
      <c r="B806" t="s">
        <v>812</v>
      </c>
      <c r="C806" t="s">
        <v>813</v>
      </c>
      <c r="D806" t="s">
        <v>3303</v>
      </c>
      <c r="E806" t="s">
        <v>815</v>
      </c>
      <c r="F806" s="7" t="str">
        <f>IFERROR(INDEX(测试!H:H,MATCH(E806,测试!A:A,0)),1)</f>
        <v>-</v>
      </c>
    </row>
    <row r="807" spans="1:6" hidden="1" x14ac:dyDescent="0.3">
      <c r="A807" t="s">
        <v>2951</v>
      </c>
      <c r="B807" t="s">
        <v>810</v>
      </c>
      <c r="C807" t="s">
        <v>0</v>
      </c>
      <c r="D807" t="s">
        <v>3302</v>
      </c>
      <c r="E807" t="s">
        <v>811</v>
      </c>
      <c r="F807" s="7" t="str">
        <f>IFERROR(INDEX(测试!H:H,MATCH(E807,测试!A:A,0)),1)</f>
        <v>-</v>
      </c>
    </row>
    <row r="808" spans="1:6" hidden="1" x14ac:dyDescent="0.3">
      <c r="A808" t="s">
        <v>2951</v>
      </c>
      <c r="B808" t="s">
        <v>4051</v>
      </c>
      <c r="C808" t="s">
        <v>4052</v>
      </c>
      <c r="D808" t="s">
        <v>4053</v>
      </c>
      <c r="E808" t="s">
        <v>4054</v>
      </c>
      <c r="F808" s="7" t="str">
        <f>IFERROR(INDEX(测试!H:H,MATCH(E808,测试!A:A,0)),1)</f>
        <v>-</v>
      </c>
    </row>
    <row r="809" spans="1:6" hidden="1" x14ac:dyDescent="0.3">
      <c r="A809" t="s">
        <v>2951</v>
      </c>
      <c r="B809" t="s">
        <v>4055</v>
      </c>
      <c r="C809" t="s">
        <v>4056</v>
      </c>
      <c r="D809" t="s">
        <v>4057</v>
      </c>
      <c r="E809" t="s">
        <v>4058</v>
      </c>
      <c r="F809" s="7" t="str">
        <f>IFERROR(INDEX(测试!H:H,MATCH(E809,测试!A:A,0)),1)</f>
        <v>-</v>
      </c>
    </row>
    <row r="810" spans="1:6" hidden="1" x14ac:dyDescent="0.3">
      <c r="A810" t="s">
        <v>2951</v>
      </c>
      <c r="B810" t="s">
        <v>4059</v>
      </c>
      <c r="C810" t="s">
        <v>4060</v>
      </c>
      <c r="D810" t="s">
        <v>4061</v>
      </c>
      <c r="E810" t="s">
        <v>4062</v>
      </c>
      <c r="F810" s="7" t="str">
        <f>IFERROR(INDEX(测试!H:H,MATCH(E810,测试!A:A,0)),1)</f>
        <v>-</v>
      </c>
    </row>
    <row r="811" spans="1:6" hidden="1" x14ac:dyDescent="0.3">
      <c r="A811" t="s">
        <v>2951</v>
      </c>
      <c r="B811" t="s">
        <v>4063</v>
      </c>
      <c r="C811" t="s">
        <v>4064</v>
      </c>
      <c r="D811" t="s">
        <v>4065</v>
      </c>
      <c r="E811" t="s">
        <v>4066</v>
      </c>
      <c r="F811" s="7" t="str">
        <f>IFERROR(INDEX(测试!H:H,MATCH(E811,测试!A:A,0)),1)</f>
        <v>-</v>
      </c>
    </row>
    <row r="812" spans="1:6" hidden="1" x14ac:dyDescent="0.3">
      <c r="A812" t="s">
        <v>2950</v>
      </c>
      <c r="B812" t="s">
        <v>797</v>
      </c>
      <c r="C812" t="s">
        <v>798</v>
      </c>
      <c r="D812" t="s">
        <v>3298</v>
      </c>
      <c r="E812" t="s">
        <v>800</v>
      </c>
      <c r="F812" s="7" t="str">
        <f>IFERROR(INDEX(测试!H:H,MATCH(E812,测试!A:A,0)),1)</f>
        <v>-</v>
      </c>
    </row>
    <row r="813" spans="1:6" hidden="1" x14ac:dyDescent="0.3">
      <c r="A813" t="s">
        <v>2950</v>
      </c>
      <c r="B813" t="s">
        <v>801</v>
      </c>
      <c r="C813" t="s">
        <v>802</v>
      </c>
      <c r="D813" t="s">
        <v>3299</v>
      </c>
      <c r="E813" t="s">
        <v>3091</v>
      </c>
      <c r="F813" s="7" t="str">
        <f>IFERROR(INDEX(测试!H:H,MATCH(E813,测试!A:A,0)),1)</f>
        <v>-</v>
      </c>
    </row>
    <row r="814" spans="1:6" hidden="1" x14ac:dyDescent="0.3">
      <c r="A814" t="s">
        <v>2950</v>
      </c>
      <c r="B814" t="s">
        <v>804</v>
      </c>
      <c r="C814" t="s">
        <v>798</v>
      </c>
      <c r="D814" t="s">
        <v>3300</v>
      </c>
      <c r="E814" t="s">
        <v>806</v>
      </c>
      <c r="F814" s="7" t="str">
        <f>IFERROR(INDEX(测试!H:H,MATCH(E814,测试!A:A,0)),1)</f>
        <v>-</v>
      </c>
    </row>
    <row r="815" spans="1:6" hidden="1" x14ac:dyDescent="0.3">
      <c r="A815" t="s">
        <v>2950</v>
      </c>
      <c r="B815" t="s">
        <v>807</v>
      </c>
      <c r="C815" t="s">
        <v>802</v>
      </c>
      <c r="D815" t="s">
        <v>3301</v>
      </c>
      <c r="E815" t="s">
        <v>809</v>
      </c>
      <c r="F815" s="7" t="str">
        <f>IFERROR(INDEX(测试!H:H,MATCH(E815,测试!A:A,0)),1)</f>
        <v>-</v>
      </c>
    </row>
    <row r="816" spans="1:6" hidden="1" x14ac:dyDescent="0.3">
      <c r="A816" t="s">
        <v>2949</v>
      </c>
      <c r="B816" t="s">
        <v>4461</v>
      </c>
      <c r="C816" t="s">
        <v>756</v>
      </c>
      <c r="D816" t="s">
        <v>3287</v>
      </c>
      <c r="E816" t="s">
        <v>758</v>
      </c>
      <c r="F816" s="7" t="str">
        <f>IFERROR(INDEX(测试!H:H,MATCH(E816,测试!A:A,0)),1)</f>
        <v>文件名错误</v>
      </c>
    </row>
    <row r="817" spans="1:6" hidden="1" x14ac:dyDescent="0.3">
      <c r="A817" t="s">
        <v>2949</v>
      </c>
      <c r="B817" t="s">
        <v>4462</v>
      </c>
      <c r="C817" t="s">
        <v>760</v>
      </c>
      <c r="D817" t="s">
        <v>3288</v>
      </c>
      <c r="E817" t="s">
        <v>762</v>
      </c>
      <c r="F817" s="7" t="str">
        <f>IFERROR(INDEX(测试!H:H,MATCH(E817,测试!A:A,0)),1)</f>
        <v>文件名错误</v>
      </c>
    </row>
    <row r="818" spans="1:6" hidden="1" x14ac:dyDescent="0.3">
      <c r="A818" t="s">
        <v>2949</v>
      </c>
      <c r="B818" t="s">
        <v>4463</v>
      </c>
      <c r="C818" t="s">
        <v>764</v>
      </c>
      <c r="D818" t="s">
        <v>3289</v>
      </c>
      <c r="E818" t="s">
        <v>766</v>
      </c>
      <c r="F818" s="7" t="str">
        <f>IFERROR(INDEX(测试!H:H,MATCH(E818,测试!A:A,0)),1)</f>
        <v>文件名错误</v>
      </c>
    </row>
    <row r="819" spans="1:6" hidden="1" x14ac:dyDescent="0.3">
      <c r="A819" t="s">
        <v>2949</v>
      </c>
      <c r="B819" t="s">
        <v>4464</v>
      </c>
      <c r="C819" t="s">
        <v>768</v>
      </c>
      <c r="D819" t="s">
        <v>3290</v>
      </c>
      <c r="E819" t="s">
        <v>3092</v>
      </c>
      <c r="F819" s="7" t="str">
        <f>IFERROR(INDEX(测试!H:H,MATCH(E819,测试!A:A,0)),1)</f>
        <v>文件名错误</v>
      </c>
    </row>
    <row r="820" spans="1:6" hidden="1" x14ac:dyDescent="0.3">
      <c r="A820" t="s">
        <v>2949</v>
      </c>
      <c r="B820" t="s">
        <v>4465</v>
      </c>
      <c r="C820" t="s">
        <v>771</v>
      </c>
      <c r="D820" t="s">
        <v>3291</v>
      </c>
      <c r="E820" t="s">
        <v>773</v>
      </c>
      <c r="F820" s="7" t="str">
        <f>IFERROR(INDEX(测试!H:H,MATCH(E820,测试!A:A,0)),1)</f>
        <v>文件名错误</v>
      </c>
    </row>
    <row r="821" spans="1:6" hidden="1" x14ac:dyDescent="0.3">
      <c r="A821" t="s">
        <v>2949</v>
      </c>
      <c r="B821" t="s">
        <v>4466</v>
      </c>
      <c r="C821" t="s">
        <v>775</v>
      </c>
      <c r="D821" t="s">
        <v>3292</v>
      </c>
      <c r="E821" t="s">
        <v>777</v>
      </c>
      <c r="F821" s="7" t="str">
        <f>IFERROR(INDEX(测试!H:H,MATCH(E821,测试!A:A,0)),1)</f>
        <v>文件名错误</v>
      </c>
    </row>
    <row r="822" spans="1:6" hidden="1" x14ac:dyDescent="0.3">
      <c r="A822" t="s">
        <v>2949</v>
      </c>
      <c r="B822" t="s">
        <v>4467</v>
      </c>
      <c r="C822" t="s">
        <v>779</v>
      </c>
      <c r="D822" t="s">
        <v>3293</v>
      </c>
      <c r="E822" t="s">
        <v>781</v>
      </c>
      <c r="F822" s="7" t="str">
        <f>IFERROR(INDEX(测试!H:H,MATCH(E822,测试!A:A,0)),1)</f>
        <v>文件名错误</v>
      </c>
    </row>
    <row r="823" spans="1:6" hidden="1" x14ac:dyDescent="0.3">
      <c r="A823" t="s">
        <v>2949</v>
      </c>
      <c r="B823" t="s">
        <v>4468</v>
      </c>
      <c r="C823" t="s">
        <v>783</v>
      </c>
      <c r="D823" t="s">
        <v>3294</v>
      </c>
      <c r="E823" t="s">
        <v>785</v>
      </c>
      <c r="F823" s="7" t="str">
        <f>IFERROR(INDEX(测试!H:H,MATCH(E823,测试!A:A,0)),1)</f>
        <v>文件名错误</v>
      </c>
    </row>
    <row r="824" spans="1:6" hidden="1" x14ac:dyDescent="0.3">
      <c r="A824" t="s">
        <v>2949</v>
      </c>
      <c r="B824" t="s">
        <v>4469</v>
      </c>
      <c r="C824" t="s">
        <v>787</v>
      </c>
      <c r="D824" t="s">
        <v>3295</v>
      </c>
      <c r="E824" t="s">
        <v>3093</v>
      </c>
      <c r="F824" s="7" t="str">
        <f>IFERROR(INDEX(测试!H:H,MATCH(E824,测试!A:A,0)),1)</f>
        <v>文件名错误</v>
      </c>
    </row>
    <row r="825" spans="1:6" hidden="1" x14ac:dyDescent="0.3">
      <c r="A825" t="s">
        <v>2949</v>
      </c>
      <c r="B825" t="s">
        <v>4470</v>
      </c>
      <c r="C825" t="s">
        <v>790</v>
      </c>
      <c r="D825" t="s">
        <v>3296</v>
      </c>
      <c r="E825" t="s">
        <v>792</v>
      </c>
      <c r="F825" s="7" t="str">
        <f>IFERROR(INDEX(测试!H:H,MATCH(E825,测试!A:A,0)),1)</f>
        <v>文件名错误</v>
      </c>
    </row>
    <row r="826" spans="1:6" hidden="1" x14ac:dyDescent="0.3">
      <c r="A826" t="s">
        <v>2949</v>
      </c>
      <c r="B826" t="s">
        <v>4471</v>
      </c>
      <c r="C826" t="s">
        <v>794</v>
      </c>
      <c r="D826" t="s">
        <v>3297</v>
      </c>
      <c r="E826" t="s">
        <v>796</v>
      </c>
      <c r="F826" s="7" t="str">
        <f>IFERROR(INDEX(测试!H:H,MATCH(E826,测试!A:A,0)),1)</f>
        <v>文件名错误</v>
      </c>
    </row>
    <row r="827" spans="1:6" hidden="1" x14ac:dyDescent="0.3">
      <c r="A827" t="s">
        <v>2949</v>
      </c>
      <c r="B827" t="s">
        <v>4472</v>
      </c>
      <c r="C827" t="s">
        <v>3902</v>
      </c>
      <c r="D827" t="s">
        <v>3903</v>
      </c>
      <c r="E827" t="s">
        <v>3904</v>
      </c>
      <c r="F827" s="7" t="str">
        <f>IFERROR(INDEX(测试!H:H,MATCH(E827,测试!A:A,0)),1)</f>
        <v>文件名错误</v>
      </c>
    </row>
    <row r="828" spans="1:6" hidden="1" x14ac:dyDescent="0.3">
      <c r="A828" t="s">
        <v>2949</v>
      </c>
      <c r="B828" t="s">
        <v>4473</v>
      </c>
      <c r="C828" t="s">
        <v>3906</v>
      </c>
      <c r="D828" t="s">
        <v>3907</v>
      </c>
      <c r="E828" t="s">
        <v>3908</v>
      </c>
      <c r="F828" s="7" t="str">
        <f>IFERROR(INDEX(测试!H:H,MATCH(E828,测试!A:A,0)),1)</f>
        <v>文件名错误</v>
      </c>
    </row>
    <row r="829" spans="1:6" hidden="1" x14ac:dyDescent="0.3">
      <c r="A829" t="s">
        <v>2949</v>
      </c>
      <c r="B829" t="s">
        <v>4474</v>
      </c>
      <c r="C829" t="s">
        <v>3945</v>
      </c>
      <c r="D829" t="s">
        <v>3946</v>
      </c>
      <c r="E829" t="s">
        <v>3947</v>
      </c>
      <c r="F829" s="7" t="str">
        <f>IFERROR(INDEX(测试!H:H,MATCH(E829,测试!A:A,0)),1)</f>
        <v>文件名错误</v>
      </c>
    </row>
    <row r="830" spans="1:6" hidden="1" x14ac:dyDescent="0.3">
      <c r="A830" t="s">
        <v>2949</v>
      </c>
      <c r="B830" t="s">
        <v>4475</v>
      </c>
      <c r="C830" t="s">
        <v>3948</v>
      </c>
      <c r="D830" t="s">
        <v>3949</v>
      </c>
      <c r="E830" t="s">
        <v>3950</v>
      </c>
      <c r="F830" s="7" t="str">
        <f>IFERROR(INDEX(测试!H:H,MATCH(E830,测试!A:A,0)),1)</f>
        <v>文件名错误</v>
      </c>
    </row>
    <row r="831" spans="1:6" hidden="1" x14ac:dyDescent="0.3">
      <c r="A831" t="s">
        <v>2949</v>
      </c>
      <c r="B831" t="s">
        <v>4476</v>
      </c>
      <c r="C831" t="s">
        <v>3951</v>
      </c>
      <c r="D831" t="s">
        <v>3952</v>
      </c>
      <c r="E831" t="s">
        <v>3953</v>
      </c>
      <c r="F831" s="7" t="str">
        <f>IFERROR(INDEX(测试!H:H,MATCH(E831,测试!A:A,0)),1)</f>
        <v>文件名错误</v>
      </c>
    </row>
    <row r="832" spans="1:6" hidden="1" x14ac:dyDescent="0.3">
      <c r="A832" t="s">
        <v>2949</v>
      </c>
      <c r="B832" t="s">
        <v>4477</v>
      </c>
      <c r="C832" t="s">
        <v>4478</v>
      </c>
      <c r="D832" t="s">
        <v>4479</v>
      </c>
      <c r="E832" t="s">
        <v>4480</v>
      </c>
      <c r="F832" s="7" t="str">
        <f>IFERROR(INDEX(测试!H:H,MATCH(E832,测试!A:A,0)),1)</f>
        <v>-</v>
      </c>
    </row>
    <row r="833" spans="1:6" hidden="1" x14ac:dyDescent="0.3">
      <c r="A833" t="s">
        <v>2949</v>
      </c>
      <c r="B833" t="s">
        <v>4481</v>
      </c>
      <c r="C833" t="s">
        <v>4482</v>
      </c>
      <c r="D833" t="s">
        <v>4483</v>
      </c>
      <c r="E833" t="s">
        <v>4484</v>
      </c>
      <c r="F833" s="7" t="str">
        <f>IFERROR(INDEX(测试!H:H,MATCH(E833,测试!A:A,0)),1)</f>
        <v>-</v>
      </c>
    </row>
    <row r="834" spans="1:6" hidden="1" x14ac:dyDescent="0.3">
      <c r="A834" t="s">
        <v>2949</v>
      </c>
      <c r="B834" t="s">
        <v>4485</v>
      </c>
      <c r="C834" t="s">
        <v>4486</v>
      </c>
      <c r="D834" t="s">
        <v>4487</v>
      </c>
      <c r="E834" t="s">
        <v>4488</v>
      </c>
      <c r="F834" s="7" t="str">
        <f>IFERROR(INDEX(测试!H:H,MATCH(E834,测试!A:A,0)),1)</f>
        <v>-</v>
      </c>
    </row>
    <row r="835" spans="1:6" hidden="1" x14ac:dyDescent="0.3">
      <c r="A835" t="s">
        <v>2949</v>
      </c>
      <c r="B835" t="s">
        <v>4538</v>
      </c>
      <c r="C835" t="s">
        <v>4539</v>
      </c>
      <c r="D835" t="s">
        <v>4540</v>
      </c>
      <c r="E835" t="s">
        <v>4541</v>
      </c>
      <c r="F835" s="7" t="str">
        <f>IFERROR(INDEX(测试!H:H,MATCH(E835,测试!A:A,0)),1)</f>
        <v>-</v>
      </c>
    </row>
    <row r="836" spans="1:6" hidden="1" x14ac:dyDescent="0.3">
      <c r="A836" t="s">
        <v>2949</v>
      </c>
      <c r="B836" t="s">
        <v>4542</v>
      </c>
      <c r="C836" t="s">
        <v>4543</v>
      </c>
      <c r="D836" t="s">
        <v>4544</v>
      </c>
      <c r="E836" t="s">
        <v>4545</v>
      </c>
      <c r="F836" s="7" t="str">
        <f>IFERROR(INDEX(测试!H:H,MATCH(E836,测试!A:A,0)),1)</f>
        <v>-</v>
      </c>
    </row>
    <row r="837" spans="1:6" hidden="1" x14ac:dyDescent="0.3">
      <c r="A837" t="s">
        <v>2949</v>
      </c>
      <c r="B837" t="s">
        <v>4546</v>
      </c>
      <c r="C837" t="s">
        <v>4547</v>
      </c>
      <c r="D837" t="s">
        <v>4548</v>
      </c>
      <c r="E837" t="s">
        <v>4549</v>
      </c>
      <c r="F837" s="7" t="str">
        <f>IFERROR(INDEX(测试!H:H,MATCH(E837,测试!A:A,0)),1)</f>
        <v>-</v>
      </c>
    </row>
    <row r="838" spans="1:6" hidden="1" x14ac:dyDescent="0.3">
      <c r="A838" t="s">
        <v>2949</v>
      </c>
      <c r="B838" t="s">
        <v>4550</v>
      </c>
      <c r="C838" t="s">
        <v>4551</v>
      </c>
      <c r="D838" t="s">
        <v>4552</v>
      </c>
      <c r="E838" t="s">
        <v>4553</v>
      </c>
      <c r="F838" s="7" t="str">
        <f>IFERROR(INDEX(测试!H:H,MATCH(E838,测试!A:A,0)),1)</f>
        <v>-</v>
      </c>
    </row>
    <row r="839" spans="1:6" hidden="1" x14ac:dyDescent="0.3">
      <c r="A839" t="s">
        <v>2949</v>
      </c>
      <c r="B839" t="s">
        <v>4554</v>
      </c>
      <c r="C839" t="s">
        <v>4555</v>
      </c>
      <c r="D839" t="s">
        <v>4556</v>
      </c>
      <c r="E839" t="s">
        <v>4557</v>
      </c>
      <c r="F839" s="7" t="str">
        <f>IFERROR(INDEX(测试!H:H,MATCH(E839,测试!A:A,0)),1)</f>
        <v>-</v>
      </c>
    </row>
    <row r="840" spans="1:6" hidden="1" x14ac:dyDescent="0.3">
      <c r="A840" t="s">
        <v>2949</v>
      </c>
      <c r="B840" t="s">
        <v>4558</v>
      </c>
      <c r="C840" t="s">
        <v>4559</v>
      </c>
      <c r="D840" t="s">
        <v>4560</v>
      </c>
      <c r="E840" t="s">
        <v>4561</v>
      </c>
      <c r="F840" s="7" t="str">
        <f>IFERROR(INDEX(测试!H:H,MATCH(E840,测试!A:A,0)),1)</f>
        <v>-</v>
      </c>
    </row>
    <row r="841" spans="1:6" hidden="1" x14ac:dyDescent="0.3">
      <c r="A841" t="s">
        <v>2949</v>
      </c>
      <c r="B841" t="s">
        <v>4562</v>
      </c>
      <c r="C841" t="s">
        <v>4563</v>
      </c>
      <c r="D841" t="s">
        <v>4564</v>
      </c>
      <c r="E841" t="s">
        <v>4565</v>
      </c>
      <c r="F841" s="7" t="str">
        <f>IFERROR(INDEX(测试!H:H,MATCH(E841,测试!A:A,0)),1)</f>
        <v>-</v>
      </c>
    </row>
    <row r="842" spans="1:6" x14ac:dyDescent="0.3">
      <c r="A842" t="s">
        <v>4636</v>
      </c>
      <c r="B842" t="s">
        <v>4637</v>
      </c>
      <c r="C842" t="s">
        <v>4638</v>
      </c>
      <c r="D842" t="s">
        <v>4639</v>
      </c>
      <c r="E842" t="s">
        <v>4640</v>
      </c>
      <c r="F842" s="7" t="str">
        <f>IFERROR(INDEX(测试!H:H,MATCH(E842,测试!A:A,0)),1)</f>
        <v>无此文件</v>
      </c>
    </row>
    <row r="843" spans="1:6" x14ac:dyDescent="0.3">
      <c r="A843" t="s">
        <v>4636</v>
      </c>
      <c r="B843" t="s">
        <v>4641</v>
      </c>
      <c r="C843" t="s">
        <v>4642</v>
      </c>
      <c r="D843" t="s">
        <v>4643</v>
      </c>
      <c r="E843" t="s">
        <v>4644</v>
      </c>
      <c r="F843" s="7" t="str">
        <f>IFERROR(INDEX(测试!H:H,MATCH(E843,测试!A:A,0)),1)</f>
        <v>无此文件</v>
      </c>
    </row>
    <row r="844" spans="1:6" x14ac:dyDescent="0.3">
      <c r="A844" t="s">
        <v>4636</v>
      </c>
      <c r="B844" t="s">
        <v>4645</v>
      </c>
      <c r="C844" t="s">
        <v>4646</v>
      </c>
      <c r="D844" t="s">
        <v>4647</v>
      </c>
      <c r="E844" t="s">
        <v>4648</v>
      </c>
      <c r="F844" s="7" t="str">
        <f>IFERROR(INDEX(测试!H:H,MATCH(E844,测试!A:A,0)),1)</f>
        <v>无此文件</v>
      </c>
    </row>
    <row r="845" spans="1:6" x14ac:dyDescent="0.3">
      <c r="A845" t="s">
        <v>4636</v>
      </c>
      <c r="B845" t="s">
        <v>4649</v>
      </c>
      <c r="C845" t="s">
        <v>4650</v>
      </c>
      <c r="D845" t="s">
        <v>4651</v>
      </c>
      <c r="E845" t="s">
        <v>4652</v>
      </c>
      <c r="F845" s="7" t="str">
        <f>IFERROR(INDEX(测试!H:H,MATCH(E845,测试!A:A,0)),1)</f>
        <v>无此文件</v>
      </c>
    </row>
    <row r="846" spans="1:6" x14ac:dyDescent="0.3">
      <c r="A846" t="s">
        <v>4636</v>
      </c>
      <c r="B846" t="s">
        <v>4653</v>
      </c>
      <c r="C846" t="s">
        <v>4654</v>
      </c>
      <c r="D846" t="s">
        <v>4655</v>
      </c>
      <c r="E846" t="s">
        <v>4656</v>
      </c>
      <c r="F846" s="7" t="str">
        <f>IFERROR(INDEX(测试!H:H,MATCH(E846,测试!A:A,0)),1)</f>
        <v>无此文件</v>
      </c>
    </row>
    <row r="847" spans="1:6" x14ac:dyDescent="0.3">
      <c r="A847" t="s">
        <v>4636</v>
      </c>
      <c r="B847" t="s">
        <v>4657</v>
      </c>
      <c r="C847" t="s">
        <v>4658</v>
      </c>
      <c r="D847" t="s">
        <v>4659</v>
      </c>
      <c r="E847" t="s">
        <v>4660</v>
      </c>
      <c r="F847" s="7" t="str">
        <f>IFERROR(INDEX(测试!H:H,MATCH(E847,测试!A:A,0)),1)</f>
        <v>无此文件</v>
      </c>
    </row>
    <row r="848" spans="1:6" x14ac:dyDescent="0.3">
      <c r="A848" t="s">
        <v>4636</v>
      </c>
      <c r="B848" t="s">
        <v>4661</v>
      </c>
      <c r="C848" t="s">
        <v>4662</v>
      </c>
      <c r="D848" t="s">
        <v>4663</v>
      </c>
      <c r="E848" t="s">
        <v>4664</v>
      </c>
      <c r="F848" s="7" t="str">
        <f>IFERROR(INDEX(测试!H:H,MATCH(E848,测试!A:A,0)),1)</f>
        <v>无此文件</v>
      </c>
    </row>
    <row r="849" spans="1:6" x14ac:dyDescent="0.3">
      <c r="A849" t="s">
        <v>4636</v>
      </c>
      <c r="B849" t="s">
        <v>4665</v>
      </c>
      <c r="C849" t="s">
        <v>4666</v>
      </c>
      <c r="D849" t="s">
        <v>4667</v>
      </c>
      <c r="E849" t="s">
        <v>4668</v>
      </c>
      <c r="F849" s="7" t="str">
        <f>IFERROR(INDEX(测试!H:H,MATCH(E849,测试!A:A,0)),1)</f>
        <v>无此文件</v>
      </c>
    </row>
    <row r="850" spans="1:6" x14ac:dyDescent="0.3">
      <c r="A850" t="s">
        <v>4636</v>
      </c>
      <c r="B850" t="s">
        <v>4669</v>
      </c>
      <c r="C850" t="s">
        <v>4670</v>
      </c>
      <c r="D850" t="s">
        <v>4671</v>
      </c>
      <c r="E850" t="s">
        <v>4672</v>
      </c>
      <c r="F850" s="7" t="str">
        <f>IFERROR(INDEX(测试!H:H,MATCH(E850,测试!A:A,0)),1)</f>
        <v>无此文件</v>
      </c>
    </row>
    <row r="851" spans="1:6" x14ac:dyDescent="0.3">
      <c r="A851" t="s">
        <v>4636</v>
      </c>
      <c r="B851" t="s">
        <v>4673</v>
      </c>
      <c r="C851" t="s">
        <v>4674</v>
      </c>
      <c r="D851" t="s">
        <v>4675</v>
      </c>
      <c r="E851" t="s">
        <v>4676</v>
      </c>
      <c r="F851" s="7" t="str">
        <f>IFERROR(INDEX(测试!H:H,MATCH(E851,测试!A:A,0)),1)</f>
        <v>无此文件</v>
      </c>
    </row>
    <row r="852" spans="1:6" x14ac:dyDescent="0.3">
      <c r="A852" t="s">
        <v>4636</v>
      </c>
      <c r="B852" t="s">
        <v>4677</v>
      </c>
      <c r="C852" t="s">
        <v>4678</v>
      </c>
      <c r="D852" t="s">
        <v>4679</v>
      </c>
      <c r="E852" t="s">
        <v>4680</v>
      </c>
      <c r="F852" s="7" t="str">
        <f>IFERROR(INDEX(测试!H:H,MATCH(E852,测试!A:A,0)),1)</f>
        <v>无此文件</v>
      </c>
    </row>
    <row r="853" spans="1:6" x14ac:dyDescent="0.3">
      <c r="A853" t="s">
        <v>4636</v>
      </c>
      <c r="B853" t="s">
        <v>4681</v>
      </c>
      <c r="C853" t="s">
        <v>4682</v>
      </c>
      <c r="D853" t="s">
        <v>4683</v>
      </c>
      <c r="E853" t="s">
        <v>4684</v>
      </c>
      <c r="F853" s="7" t="str">
        <f>IFERROR(INDEX(测试!H:H,MATCH(E853,测试!A:A,0)),1)</f>
        <v>无此文件</v>
      </c>
    </row>
    <row r="854" spans="1:6" x14ac:dyDescent="0.3">
      <c r="A854" t="s">
        <v>4636</v>
      </c>
      <c r="B854" t="s">
        <v>4685</v>
      </c>
      <c r="C854" t="s">
        <v>4686</v>
      </c>
      <c r="D854" t="s">
        <v>4687</v>
      </c>
      <c r="E854" t="s">
        <v>4688</v>
      </c>
      <c r="F854" s="7" t="str">
        <f>IFERROR(INDEX(测试!H:H,MATCH(E854,测试!A:A,0)),1)</f>
        <v>无此文件</v>
      </c>
    </row>
    <row r="855" spans="1:6" x14ac:dyDescent="0.3">
      <c r="A855" t="s">
        <v>4636</v>
      </c>
      <c r="B855" t="s">
        <v>4689</v>
      </c>
      <c r="C855" t="s">
        <v>4690</v>
      </c>
      <c r="D855" t="s">
        <v>4691</v>
      </c>
      <c r="E855" t="s">
        <v>4692</v>
      </c>
      <c r="F855" s="7" t="str">
        <f>IFERROR(INDEX(测试!H:H,MATCH(E855,测试!A:A,0)),1)</f>
        <v>无此文件</v>
      </c>
    </row>
    <row r="856" spans="1:6" x14ac:dyDescent="0.3">
      <c r="A856" t="s">
        <v>4636</v>
      </c>
      <c r="B856" t="s">
        <v>4693</v>
      </c>
      <c r="C856" t="s">
        <v>4694</v>
      </c>
      <c r="D856" t="s">
        <v>4695</v>
      </c>
      <c r="E856" t="s">
        <v>4696</v>
      </c>
      <c r="F856" s="7" t="str">
        <f>IFERROR(INDEX(测试!H:H,MATCH(E856,测试!A:A,0)),1)</f>
        <v>无此文件</v>
      </c>
    </row>
    <row r="857" spans="1:6" x14ac:dyDescent="0.3">
      <c r="A857" t="s">
        <v>4636</v>
      </c>
      <c r="B857" t="s">
        <v>4697</v>
      </c>
      <c r="C857" t="s">
        <v>4698</v>
      </c>
      <c r="D857" t="s">
        <v>4699</v>
      </c>
      <c r="E857" t="s">
        <v>4700</v>
      </c>
      <c r="F857" s="7" t="str">
        <f>IFERROR(INDEX(测试!H:H,MATCH(E857,测试!A:A,0)),1)</f>
        <v>无此文件</v>
      </c>
    </row>
    <row r="858" spans="1:6" x14ac:dyDescent="0.3">
      <c r="A858" t="s">
        <v>4636</v>
      </c>
      <c r="B858" t="s">
        <v>4701</v>
      </c>
      <c r="C858" t="s">
        <v>4702</v>
      </c>
      <c r="D858" t="s">
        <v>4703</v>
      </c>
      <c r="E858" t="s">
        <v>4704</v>
      </c>
      <c r="F858" s="7" t="str">
        <f>IFERROR(INDEX(测试!H:H,MATCH(E858,测试!A:A,0)),1)</f>
        <v>无此文件</v>
      </c>
    </row>
    <row r="859" spans="1:6" x14ac:dyDescent="0.3">
      <c r="A859" t="s">
        <v>4636</v>
      </c>
      <c r="B859" t="s">
        <v>4705</v>
      </c>
      <c r="C859" t="s">
        <v>4706</v>
      </c>
      <c r="D859" t="s">
        <v>4707</v>
      </c>
      <c r="E859" t="s">
        <v>4708</v>
      </c>
      <c r="F859" s="7" t="str">
        <f>IFERROR(INDEX(测试!H:H,MATCH(E859,测试!A:A,0)),1)</f>
        <v>无此文件</v>
      </c>
    </row>
    <row r="860" spans="1:6" x14ac:dyDescent="0.3">
      <c r="A860" t="s">
        <v>4636</v>
      </c>
      <c r="B860" t="s">
        <v>4709</v>
      </c>
      <c r="C860" t="s">
        <v>4710</v>
      </c>
      <c r="D860" t="s">
        <v>4711</v>
      </c>
      <c r="E860" t="s">
        <v>4712</v>
      </c>
      <c r="F860" s="7" t="str">
        <f>IFERROR(INDEX(测试!H:H,MATCH(E860,测试!A:A,0)),1)</f>
        <v>无此文件</v>
      </c>
    </row>
    <row r="861" spans="1:6" x14ac:dyDescent="0.3">
      <c r="A861" t="s">
        <v>4636</v>
      </c>
      <c r="B861" t="s">
        <v>4713</v>
      </c>
      <c r="C861" t="s">
        <v>4714</v>
      </c>
      <c r="D861" t="s">
        <v>4715</v>
      </c>
      <c r="E861" t="s">
        <v>4716</v>
      </c>
      <c r="F861" s="7" t="str">
        <f>IFERROR(INDEX(测试!H:H,MATCH(E861,测试!A:A,0)),1)</f>
        <v>无此文件</v>
      </c>
    </row>
    <row r="862" spans="1:6" x14ac:dyDescent="0.3">
      <c r="A862" t="s">
        <v>4636</v>
      </c>
      <c r="B862" t="s">
        <v>4717</v>
      </c>
      <c r="C862" t="s">
        <v>4718</v>
      </c>
      <c r="D862" t="s">
        <v>4719</v>
      </c>
      <c r="E862" t="s">
        <v>4720</v>
      </c>
      <c r="F862" s="7" t="str">
        <f>IFERROR(INDEX(测试!H:H,MATCH(E862,测试!A:A,0)),1)</f>
        <v>无此文件</v>
      </c>
    </row>
    <row r="863" spans="1:6" x14ac:dyDescent="0.3">
      <c r="A863" t="s">
        <v>4636</v>
      </c>
      <c r="B863" t="s">
        <v>4721</v>
      </c>
      <c r="C863" t="s">
        <v>4722</v>
      </c>
      <c r="D863" t="s">
        <v>4723</v>
      </c>
      <c r="E863" t="s">
        <v>4724</v>
      </c>
      <c r="F863" s="7" t="str">
        <f>IFERROR(INDEX(测试!H:H,MATCH(E863,测试!A:A,0)),1)</f>
        <v>无此文件</v>
      </c>
    </row>
    <row r="864" spans="1:6" x14ac:dyDescent="0.3">
      <c r="A864" t="s">
        <v>4636</v>
      </c>
      <c r="B864" t="s">
        <v>4725</v>
      </c>
      <c r="C864" t="s">
        <v>4726</v>
      </c>
      <c r="D864" t="s">
        <v>4727</v>
      </c>
      <c r="E864" t="s">
        <v>4728</v>
      </c>
      <c r="F864" s="7" t="str">
        <f>IFERROR(INDEX(测试!H:H,MATCH(E864,测试!A:A,0)),1)</f>
        <v>无此文件</v>
      </c>
    </row>
    <row r="865" spans="1:6" x14ac:dyDescent="0.3">
      <c r="A865" t="s">
        <v>4636</v>
      </c>
      <c r="B865" t="s">
        <v>4729</v>
      </c>
      <c r="C865" t="s">
        <v>4730</v>
      </c>
      <c r="D865" t="s">
        <v>4731</v>
      </c>
      <c r="E865" t="s">
        <v>4732</v>
      </c>
      <c r="F865" s="7" t="str">
        <f>IFERROR(INDEX(测试!H:H,MATCH(E865,测试!A:A,0)),1)</f>
        <v>无此文件</v>
      </c>
    </row>
    <row r="866" spans="1:6" x14ac:dyDescent="0.3">
      <c r="A866" t="s">
        <v>4636</v>
      </c>
      <c r="B866" t="s">
        <v>4733</v>
      </c>
      <c r="C866" t="s">
        <v>4734</v>
      </c>
      <c r="D866" t="s">
        <v>4735</v>
      </c>
      <c r="E866" t="s">
        <v>4736</v>
      </c>
      <c r="F866" s="7" t="str">
        <f>IFERROR(INDEX(测试!H:H,MATCH(E866,测试!A:A,0)),1)</f>
        <v>无此文件</v>
      </c>
    </row>
    <row r="867" spans="1:6" x14ac:dyDescent="0.3">
      <c r="A867" t="s">
        <v>4636</v>
      </c>
      <c r="B867" t="s">
        <v>4737</v>
      </c>
      <c r="C867" t="s">
        <v>4738</v>
      </c>
      <c r="D867" t="s">
        <v>4739</v>
      </c>
      <c r="E867" t="s">
        <v>4740</v>
      </c>
      <c r="F867" s="7" t="str">
        <f>IFERROR(INDEX(测试!H:H,MATCH(E867,测试!A:A,0)),1)</f>
        <v>无此文件</v>
      </c>
    </row>
    <row r="868" spans="1:6" x14ac:dyDescent="0.3">
      <c r="A868" t="s">
        <v>4636</v>
      </c>
      <c r="B868" t="s">
        <v>4741</v>
      </c>
      <c r="C868" t="s">
        <v>4742</v>
      </c>
      <c r="D868" t="s">
        <v>4743</v>
      </c>
      <c r="E868" t="s">
        <v>4744</v>
      </c>
      <c r="F868" s="7" t="str">
        <f>IFERROR(INDEX(测试!H:H,MATCH(E868,测试!A:A,0)),1)</f>
        <v>无此文件</v>
      </c>
    </row>
    <row r="869" spans="1:6" x14ac:dyDescent="0.3">
      <c r="A869" t="s">
        <v>4636</v>
      </c>
      <c r="B869" t="s">
        <v>4745</v>
      </c>
      <c r="C869" t="s">
        <v>4746</v>
      </c>
      <c r="D869" t="s">
        <v>4747</v>
      </c>
      <c r="E869" t="s">
        <v>4748</v>
      </c>
      <c r="F869" s="7" t="str">
        <f>IFERROR(INDEX(测试!H:H,MATCH(E869,测试!A:A,0)),1)</f>
        <v>无此文件</v>
      </c>
    </row>
    <row r="870" spans="1:6" x14ac:dyDescent="0.3">
      <c r="A870" t="s">
        <v>4636</v>
      </c>
      <c r="B870" t="s">
        <v>4749</v>
      </c>
      <c r="C870" t="s">
        <v>4750</v>
      </c>
      <c r="D870" t="s">
        <v>4751</v>
      </c>
      <c r="E870" t="s">
        <v>4752</v>
      </c>
      <c r="F870" s="7" t="str">
        <f>IFERROR(INDEX(测试!H:H,MATCH(E870,测试!A:A,0)),1)</f>
        <v>无此文件</v>
      </c>
    </row>
    <row r="871" spans="1:6" x14ac:dyDescent="0.3">
      <c r="A871" t="s">
        <v>4636</v>
      </c>
      <c r="B871" t="s">
        <v>4753</v>
      </c>
      <c r="C871" t="s">
        <v>4754</v>
      </c>
      <c r="D871" t="s">
        <v>4755</v>
      </c>
      <c r="E871" t="s">
        <v>4756</v>
      </c>
      <c r="F871" s="7" t="str">
        <f>IFERROR(INDEX(测试!H:H,MATCH(E871,测试!A:A,0)),1)</f>
        <v>无此文件</v>
      </c>
    </row>
    <row r="872" spans="1:6" x14ac:dyDescent="0.3">
      <c r="A872" t="s">
        <v>4636</v>
      </c>
      <c r="B872" t="s">
        <v>4757</v>
      </c>
      <c r="C872" t="s">
        <v>4758</v>
      </c>
      <c r="D872" t="s">
        <v>4759</v>
      </c>
      <c r="E872" t="s">
        <v>4760</v>
      </c>
      <c r="F872" s="7" t="str">
        <f>IFERROR(INDEX(测试!H:H,MATCH(E872,测试!A:A,0)),1)</f>
        <v>无此文件</v>
      </c>
    </row>
    <row r="873" spans="1:6" x14ac:dyDescent="0.3">
      <c r="A873" t="s">
        <v>4636</v>
      </c>
      <c r="B873" t="s">
        <v>4761</v>
      </c>
      <c r="C873" t="s">
        <v>4762</v>
      </c>
      <c r="D873" t="s">
        <v>4763</v>
      </c>
      <c r="E873" t="s">
        <v>4764</v>
      </c>
      <c r="F873" s="7" t="str">
        <f>IFERROR(INDEX(测试!H:H,MATCH(E873,测试!A:A,0)),1)</f>
        <v>无此文件</v>
      </c>
    </row>
    <row r="874" spans="1:6" x14ac:dyDescent="0.3">
      <c r="A874" t="s">
        <v>4636</v>
      </c>
      <c r="B874" t="s">
        <v>4765</v>
      </c>
      <c r="C874" t="s">
        <v>4766</v>
      </c>
      <c r="D874" t="s">
        <v>4767</v>
      </c>
      <c r="E874" t="s">
        <v>4768</v>
      </c>
      <c r="F874" s="7" t="str">
        <f>IFERROR(INDEX(测试!H:H,MATCH(E874,测试!A:A,0)),1)</f>
        <v>无此文件</v>
      </c>
    </row>
    <row r="875" spans="1:6" x14ac:dyDescent="0.3">
      <c r="A875" t="s">
        <v>4636</v>
      </c>
      <c r="B875" t="s">
        <v>4769</v>
      </c>
      <c r="C875" t="s">
        <v>4770</v>
      </c>
      <c r="D875" t="s">
        <v>4771</v>
      </c>
      <c r="E875" t="s">
        <v>4772</v>
      </c>
      <c r="F875" s="7" t="str">
        <f>IFERROR(INDEX(测试!H:H,MATCH(E875,测试!A:A,0)),1)</f>
        <v>无此文件</v>
      </c>
    </row>
    <row r="876" spans="1:6" x14ac:dyDescent="0.3">
      <c r="A876" t="s">
        <v>4636</v>
      </c>
      <c r="B876" t="s">
        <v>4773</v>
      </c>
      <c r="C876" t="s">
        <v>4774</v>
      </c>
      <c r="D876" t="s">
        <v>4775</v>
      </c>
      <c r="E876" t="s">
        <v>4776</v>
      </c>
      <c r="F876" s="7" t="str">
        <f>IFERROR(INDEX(测试!H:H,MATCH(E876,测试!A:A,0)),1)</f>
        <v>无此文件</v>
      </c>
    </row>
    <row r="877" spans="1:6" x14ac:dyDescent="0.3">
      <c r="A877" t="s">
        <v>4636</v>
      </c>
      <c r="B877" t="s">
        <v>4777</v>
      </c>
      <c r="C877" t="s">
        <v>4778</v>
      </c>
      <c r="D877" t="s">
        <v>4779</v>
      </c>
      <c r="E877" t="s">
        <v>4780</v>
      </c>
      <c r="F877" s="7" t="str">
        <f>IFERROR(INDEX(测试!H:H,MATCH(E877,测试!A:A,0)),1)</f>
        <v>无此文件</v>
      </c>
    </row>
    <row r="878" spans="1:6" x14ac:dyDescent="0.3">
      <c r="A878" t="s">
        <v>4636</v>
      </c>
      <c r="B878" t="s">
        <v>4781</v>
      </c>
      <c r="C878" t="s">
        <v>4782</v>
      </c>
      <c r="D878" t="s">
        <v>4783</v>
      </c>
      <c r="E878" t="s">
        <v>4784</v>
      </c>
      <c r="F878" s="7" t="str">
        <f>IFERROR(INDEX(测试!H:H,MATCH(E878,测试!A:A,0)),1)</f>
        <v>无此文件</v>
      </c>
    </row>
    <row r="879" spans="1:6" x14ac:dyDescent="0.3">
      <c r="A879" t="s">
        <v>4636</v>
      </c>
      <c r="B879" t="s">
        <v>4785</v>
      </c>
      <c r="C879" t="s">
        <v>4786</v>
      </c>
      <c r="D879" t="s">
        <v>4787</v>
      </c>
      <c r="E879" t="s">
        <v>4788</v>
      </c>
      <c r="F879" s="7" t="str">
        <f>IFERROR(INDEX(测试!H:H,MATCH(E879,测试!A:A,0)),1)</f>
        <v>无此文件</v>
      </c>
    </row>
    <row r="880" spans="1:6" x14ac:dyDescent="0.3">
      <c r="A880" t="s">
        <v>4636</v>
      </c>
      <c r="B880" t="s">
        <v>4789</v>
      </c>
      <c r="C880" t="s">
        <v>4790</v>
      </c>
      <c r="D880" t="s">
        <v>4791</v>
      </c>
      <c r="E880" t="s">
        <v>4792</v>
      </c>
      <c r="F880" s="7" t="str">
        <f>IFERROR(INDEX(测试!H:H,MATCH(E880,测试!A:A,0)),1)</f>
        <v>无此文件</v>
      </c>
    </row>
    <row r="881" spans="1:6" x14ac:dyDescent="0.3">
      <c r="A881" t="s">
        <v>4636</v>
      </c>
      <c r="B881" t="s">
        <v>4793</v>
      </c>
      <c r="C881" t="s">
        <v>4794</v>
      </c>
      <c r="D881" t="s">
        <v>4795</v>
      </c>
      <c r="E881" t="s">
        <v>4796</v>
      </c>
      <c r="F881" s="7" t="str">
        <f>IFERROR(INDEX(测试!H:H,MATCH(E881,测试!A:A,0)),1)</f>
        <v>无此文件</v>
      </c>
    </row>
    <row r="882" spans="1:6" x14ac:dyDescent="0.3">
      <c r="A882" t="s">
        <v>4636</v>
      </c>
      <c r="B882" t="s">
        <v>4797</v>
      </c>
      <c r="C882" t="s">
        <v>4798</v>
      </c>
      <c r="D882" t="s">
        <v>4799</v>
      </c>
      <c r="E882" t="s">
        <v>4800</v>
      </c>
      <c r="F882" s="7" t="str">
        <f>IFERROR(INDEX(测试!H:H,MATCH(E882,测试!A:A,0)),1)</f>
        <v>无此文件</v>
      </c>
    </row>
    <row r="883" spans="1:6" x14ac:dyDescent="0.3">
      <c r="A883" t="s">
        <v>4636</v>
      </c>
      <c r="B883" t="s">
        <v>4801</v>
      </c>
      <c r="C883" t="s">
        <v>4802</v>
      </c>
      <c r="D883" t="s">
        <v>4803</v>
      </c>
      <c r="E883" t="s">
        <v>4804</v>
      </c>
      <c r="F883" s="7" t="str">
        <f>IFERROR(INDEX(测试!H:H,MATCH(E883,测试!A:A,0)),1)</f>
        <v>无此文件</v>
      </c>
    </row>
    <row r="884" spans="1:6" x14ac:dyDescent="0.3">
      <c r="A884" t="s">
        <v>4636</v>
      </c>
      <c r="B884" t="s">
        <v>4805</v>
      </c>
      <c r="C884" t="s">
        <v>4806</v>
      </c>
      <c r="D884" t="s">
        <v>4807</v>
      </c>
      <c r="E884" t="s">
        <v>4808</v>
      </c>
      <c r="F884" s="7" t="str">
        <f>IFERROR(INDEX(测试!H:H,MATCH(E884,测试!A:A,0)),1)</f>
        <v>无此文件</v>
      </c>
    </row>
    <row r="885" spans="1:6" x14ac:dyDescent="0.3">
      <c r="A885" t="s">
        <v>4636</v>
      </c>
      <c r="B885" t="s">
        <v>4809</v>
      </c>
      <c r="C885" t="s">
        <v>4810</v>
      </c>
      <c r="D885" t="s">
        <v>4811</v>
      </c>
      <c r="E885" t="s">
        <v>4812</v>
      </c>
      <c r="F885" s="7" t="str">
        <f>IFERROR(INDEX(测试!H:H,MATCH(E885,测试!A:A,0)),1)</f>
        <v>无此文件</v>
      </c>
    </row>
    <row r="886" spans="1:6" x14ac:dyDescent="0.3">
      <c r="A886" t="s">
        <v>4636</v>
      </c>
      <c r="B886" t="s">
        <v>4813</v>
      </c>
      <c r="C886" t="s">
        <v>4814</v>
      </c>
      <c r="D886" t="s">
        <v>4815</v>
      </c>
      <c r="E886" t="s">
        <v>4816</v>
      </c>
      <c r="F886" s="7" t="str">
        <f>IFERROR(INDEX(测试!H:H,MATCH(E886,测试!A:A,0)),1)</f>
        <v>无此文件</v>
      </c>
    </row>
    <row r="887" spans="1:6" x14ac:dyDescent="0.3">
      <c r="A887" t="s">
        <v>4636</v>
      </c>
      <c r="B887" t="s">
        <v>4817</v>
      </c>
      <c r="C887" t="s">
        <v>4818</v>
      </c>
      <c r="D887" t="s">
        <v>4819</v>
      </c>
      <c r="E887" t="s">
        <v>4820</v>
      </c>
      <c r="F887" s="7" t="str">
        <f>IFERROR(INDEX(测试!H:H,MATCH(E887,测试!A:A,0)),1)</f>
        <v>无此文件</v>
      </c>
    </row>
    <row r="888" spans="1:6" x14ac:dyDescent="0.3">
      <c r="A888" t="s">
        <v>4636</v>
      </c>
      <c r="B888" t="s">
        <v>4821</v>
      </c>
      <c r="C888" t="s">
        <v>4822</v>
      </c>
      <c r="D888" t="s">
        <v>4823</v>
      </c>
      <c r="E888" t="s">
        <v>4824</v>
      </c>
      <c r="F888" s="7" t="str">
        <f>IFERROR(INDEX(测试!H:H,MATCH(E888,测试!A:A,0)),1)</f>
        <v>无此文件</v>
      </c>
    </row>
    <row r="889" spans="1:6" x14ac:dyDescent="0.3">
      <c r="A889" t="s">
        <v>4636</v>
      </c>
      <c r="B889" t="s">
        <v>4825</v>
      </c>
      <c r="C889" t="s">
        <v>4826</v>
      </c>
      <c r="D889" t="s">
        <v>4827</v>
      </c>
      <c r="E889" t="s">
        <v>4828</v>
      </c>
      <c r="F889" s="7" t="str">
        <f>IFERROR(INDEX(测试!H:H,MATCH(E889,测试!A:A,0)),1)</f>
        <v>无此文件</v>
      </c>
    </row>
    <row r="890" spans="1:6" x14ac:dyDescent="0.3">
      <c r="A890" t="s">
        <v>4636</v>
      </c>
      <c r="B890" t="s">
        <v>4829</v>
      </c>
      <c r="C890" t="s">
        <v>4830</v>
      </c>
      <c r="D890" t="s">
        <v>4831</v>
      </c>
      <c r="E890" t="s">
        <v>4832</v>
      </c>
      <c r="F890" s="7" t="str">
        <f>IFERROR(INDEX(测试!H:H,MATCH(E890,测试!A:A,0)),1)</f>
        <v>无此文件</v>
      </c>
    </row>
    <row r="891" spans="1:6" x14ac:dyDescent="0.3">
      <c r="A891" t="s">
        <v>4636</v>
      </c>
      <c r="B891" t="s">
        <v>4833</v>
      </c>
      <c r="C891" t="s">
        <v>4834</v>
      </c>
      <c r="D891" t="s">
        <v>4835</v>
      </c>
      <c r="E891" t="s">
        <v>4836</v>
      </c>
      <c r="F891" s="7" t="str">
        <f>IFERROR(INDEX(测试!H:H,MATCH(E891,测试!A:A,0)),1)</f>
        <v>无此文件</v>
      </c>
    </row>
    <row r="892" spans="1:6" x14ac:dyDescent="0.3">
      <c r="A892" t="s">
        <v>4636</v>
      </c>
      <c r="B892" t="s">
        <v>4837</v>
      </c>
      <c r="C892" t="s">
        <v>4838</v>
      </c>
      <c r="D892" t="s">
        <v>4839</v>
      </c>
      <c r="E892" t="s">
        <v>4840</v>
      </c>
      <c r="F892" s="7" t="str">
        <f>IFERROR(INDEX(测试!H:H,MATCH(E892,测试!A:A,0)),1)</f>
        <v>无此文件</v>
      </c>
    </row>
    <row r="893" spans="1:6" x14ac:dyDescent="0.3">
      <c r="A893" t="s">
        <v>4636</v>
      </c>
      <c r="B893" t="s">
        <v>4841</v>
      </c>
      <c r="C893" t="s">
        <v>4842</v>
      </c>
      <c r="D893" t="s">
        <v>4843</v>
      </c>
      <c r="E893" t="s">
        <v>4844</v>
      </c>
      <c r="F893" s="7" t="str">
        <f>IFERROR(INDEX(测试!H:H,MATCH(E893,测试!A:A,0)),1)</f>
        <v>无此文件</v>
      </c>
    </row>
    <row r="894" spans="1:6" x14ac:dyDescent="0.3">
      <c r="A894" t="s">
        <v>4636</v>
      </c>
      <c r="B894" t="s">
        <v>4845</v>
      </c>
      <c r="C894" t="s">
        <v>4846</v>
      </c>
      <c r="D894" t="s">
        <v>4847</v>
      </c>
      <c r="E894" t="s">
        <v>4848</v>
      </c>
      <c r="F894" s="7" t="str">
        <f>IFERROR(INDEX(测试!H:H,MATCH(E894,测试!A:A,0)),1)</f>
        <v>无此文件</v>
      </c>
    </row>
    <row r="895" spans="1:6" x14ac:dyDescent="0.3">
      <c r="A895" t="s">
        <v>4636</v>
      </c>
      <c r="B895" t="s">
        <v>4849</v>
      </c>
      <c r="C895" t="s">
        <v>4850</v>
      </c>
      <c r="D895" t="s">
        <v>4851</v>
      </c>
      <c r="E895" t="s">
        <v>4852</v>
      </c>
      <c r="F895" s="7" t="str">
        <f>IFERROR(INDEX(测试!H:H,MATCH(E895,测试!A:A,0)),1)</f>
        <v>无此文件</v>
      </c>
    </row>
    <row r="896" spans="1:6" x14ac:dyDescent="0.3">
      <c r="A896" t="s">
        <v>4636</v>
      </c>
      <c r="B896" t="s">
        <v>4853</v>
      </c>
      <c r="C896" t="s">
        <v>4854</v>
      </c>
      <c r="D896" t="s">
        <v>4855</v>
      </c>
      <c r="E896" t="s">
        <v>4856</v>
      </c>
      <c r="F896" s="7" t="str">
        <f>IFERROR(INDEX(测试!H:H,MATCH(E896,测试!A:A,0)),1)</f>
        <v>无此文件</v>
      </c>
    </row>
    <row r="897" spans="1:6" x14ac:dyDescent="0.3">
      <c r="A897" t="s">
        <v>4636</v>
      </c>
      <c r="B897" t="s">
        <v>4857</v>
      </c>
      <c r="C897" t="s">
        <v>4858</v>
      </c>
      <c r="D897" t="s">
        <v>4859</v>
      </c>
      <c r="E897" t="s">
        <v>4860</v>
      </c>
      <c r="F897" s="7" t="str">
        <f>IFERROR(INDEX(测试!H:H,MATCH(E897,测试!A:A,0)),1)</f>
        <v>无此文件</v>
      </c>
    </row>
    <row r="898" spans="1:6" x14ac:dyDescent="0.3">
      <c r="A898" t="s">
        <v>4636</v>
      </c>
      <c r="B898" t="s">
        <v>4861</v>
      </c>
      <c r="C898" t="s">
        <v>4862</v>
      </c>
      <c r="D898" t="s">
        <v>4863</v>
      </c>
      <c r="E898" t="s">
        <v>4864</v>
      </c>
      <c r="F898" s="7" t="str">
        <f>IFERROR(INDEX(测试!H:H,MATCH(E898,测试!A:A,0)),1)</f>
        <v>无此文件</v>
      </c>
    </row>
    <row r="899" spans="1:6" x14ac:dyDescent="0.3">
      <c r="A899" t="s">
        <v>4636</v>
      </c>
      <c r="B899" t="s">
        <v>4865</v>
      </c>
      <c r="C899" t="s">
        <v>4866</v>
      </c>
      <c r="D899" t="s">
        <v>4867</v>
      </c>
      <c r="E899" t="s">
        <v>4868</v>
      </c>
      <c r="F899" s="7" t="str">
        <f>IFERROR(INDEX(测试!H:H,MATCH(E899,测试!A:A,0)),1)</f>
        <v>无此文件</v>
      </c>
    </row>
    <row r="900" spans="1:6" x14ac:dyDescent="0.3">
      <c r="A900" t="s">
        <v>4636</v>
      </c>
      <c r="B900" t="s">
        <v>4869</v>
      </c>
      <c r="C900" t="s">
        <v>4870</v>
      </c>
      <c r="D900" t="s">
        <v>4871</v>
      </c>
      <c r="E900" t="s">
        <v>4872</v>
      </c>
      <c r="F900" s="7" t="str">
        <f>IFERROR(INDEX(测试!H:H,MATCH(E900,测试!A:A,0)),1)</f>
        <v>无此文件</v>
      </c>
    </row>
    <row r="901" spans="1:6" x14ac:dyDescent="0.3">
      <c r="A901" t="s">
        <v>4636</v>
      </c>
      <c r="B901" t="s">
        <v>4873</v>
      </c>
      <c r="C901" t="s">
        <v>4874</v>
      </c>
      <c r="D901" t="s">
        <v>4875</v>
      </c>
      <c r="E901" t="s">
        <v>4876</v>
      </c>
      <c r="F901" s="7" t="str">
        <f>IFERROR(INDEX(测试!H:H,MATCH(E901,测试!A:A,0)),1)</f>
        <v>无此文件</v>
      </c>
    </row>
    <row r="902" spans="1:6" x14ac:dyDescent="0.3">
      <c r="A902" t="s">
        <v>4877</v>
      </c>
      <c r="B902" t="s">
        <v>4637</v>
      </c>
      <c r="C902" t="s">
        <v>4878</v>
      </c>
      <c r="D902" t="s">
        <v>4879</v>
      </c>
      <c r="E902" t="s">
        <v>4880</v>
      </c>
      <c r="F902" s="7" t="str">
        <f>IFERROR(INDEX(测试!H:H,MATCH(E902,测试!A:A,0)),1)</f>
        <v>无此文件</v>
      </c>
    </row>
    <row r="903" spans="1:6" x14ac:dyDescent="0.3">
      <c r="A903" t="s">
        <v>4877</v>
      </c>
      <c r="B903" t="s">
        <v>4641</v>
      </c>
      <c r="C903" t="s">
        <v>4881</v>
      </c>
      <c r="D903" t="s">
        <v>4882</v>
      </c>
      <c r="E903" t="s">
        <v>4883</v>
      </c>
      <c r="F903" s="7" t="str">
        <f>IFERROR(INDEX(测试!H:H,MATCH(E903,测试!A:A,0)),1)</f>
        <v>无此文件</v>
      </c>
    </row>
    <row r="904" spans="1:6" x14ac:dyDescent="0.3">
      <c r="A904" t="s">
        <v>4877</v>
      </c>
      <c r="B904" t="s">
        <v>4884</v>
      </c>
      <c r="C904" t="s">
        <v>4885</v>
      </c>
      <c r="D904" t="s">
        <v>4886</v>
      </c>
      <c r="E904" t="s">
        <v>4887</v>
      </c>
      <c r="F904" s="7" t="str">
        <f>IFERROR(INDEX(测试!H:H,MATCH(E904,测试!A:A,0)),1)</f>
        <v>无此文件</v>
      </c>
    </row>
    <row r="905" spans="1:6" hidden="1" x14ac:dyDescent="0.3">
      <c r="A905" t="s">
        <v>2948</v>
      </c>
      <c r="B905" t="s">
        <v>513</v>
      </c>
      <c r="C905" t="s">
        <v>514</v>
      </c>
      <c r="D905" t="s">
        <v>3224</v>
      </c>
      <c r="E905" t="s">
        <v>516</v>
      </c>
      <c r="F905" s="7" t="str">
        <f>IFERROR(INDEX(测试!H:H,MATCH(E905,测试!A:A,0)),1)</f>
        <v>-</v>
      </c>
    </row>
    <row r="906" spans="1:6" hidden="1" x14ac:dyDescent="0.3">
      <c r="A906" t="s">
        <v>2948</v>
      </c>
      <c r="B906" t="s">
        <v>517</v>
      </c>
      <c r="C906" t="s">
        <v>518</v>
      </c>
      <c r="D906" t="s">
        <v>3225</v>
      </c>
      <c r="E906" t="s">
        <v>520</v>
      </c>
      <c r="F906" s="7" t="str">
        <f>IFERROR(INDEX(测试!H:H,MATCH(E906,测试!A:A,0)),1)</f>
        <v>-</v>
      </c>
    </row>
    <row r="907" spans="1:6" hidden="1" x14ac:dyDescent="0.3">
      <c r="A907" t="s">
        <v>2948</v>
      </c>
      <c r="B907" t="s">
        <v>521</v>
      </c>
      <c r="C907" t="s">
        <v>522</v>
      </c>
      <c r="D907" t="s">
        <v>3226</v>
      </c>
      <c r="E907" t="s">
        <v>524</v>
      </c>
      <c r="F907" s="7" t="str">
        <f>IFERROR(INDEX(测试!H:H,MATCH(E907,测试!A:A,0)),1)</f>
        <v>-</v>
      </c>
    </row>
    <row r="908" spans="1:6" hidden="1" x14ac:dyDescent="0.3">
      <c r="A908" t="s">
        <v>2948</v>
      </c>
      <c r="B908" t="s">
        <v>525</v>
      </c>
      <c r="C908" t="s">
        <v>526</v>
      </c>
      <c r="D908" t="s">
        <v>3227</v>
      </c>
      <c r="E908" t="s">
        <v>528</v>
      </c>
      <c r="F908" s="7" t="str">
        <f>IFERROR(INDEX(测试!H:H,MATCH(E908,测试!A:A,0)),1)</f>
        <v>-</v>
      </c>
    </row>
    <row r="909" spans="1:6" hidden="1" x14ac:dyDescent="0.3">
      <c r="A909" t="s">
        <v>2948</v>
      </c>
      <c r="B909" t="s">
        <v>529</v>
      </c>
      <c r="C909" t="s">
        <v>530</v>
      </c>
      <c r="D909" t="s">
        <v>3228</v>
      </c>
      <c r="E909" t="s">
        <v>532</v>
      </c>
      <c r="F909" s="7" t="str">
        <f>IFERROR(INDEX(测试!H:H,MATCH(E909,测试!A:A,0)),1)</f>
        <v>-</v>
      </c>
    </row>
    <row r="910" spans="1:6" hidden="1" x14ac:dyDescent="0.3">
      <c r="A910" t="s">
        <v>2948</v>
      </c>
      <c r="B910" t="s">
        <v>533</v>
      </c>
      <c r="C910" t="s">
        <v>534</v>
      </c>
      <c r="D910" t="s">
        <v>3229</v>
      </c>
      <c r="E910" t="s">
        <v>536</v>
      </c>
      <c r="F910" s="7" t="str">
        <f>IFERROR(INDEX(测试!H:H,MATCH(E910,测试!A:A,0)),1)</f>
        <v>-</v>
      </c>
    </row>
    <row r="911" spans="1:6" hidden="1" x14ac:dyDescent="0.3">
      <c r="A911" t="s">
        <v>2948</v>
      </c>
      <c r="B911" t="s">
        <v>537</v>
      </c>
      <c r="C911" t="s">
        <v>538</v>
      </c>
      <c r="D911" t="s">
        <v>3230</v>
      </c>
      <c r="E911" t="s">
        <v>540</v>
      </c>
      <c r="F911" s="7" t="str">
        <f>IFERROR(INDEX(测试!H:H,MATCH(E911,测试!A:A,0)),1)</f>
        <v>-</v>
      </c>
    </row>
    <row r="912" spans="1:6" hidden="1" x14ac:dyDescent="0.3">
      <c r="A912" t="s">
        <v>2948</v>
      </c>
      <c r="B912" t="s">
        <v>541</v>
      </c>
      <c r="C912" t="s">
        <v>542</v>
      </c>
      <c r="D912" t="s">
        <v>3231</v>
      </c>
      <c r="E912" t="s">
        <v>544</v>
      </c>
      <c r="F912" s="7" t="str">
        <f>IFERROR(INDEX(测试!H:H,MATCH(E912,测试!A:A,0)),1)</f>
        <v>-</v>
      </c>
    </row>
    <row r="913" spans="1:6" hidden="1" x14ac:dyDescent="0.3">
      <c r="A913" t="s">
        <v>2948</v>
      </c>
      <c r="B913" t="s">
        <v>545</v>
      </c>
      <c r="C913" t="s">
        <v>546</v>
      </c>
      <c r="D913" t="s">
        <v>3232</v>
      </c>
      <c r="E913" t="s">
        <v>548</v>
      </c>
      <c r="F913" s="7" t="str">
        <f>IFERROR(INDEX(测试!H:H,MATCH(E913,测试!A:A,0)),1)</f>
        <v>-</v>
      </c>
    </row>
    <row r="914" spans="1:6" hidden="1" x14ac:dyDescent="0.3">
      <c r="A914" t="s">
        <v>2948</v>
      </c>
      <c r="B914" t="s">
        <v>549</v>
      </c>
      <c r="C914" t="s">
        <v>550</v>
      </c>
      <c r="D914" t="s">
        <v>3233</v>
      </c>
      <c r="E914" t="s">
        <v>552</v>
      </c>
      <c r="F914" s="7" t="str">
        <f>IFERROR(INDEX(测试!H:H,MATCH(E914,测试!A:A,0)),1)</f>
        <v>-</v>
      </c>
    </row>
    <row r="915" spans="1:6" hidden="1" x14ac:dyDescent="0.3">
      <c r="A915" t="s">
        <v>2948</v>
      </c>
      <c r="B915" t="s">
        <v>553</v>
      </c>
      <c r="C915" t="s">
        <v>554</v>
      </c>
      <c r="D915" t="s">
        <v>3234</v>
      </c>
      <c r="E915" t="s">
        <v>556</v>
      </c>
      <c r="F915" s="7" t="str">
        <f>IFERROR(INDEX(测试!H:H,MATCH(E915,测试!A:A,0)),1)</f>
        <v>-</v>
      </c>
    </row>
    <row r="916" spans="1:6" hidden="1" x14ac:dyDescent="0.3">
      <c r="A916" t="s">
        <v>2948</v>
      </c>
      <c r="B916" t="s">
        <v>557</v>
      </c>
      <c r="C916" t="s">
        <v>558</v>
      </c>
      <c r="D916" t="s">
        <v>3235</v>
      </c>
      <c r="E916" t="s">
        <v>560</v>
      </c>
      <c r="F916" s="7" t="str">
        <f>IFERROR(INDEX(测试!H:H,MATCH(E916,测试!A:A,0)),1)</f>
        <v>-</v>
      </c>
    </row>
    <row r="917" spans="1:6" hidden="1" x14ac:dyDescent="0.3">
      <c r="A917" t="s">
        <v>2948</v>
      </c>
      <c r="B917" t="s">
        <v>561</v>
      </c>
      <c r="C917" t="s">
        <v>562</v>
      </c>
      <c r="D917" t="s">
        <v>3236</v>
      </c>
      <c r="E917" t="s">
        <v>564</v>
      </c>
      <c r="F917" s="7" t="str">
        <f>IFERROR(INDEX(测试!H:H,MATCH(E917,测试!A:A,0)),1)</f>
        <v>-</v>
      </c>
    </row>
    <row r="918" spans="1:6" hidden="1" x14ac:dyDescent="0.3">
      <c r="A918" t="s">
        <v>2948</v>
      </c>
      <c r="B918" t="s">
        <v>565</v>
      </c>
      <c r="C918" t="s">
        <v>566</v>
      </c>
      <c r="D918" t="s">
        <v>3237</v>
      </c>
      <c r="E918" t="s">
        <v>568</v>
      </c>
      <c r="F918" s="7" t="str">
        <f>IFERROR(INDEX(测试!H:H,MATCH(E918,测试!A:A,0)),1)</f>
        <v>-</v>
      </c>
    </row>
    <row r="919" spans="1:6" hidden="1" x14ac:dyDescent="0.3">
      <c r="A919" t="s">
        <v>2948</v>
      </c>
      <c r="B919" t="s">
        <v>569</v>
      </c>
      <c r="C919" t="s">
        <v>570</v>
      </c>
      <c r="D919" t="s">
        <v>3238</v>
      </c>
      <c r="E919" t="s">
        <v>3094</v>
      </c>
      <c r="F919" s="7" t="str">
        <f>IFERROR(INDEX(测试!H:H,MATCH(E919,测试!A:A,0)),1)</f>
        <v>-</v>
      </c>
    </row>
    <row r="920" spans="1:6" hidden="1" x14ac:dyDescent="0.3">
      <c r="A920" t="s">
        <v>2948</v>
      </c>
      <c r="B920" t="s">
        <v>572</v>
      </c>
      <c r="C920" t="s">
        <v>573</v>
      </c>
      <c r="D920" t="s">
        <v>3239</v>
      </c>
      <c r="E920" t="s">
        <v>575</v>
      </c>
      <c r="F920" s="7" t="str">
        <f>IFERROR(INDEX(测试!H:H,MATCH(E920,测试!A:A,0)),1)</f>
        <v>-</v>
      </c>
    </row>
    <row r="921" spans="1:6" hidden="1" x14ac:dyDescent="0.3">
      <c r="A921" t="s">
        <v>2948</v>
      </c>
      <c r="B921" t="s">
        <v>576</v>
      </c>
      <c r="C921" t="s">
        <v>577</v>
      </c>
      <c r="D921" t="s">
        <v>3240</v>
      </c>
      <c r="E921" t="s">
        <v>579</v>
      </c>
      <c r="F921" s="7" t="str">
        <f>IFERROR(INDEX(测试!H:H,MATCH(E921,测试!A:A,0)),1)</f>
        <v>-</v>
      </c>
    </row>
    <row r="922" spans="1:6" hidden="1" x14ac:dyDescent="0.3">
      <c r="A922" t="s">
        <v>2948</v>
      </c>
      <c r="B922" t="s">
        <v>580</v>
      </c>
      <c r="C922" t="s">
        <v>581</v>
      </c>
      <c r="D922" t="s">
        <v>3241</v>
      </c>
      <c r="E922" t="s">
        <v>583</v>
      </c>
      <c r="F922" s="7" t="str">
        <f>IFERROR(INDEX(测试!H:H,MATCH(E922,测试!A:A,0)),1)</f>
        <v>-</v>
      </c>
    </row>
    <row r="923" spans="1:6" hidden="1" x14ac:dyDescent="0.3">
      <c r="A923" t="s">
        <v>2948</v>
      </c>
      <c r="B923" t="s">
        <v>584</v>
      </c>
      <c r="C923" t="s">
        <v>585</v>
      </c>
      <c r="D923" t="s">
        <v>3242</v>
      </c>
      <c r="E923" t="s">
        <v>587</v>
      </c>
      <c r="F923" s="7" t="str">
        <f>IFERROR(INDEX(测试!H:H,MATCH(E923,测试!A:A,0)),1)</f>
        <v>-</v>
      </c>
    </row>
    <row r="924" spans="1:6" hidden="1" x14ac:dyDescent="0.3">
      <c r="A924" t="s">
        <v>2948</v>
      </c>
      <c r="B924" t="s">
        <v>588</v>
      </c>
      <c r="C924" t="s">
        <v>589</v>
      </c>
      <c r="D924" t="s">
        <v>3243</v>
      </c>
      <c r="E924" t="s">
        <v>591</v>
      </c>
      <c r="F924" s="7" t="str">
        <f>IFERROR(INDEX(测试!H:H,MATCH(E924,测试!A:A,0)),1)</f>
        <v>-</v>
      </c>
    </row>
    <row r="925" spans="1:6" hidden="1" x14ac:dyDescent="0.3">
      <c r="A925" t="s">
        <v>2948</v>
      </c>
      <c r="B925" t="s">
        <v>592</v>
      </c>
      <c r="C925" t="s">
        <v>593</v>
      </c>
      <c r="D925" t="s">
        <v>3244</v>
      </c>
      <c r="E925" t="s">
        <v>595</v>
      </c>
      <c r="F925" s="7" t="str">
        <f>IFERROR(INDEX(测试!H:H,MATCH(E925,测试!A:A,0)),1)</f>
        <v>-</v>
      </c>
    </row>
    <row r="926" spans="1:6" hidden="1" x14ac:dyDescent="0.3">
      <c r="A926" t="s">
        <v>2948</v>
      </c>
      <c r="B926" t="s">
        <v>596</v>
      </c>
      <c r="C926" t="s">
        <v>597</v>
      </c>
      <c r="D926" t="s">
        <v>3245</v>
      </c>
      <c r="E926" t="s">
        <v>599</v>
      </c>
      <c r="F926" s="7" t="str">
        <f>IFERROR(INDEX(测试!H:H,MATCH(E926,测试!A:A,0)),1)</f>
        <v>-</v>
      </c>
    </row>
    <row r="927" spans="1:6" hidden="1" x14ac:dyDescent="0.3">
      <c r="A927" t="s">
        <v>2948</v>
      </c>
      <c r="B927" t="s">
        <v>600</v>
      </c>
      <c r="C927" t="s">
        <v>601</v>
      </c>
      <c r="D927" t="s">
        <v>3246</v>
      </c>
      <c r="E927" t="s">
        <v>603</v>
      </c>
      <c r="F927" s="7" t="str">
        <f>IFERROR(INDEX(测试!H:H,MATCH(E927,测试!A:A,0)),1)</f>
        <v>-</v>
      </c>
    </row>
    <row r="928" spans="1:6" hidden="1" x14ac:dyDescent="0.3">
      <c r="A928" t="s">
        <v>2948</v>
      </c>
      <c r="B928" t="s">
        <v>604</v>
      </c>
      <c r="C928" t="s">
        <v>605</v>
      </c>
      <c r="D928" t="s">
        <v>3247</v>
      </c>
      <c r="E928" t="s">
        <v>607</v>
      </c>
      <c r="F928" s="7" t="str">
        <f>IFERROR(INDEX(测试!H:H,MATCH(E928,测试!A:A,0)),1)</f>
        <v>-</v>
      </c>
    </row>
    <row r="929" spans="1:6" hidden="1" x14ac:dyDescent="0.3">
      <c r="A929" t="s">
        <v>2948</v>
      </c>
      <c r="B929" t="s">
        <v>608</v>
      </c>
      <c r="C929" t="s">
        <v>609</v>
      </c>
      <c r="D929" t="s">
        <v>3248</v>
      </c>
      <c r="E929" t="s">
        <v>611</v>
      </c>
      <c r="F929" s="7" t="str">
        <f>IFERROR(INDEX(测试!H:H,MATCH(E929,测试!A:A,0)),1)</f>
        <v>-</v>
      </c>
    </row>
    <row r="930" spans="1:6" hidden="1" x14ac:dyDescent="0.3">
      <c r="A930" t="s">
        <v>2948</v>
      </c>
      <c r="B930" t="s">
        <v>612</v>
      </c>
      <c r="C930" t="s">
        <v>613</v>
      </c>
      <c r="D930" t="s">
        <v>3249</v>
      </c>
      <c r="E930" t="s">
        <v>615</v>
      </c>
      <c r="F930" s="7" t="str">
        <f>IFERROR(INDEX(测试!H:H,MATCH(E930,测试!A:A,0)),1)</f>
        <v>-</v>
      </c>
    </row>
    <row r="931" spans="1:6" hidden="1" x14ac:dyDescent="0.3">
      <c r="A931" t="s">
        <v>2948</v>
      </c>
      <c r="B931" t="s">
        <v>616</v>
      </c>
      <c r="C931" t="s">
        <v>617</v>
      </c>
      <c r="D931" t="s">
        <v>3250</v>
      </c>
      <c r="E931" t="s">
        <v>619</v>
      </c>
      <c r="F931" s="7" t="str">
        <f>IFERROR(INDEX(测试!H:H,MATCH(E931,测试!A:A,0)),1)</f>
        <v>-</v>
      </c>
    </row>
    <row r="932" spans="1:6" hidden="1" x14ac:dyDescent="0.3">
      <c r="A932" t="s">
        <v>2948</v>
      </c>
      <c r="B932" t="s">
        <v>620</v>
      </c>
      <c r="C932" t="s">
        <v>621</v>
      </c>
      <c r="D932" t="s">
        <v>3251</v>
      </c>
      <c r="E932" t="s">
        <v>623</v>
      </c>
      <c r="F932" s="7" t="str">
        <f>IFERROR(INDEX(测试!H:H,MATCH(E932,测试!A:A,0)),1)</f>
        <v>-</v>
      </c>
    </row>
    <row r="933" spans="1:6" hidden="1" x14ac:dyDescent="0.3">
      <c r="A933" t="s">
        <v>2948</v>
      </c>
      <c r="B933" t="s">
        <v>624</v>
      </c>
      <c r="C933" t="s">
        <v>625</v>
      </c>
      <c r="D933" t="s">
        <v>3252</v>
      </c>
      <c r="E933" t="s">
        <v>627</v>
      </c>
      <c r="F933" s="7" t="str">
        <f>IFERROR(INDEX(测试!H:H,MATCH(E933,测试!A:A,0)),1)</f>
        <v>-</v>
      </c>
    </row>
    <row r="934" spans="1:6" hidden="1" x14ac:dyDescent="0.3">
      <c r="A934" t="s">
        <v>2948</v>
      </c>
      <c r="B934" t="s">
        <v>628</v>
      </c>
      <c r="C934" t="s">
        <v>629</v>
      </c>
      <c r="D934" t="s">
        <v>3253</v>
      </c>
      <c r="E934" t="s">
        <v>631</v>
      </c>
      <c r="F934" s="7" t="str">
        <f>IFERROR(INDEX(测试!H:H,MATCH(E934,测试!A:A,0)),1)</f>
        <v>-</v>
      </c>
    </row>
    <row r="935" spans="1:6" hidden="1" x14ac:dyDescent="0.3">
      <c r="A935" t="s">
        <v>2948</v>
      </c>
      <c r="B935" t="s">
        <v>632</v>
      </c>
      <c r="C935" t="s">
        <v>633</v>
      </c>
      <c r="D935" t="s">
        <v>3254</v>
      </c>
      <c r="E935" t="s">
        <v>635</v>
      </c>
      <c r="F935" s="7" t="str">
        <f>IFERROR(INDEX(测试!H:H,MATCH(E935,测试!A:A,0)),1)</f>
        <v>-</v>
      </c>
    </row>
    <row r="936" spans="1:6" hidden="1" x14ac:dyDescent="0.3">
      <c r="A936" t="s">
        <v>2948</v>
      </c>
      <c r="B936" t="s">
        <v>636</v>
      </c>
      <c r="C936" t="s">
        <v>637</v>
      </c>
      <c r="D936" t="s">
        <v>3255</v>
      </c>
      <c r="E936" t="s">
        <v>639</v>
      </c>
      <c r="F936" s="7" t="str">
        <f>IFERROR(INDEX(测试!H:H,MATCH(E936,测试!A:A,0)),1)</f>
        <v>-</v>
      </c>
    </row>
    <row r="937" spans="1:6" hidden="1" x14ac:dyDescent="0.3">
      <c r="A937" t="s">
        <v>2948</v>
      </c>
      <c r="B937" t="s">
        <v>3983</v>
      </c>
      <c r="C937" t="s">
        <v>642</v>
      </c>
      <c r="D937" t="s">
        <v>3257</v>
      </c>
      <c r="E937" t="s">
        <v>643</v>
      </c>
      <c r="F937" s="7" t="str">
        <f>IFERROR(INDEX(测试!H:H,MATCH(E937,测试!A:A,0)),1)</f>
        <v>-</v>
      </c>
    </row>
    <row r="938" spans="1:6" hidden="1" x14ac:dyDescent="0.3">
      <c r="A938" t="s">
        <v>2948</v>
      </c>
      <c r="B938" t="s">
        <v>3984</v>
      </c>
      <c r="C938" t="s">
        <v>648</v>
      </c>
      <c r="D938" t="s">
        <v>3259</v>
      </c>
      <c r="E938" t="s">
        <v>649</v>
      </c>
      <c r="F938" s="7" t="str">
        <f>IFERROR(INDEX(测试!H:H,MATCH(E938,测试!A:A,0)),1)</f>
        <v>-</v>
      </c>
    </row>
    <row r="939" spans="1:6" hidden="1" x14ac:dyDescent="0.3">
      <c r="A939" t="s">
        <v>2948</v>
      </c>
      <c r="B939" t="s">
        <v>644</v>
      </c>
      <c r="C939" t="s">
        <v>645</v>
      </c>
      <c r="D939" t="s">
        <v>3258</v>
      </c>
      <c r="E939" t="s">
        <v>647</v>
      </c>
      <c r="F939" s="7" t="str">
        <f>IFERROR(INDEX(测试!H:H,MATCH(E939,测试!A:A,0)),1)</f>
        <v>-</v>
      </c>
    </row>
    <row r="940" spans="1:6" hidden="1" x14ac:dyDescent="0.3">
      <c r="A940" t="s">
        <v>2948</v>
      </c>
      <c r="B940" t="s">
        <v>3985</v>
      </c>
      <c r="C940" t="s">
        <v>640</v>
      </c>
      <c r="D940" t="s">
        <v>3256</v>
      </c>
      <c r="E940" t="s">
        <v>641</v>
      </c>
      <c r="F940" s="7" t="str">
        <f>IFERROR(INDEX(测试!H:H,MATCH(E940,测试!A:A,0)),1)</f>
        <v>-</v>
      </c>
    </row>
    <row r="941" spans="1:6" hidden="1" x14ac:dyDescent="0.3">
      <c r="A941" t="s">
        <v>2948</v>
      </c>
      <c r="B941" t="s">
        <v>650</v>
      </c>
      <c r="C941" t="s">
        <v>651</v>
      </c>
      <c r="D941" t="s">
        <v>3260</v>
      </c>
      <c r="E941" t="s">
        <v>653</v>
      </c>
      <c r="F941" s="7" t="str">
        <f>IFERROR(INDEX(测试!H:H,MATCH(E941,测试!A:A,0)),1)</f>
        <v>-</v>
      </c>
    </row>
    <row r="942" spans="1:6" hidden="1" x14ac:dyDescent="0.3">
      <c r="A942" t="s">
        <v>2948</v>
      </c>
      <c r="B942" t="s">
        <v>654</v>
      </c>
      <c r="C942" t="s">
        <v>655</v>
      </c>
      <c r="D942" t="s">
        <v>3261</v>
      </c>
      <c r="E942" t="s">
        <v>657</v>
      </c>
      <c r="F942" s="7" t="str">
        <f>IFERROR(INDEX(测试!H:H,MATCH(E942,测试!A:A,0)),1)</f>
        <v>-</v>
      </c>
    </row>
    <row r="943" spans="1:6" hidden="1" x14ac:dyDescent="0.3">
      <c r="A943" t="s">
        <v>2948</v>
      </c>
      <c r="B943" t="s">
        <v>658</v>
      </c>
      <c r="C943" t="s">
        <v>659</v>
      </c>
      <c r="D943" t="s">
        <v>3262</v>
      </c>
      <c r="E943" t="s">
        <v>661</v>
      </c>
      <c r="F943" s="7" t="str">
        <f>IFERROR(INDEX(测试!H:H,MATCH(E943,测试!A:A,0)),1)</f>
        <v>-</v>
      </c>
    </row>
    <row r="944" spans="1:6" hidden="1" x14ac:dyDescent="0.3">
      <c r="A944" t="s">
        <v>2948</v>
      </c>
      <c r="B944" t="s">
        <v>662</v>
      </c>
      <c r="C944" t="s">
        <v>663</v>
      </c>
      <c r="D944" t="s">
        <v>3263</v>
      </c>
      <c r="E944" t="s">
        <v>665</v>
      </c>
      <c r="F944" s="7" t="str">
        <f>IFERROR(INDEX(测试!H:H,MATCH(E944,测试!A:A,0)),1)</f>
        <v>-</v>
      </c>
    </row>
    <row r="945" spans="1:6" hidden="1" x14ac:dyDescent="0.3">
      <c r="A945" t="s">
        <v>2948</v>
      </c>
      <c r="B945" t="s">
        <v>666</v>
      </c>
      <c r="C945" t="s">
        <v>667</v>
      </c>
      <c r="D945" t="s">
        <v>3264</v>
      </c>
      <c r="E945" t="s">
        <v>3095</v>
      </c>
      <c r="F945" s="7" t="str">
        <f>IFERROR(INDEX(测试!H:H,MATCH(E945,测试!A:A,0)),1)</f>
        <v>-</v>
      </c>
    </row>
    <row r="946" spans="1:6" hidden="1" x14ac:dyDescent="0.3">
      <c r="A946" t="s">
        <v>2948</v>
      </c>
      <c r="B946" t="s">
        <v>669</v>
      </c>
      <c r="C946" t="s">
        <v>670</v>
      </c>
      <c r="D946" t="s">
        <v>3265</v>
      </c>
      <c r="E946" t="s">
        <v>672</v>
      </c>
      <c r="F946" s="7" t="str">
        <f>IFERROR(INDEX(测试!H:H,MATCH(E946,测试!A:A,0)),1)</f>
        <v>-</v>
      </c>
    </row>
    <row r="947" spans="1:6" hidden="1" x14ac:dyDescent="0.3">
      <c r="A947" t="s">
        <v>2948</v>
      </c>
      <c r="B947" t="s">
        <v>673</v>
      </c>
      <c r="C947" t="s">
        <v>674</v>
      </c>
      <c r="D947" t="s">
        <v>3266</v>
      </c>
      <c r="E947" t="s">
        <v>676</v>
      </c>
      <c r="F947" s="7" t="str">
        <f>IFERROR(INDEX(测试!H:H,MATCH(E947,测试!A:A,0)),1)</f>
        <v>-</v>
      </c>
    </row>
    <row r="948" spans="1:6" hidden="1" x14ac:dyDescent="0.3">
      <c r="A948" t="s">
        <v>2948</v>
      </c>
      <c r="B948" t="s">
        <v>677</v>
      </c>
      <c r="C948" t="s">
        <v>678</v>
      </c>
      <c r="D948" t="s">
        <v>3267</v>
      </c>
      <c r="E948" t="s">
        <v>680</v>
      </c>
      <c r="F948" s="7" t="str">
        <f>IFERROR(INDEX(测试!H:H,MATCH(E948,测试!A:A,0)),1)</f>
        <v>-</v>
      </c>
    </row>
    <row r="949" spans="1:6" hidden="1" x14ac:dyDescent="0.3">
      <c r="A949" t="s">
        <v>2948</v>
      </c>
      <c r="B949" t="s">
        <v>681</v>
      </c>
      <c r="C949" t="s">
        <v>682</v>
      </c>
      <c r="D949" t="s">
        <v>3268</v>
      </c>
      <c r="E949" t="s">
        <v>684</v>
      </c>
      <c r="F949" s="7" t="str">
        <f>IFERROR(INDEX(测试!H:H,MATCH(E949,测试!A:A,0)),1)</f>
        <v>-</v>
      </c>
    </row>
    <row r="950" spans="1:6" hidden="1" x14ac:dyDescent="0.3">
      <c r="A950" t="s">
        <v>2948</v>
      </c>
      <c r="B950" t="s">
        <v>685</v>
      </c>
      <c r="C950" t="s">
        <v>686</v>
      </c>
      <c r="D950" t="s">
        <v>3269</v>
      </c>
      <c r="E950" t="s">
        <v>688</v>
      </c>
      <c r="F950" s="7" t="str">
        <f>IFERROR(INDEX(测试!H:H,MATCH(E950,测试!A:A,0)),1)</f>
        <v>-</v>
      </c>
    </row>
    <row r="951" spans="1:6" hidden="1" x14ac:dyDescent="0.3">
      <c r="A951" s="28" t="s">
        <v>2948</v>
      </c>
      <c r="B951" t="s">
        <v>689</v>
      </c>
      <c r="C951" t="s">
        <v>690</v>
      </c>
      <c r="D951" t="s">
        <v>3270</v>
      </c>
      <c r="E951" t="s">
        <v>692</v>
      </c>
      <c r="F951" s="7" t="str">
        <f>IFERROR(INDEX(测试!H:H,MATCH(E951,测试!A:A,0)),1)</f>
        <v>-</v>
      </c>
    </row>
    <row r="952" spans="1:6" hidden="1" x14ac:dyDescent="0.3">
      <c r="A952" t="s">
        <v>2948</v>
      </c>
      <c r="B952" t="s">
        <v>693</v>
      </c>
      <c r="C952" t="s">
        <v>694</v>
      </c>
      <c r="D952" t="s">
        <v>3271</v>
      </c>
      <c r="E952" t="s">
        <v>3096</v>
      </c>
      <c r="F952" s="7" t="str">
        <f>IFERROR(INDEX(测试!H:H,MATCH(E952,测试!A:A,0)),1)</f>
        <v>-</v>
      </c>
    </row>
    <row r="953" spans="1:6" hidden="1" x14ac:dyDescent="0.3">
      <c r="A953" t="s">
        <v>2948</v>
      </c>
      <c r="B953" t="s">
        <v>696</v>
      </c>
      <c r="C953" t="s">
        <v>697</v>
      </c>
      <c r="D953" t="s">
        <v>3272</v>
      </c>
      <c r="E953" t="s">
        <v>699</v>
      </c>
      <c r="F953" s="7" t="str">
        <f>IFERROR(INDEX(测试!H:H,MATCH(E953,测试!A:A,0)),1)</f>
        <v>-</v>
      </c>
    </row>
    <row r="954" spans="1:6" hidden="1" x14ac:dyDescent="0.3">
      <c r="A954" t="s">
        <v>2948</v>
      </c>
      <c r="B954" t="s">
        <v>700</v>
      </c>
      <c r="C954" t="s">
        <v>701</v>
      </c>
      <c r="D954" t="s">
        <v>3273</v>
      </c>
      <c r="E954" t="s">
        <v>703</v>
      </c>
      <c r="F954" s="7" t="str">
        <f>IFERROR(INDEX(测试!H:H,MATCH(E954,测试!A:A,0)),1)</f>
        <v>-</v>
      </c>
    </row>
    <row r="955" spans="1:6" hidden="1" x14ac:dyDescent="0.3">
      <c r="A955" t="s">
        <v>2948</v>
      </c>
      <c r="B955" t="s">
        <v>704</v>
      </c>
      <c r="C955" t="s">
        <v>705</v>
      </c>
      <c r="D955" t="s">
        <v>3274</v>
      </c>
      <c r="E955" t="s">
        <v>707</v>
      </c>
      <c r="F955" s="7" t="str">
        <f>IFERROR(INDEX(测试!H:H,MATCH(E955,测试!A:A,0)),1)</f>
        <v>-</v>
      </c>
    </row>
    <row r="956" spans="1:6" hidden="1" x14ac:dyDescent="0.3">
      <c r="A956" t="s">
        <v>2948</v>
      </c>
      <c r="B956" t="s">
        <v>708</v>
      </c>
      <c r="C956" t="s">
        <v>709</v>
      </c>
      <c r="D956" t="s">
        <v>3275</v>
      </c>
      <c r="E956" t="s">
        <v>711</v>
      </c>
      <c r="F956" s="7" t="str">
        <f>IFERROR(INDEX(测试!H:H,MATCH(E956,测试!A:A,0)),1)</f>
        <v>-</v>
      </c>
    </row>
    <row r="957" spans="1:6" hidden="1" x14ac:dyDescent="0.3">
      <c r="A957" t="s">
        <v>2948</v>
      </c>
      <c r="B957" t="s">
        <v>712</v>
      </c>
      <c r="C957" t="s">
        <v>713</v>
      </c>
      <c r="D957" t="s">
        <v>3276</v>
      </c>
      <c r="E957" t="s">
        <v>715</v>
      </c>
      <c r="F957" s="7" t="str">
        <f>IFERROR(INDEX(测试!H:H,MATCH(E957,测试!A:A,0)),1)</f>
        <v>-</v>
      </c>
    </row>
    <row r="958" spans="1:6" hidden="1" x14ac:dyDescent="0.3">
      <c r="A958" t="s">
        <v>2948</v>
      </c>
      <c r="B958" t="s">
        <v>716</v>
      </c>
      <c r="C958" t="s">
        <v>717</v>
      </c>
      <c r="D958" t="s">
        <v>3277</v>
      </c>
      <c r="E958" t="s">
        <v>719</v>
      </c>
      <c r="F958" s="7" t="str">
        <f>IFERROR(INDEX(测试!H:H,MATCH(E958,测试!A:A,0)),1)</f>
        <v>-</v>
      </c>
    </row>
    <row r="959" spans="1:6" hidden="1" x14ac:dyDescent="0.3">
      <c r="A959" t="s">
        <v>2948</v>
      </c>
      <c r="B959" t="s">
        <v>720</v>
      </c>
      <c r="C959" t="s">
        <v>721</v>
      </c>
      <c r="D959" t="s">
        <v>3278</v>
      </c>
      <c r="E959" t="s">
        <v>723</v>
      </c>
      <c r="F959" s="7" t="str">
        <f>IFERROR(INDEX(测试!H:H,MATCH(E959,测试!A:A,0)),1)</f>
        <v>-</v>
      </c>
    </row>
    <row r="960" spans="1:6" hidden="1" x14ac:dyDescent="0.3">
      <c r="A960" t="s">
        <v>2948</v>
      </c>
      <c r="B960" t="s">
        <v>724</v>
      </c>
      <c r="C960" t="s">
        <v>725</v>
      </c>
      <c r="D960" t="s">
        <v>3279</v>
      </c>
      <c r="E960" t="s">
        <v>727</v>
      </c>
      <c r="F960" s="7" t="str">
        <f>IFERROR(INDEX(测试!H:H,MATCH(E960,测试!A:A,0)),1)</f>
        <v>-</v>
      </c>
    </row>
    <row r="961" spans="1:6" hidden="1" x14ac:dyDescent="0.3">
      <c r="A961" t="s">
        <v>2948</v>
      </c>
      <c r="B961" t="s">
        <v>728</v>
      </c>
      <c r="C961" t="s">
        <v>729</v>
      </c>
      <c r="D961" t="s">
        <v>3280</v>
      </c>
      <c r="E961" t="s">
        <v>731</v>
      </c>
      <c r="F961" s="7" t="str">
        <f>IFERROR(INDEX(测试!H:H,MATCH(E961,测试!A:A,0)),1)</f>
        <v>-</v>
      </c>
    </row>
    <row r="962" spans="1:6" hidden="1" x14ac:dyDescent="0.3">
      <c r="A962" t="s">
        <v>2948</v>
      </c>
      <c r="B962" t="s">
        <v>732</v>
      </c>
      <c r="C962" t="s">
        <v>733</v>
      </c>
      <c r="D962" t="s">
        <v>3281</v>
      </c>
      <c r="E962" t="s">
        <v>3097</v>
      </c>
      <c r="F962" s="7" t="str">
        <f>IFERROR(INDEX(测试!H:H,MATCH(E962,测试!A:A,0)),1)</f>
        <v>-</v>
      </c>
    </row>
    <row r="963" spans="1:6" hidden="1" x14ac:dyDescent="0.3">
      <c r="A963" t="s">
        <v>2948</v>
      </c>
      <c r="B963" t="s">
        <v>735</v>
      </c>
      <c r="C963" t="s">
        <v>736</v>
      </c>
      <c r="D963" t="s">
        <v>3282</v>
      </c>
      <c r="E963" t="s">
        <v>738</v>
      </c>
      <c r="F963" s="7" t="str">
        <f>IFERROR(INDEX(测试!H:H,MATCH(E963,测试!A:A,0)),1)</f>
        <v>-</v>
      </c>
    </row>
    <row r="964" spans="1:6" hidden="1" x14ac:dyDescent="0.3">
      <c r="A964" s="21" t="s">
        <v>2948</v>
      </c>
      <c r="B964" s="21" t="s">
        <v>739</v>
      </c>
      <c r="C964" s="1" t="s">
        <v>740</v>
      </c>
      <c r="D964" s="1" t="s">
        <v>3283</v>
      </c>
      <c r="E964" s="1" t="s">
        <v>742</v>
      </c>
      <c r="F964" s="7" t="str">
        <f>IFERROR(INDEX(测试!H:H,MATCH(E964,测试!A:A,0)),1)</f>
        <v>-</v>
      </c>
    </row>
    <row r="965" spans="1:6" x14ac:dyDescent="0.3">
      <c r="A965" s="21" t="s">
        <v>2948</v>
      </c>
      <c r="B965" s="21" t="s">
        <v>743</v>
      </c>
      <c r="C965" s="1" t="s">
        <v>744</v>
      </c>
      <c r="D965" s="1" t="s">
        <v>3284</v>
      </c>
      <c r="E965" s="1" t="s">
        <v>746</v>
      </c>
      <c r="F965" s="7">
        <f>IFERROR(INDEX(测试!H:H,MATCH(E965,测试!A:A,0)),1)</f>
        <v>1</v>
      </c>
    </row>
    <row r="966" spans="1:6" x14ac:dyDescent="0.3">
      <c r="A966" s="21" t="s">
        <v>2948</v>
      </c>
      <c r="B966" s="21" t="s">
        <v>747</v>
      </c>
      <c r="C966" s="1" t="s">
        <v>748</v>
      </c>
      <c r="D966" s="1" t="s">
        <v>3285</v>
      </c>
      <c r="E966" s="1" t="s">
        <v>750</v>
      </c>
      <c r="F966" s="7">
        <f>IFERROR(INDEX(测试!H:H,MATCH(E966,测试!A:A,0)),1)</f>
        <v>1</v>
      </c>
    </row>
    <row r="967" spans="1:6" x14ac:dyDescent="0.3">
      <c r="A967" s="21" t="s">
        <v>2948</v>
      </c>
      <c r="B967" s="21" t="s">
        <v>751</v>
      </c>
      <c r="C967" s="1" t="s">
        <v>752</v>
      </c>
      <c r="D967" s="1" t="s">
        <v>3286</v>
      </c>
      <c r="E967" s="1" t="s">
        <v>754</v>
      </c>
      <c r="F967" s="7">
        <f>IFERROR(INDEX(测试!H:H,MATCH(E967,测试!A:A,0)),1)</f>
        <v>1</v>
      </c>
    </row>
    <row r="968" spans="1:6" x14ac:dyDescent="0.3">
      <c r="A968" s="21" t="s">
        <v>2948</v>
      </c>
      <c r="B968" s="21" t="s">
        <v>3986</v>
      </c>
      <c r="C968" s="1" t="s">
        <v>3942</v>
      </c>
      <c r="D968" s="1" t="s">
        <v>3943</v>
      </c>
      <c r="E968" s="1" t="s">
        <v>3944</v>
      </c>
      <c r="F968" s="7">
        <f>IFERROR(INDEX(测试!H:H,MATCH(E968,测试!A:A,0)),1)</f>
        <v>1</v>
      </c>
    </row>
    <row r="969" spans="1:6" x14ac:dyDescent="0.3">
      <c r="A969" s="21" t="s">
        <v>2948</v>
      </c>
      <c r="B969" s="21" t="s">
        <v>3987</v>
      </c>
      <c r="C969" s="1" t="s">
        <v>3936</v>
      </c>
      <c r="D969" s="1" t="s">
        <v>3937</v>
      </c>
      <c r="E969" s="1" t="s">
        <v>3938</v>
      </c>
      <c r="F969" s="7">
        <f>IFERROR(INDEX(测试!H:H,MATCH(E969,测试!A:A,0)),1)</f>
        <v>1</v>
      </c>
    </row>
    <row r="970" spans="1:6" x14ac:dyDescent="0.3">
      <c r="A970" s="21" t="s">
        <v>2948</v>
      </c>
      <c r="B970" s="21" t="s">
        <v>3988</v>
      </c>
      <c r="C970" s="1" t="s">
        <v>3939</v>
      </c>
      <c r="D970" s="1" t="s">
        <v>3940</v>
      </c>
      <c r="E970" s="1" t="s">
        <v>3941</v>
      </c>
      <c r="F970" s="7">
        <f>IFERROR(INDEX(测试!H:H,MATCH(E970,测试!A:A,0)),1)</f>
        <v>1</v>
      </c>
    </row>
    <row r="971" spans="1:6" x14ac:dyDescent="0.3">
      <c r="A971" s="21" t="s">
        <v>2948</v>
      </c>
      <c r="B971" s="21" t="s">
        <v>3989</v>
      </c>
      <c r="C971" s="1" t="s">
        <v>3981</v>
      </c>
      <c r="D971" s="1" t="s">
        <v>3982</v>
      </c>
      <c r="E971" s="1" t="s">
        <v>3990</v>
      </c>
      <c r="F971" s="7">
        <f>IFERROR(INDEX(测试!H:H,MATCH(E971,测试!A:A,0)),1)</f>
        <v>1</v>
      </c>
    </row>
    <row r="972" spans="1:6" x14ac:dyDescent="0.3">
      <c r="A972" s="21" t="s">
        <v>2948</v>
      </c>
      <c r="B972" s="21" t="s">
        <v>3991</v>
      </c>
      <c r="C972" s="1" t="s">
        <v>3974</v>
      </c>
      <c r="D972" s="1" t="s">
        <v>3975</v>
      </c>
      <c r="E972" s="1" t="s">
        <v>3976</v>
      </c>
      <c r="F972" s="7">
        <f>IFERROR(INDEX(测试!H:H,MATCH(E972,测试!A:A,0)),1)</f>
        <v>1</v>
      </c>
    </row>
    <row r="973" spans="1:6" x14ac:dyDescent="0.3">
      <c r="A973" s="21" t="s">
        <v>2948</v>
      </c>
      <c r="B973" s="21" t="s">
        <v>3992</v>
      </c>
      <c r="C973" s="1" t="s">
        <v>3977</v>
      </c>
      <c r="D973" s="1" t="s">
        <v>3978</v>
      </c>
      <c r="E973" s="1" t="s">
        <v>3979</v>
      </c>
      <c r="F973" s="7">
        <f>IFERROR(INDEX(测试!H:H,MATCH(E973,测试!A:A,0)),1)</f>
        <v>1</v>
      </c>
    </row>
    <row r="974" spans="1:6" x14ac:dyDescent="0.3">
      <c r="A974" s="21" t="s">
        <v>2948</v>
      </c>
      <c r="B974" s="21" t="s">
        <v>3993</v>
      </c>
      <c r="C974" s="1" t="s">
        <v>3994</v>
      </c>
      <c r="D974" s="1" t="s">
        <v>3995</v>
      </c>
      <c r="E974" s="1" t="s">
        <v>3996</v>
      </c>
      <c r="F974" s="7">
        <f>IFERROR(INDEX(测试!H:H,MATCH(E974,测试!A:A,0)),1)</f>
        <v>1</v>
      </c>
    </row>
    <row r="975" spans="1:6" x14ac:dyDescent="0.3">
      <c r="A975" s="21" t="s">
        <v>2948</v>
      </c>
      <c r="B975" s="21" t="s">
        <v>3997</v>
      </c>
      <c r="C975" s="1" t="s">
        <v>3998</v>
      </c>
      <c r="D975" s="1" t="s">
        <v>3999</v>
      </c>
      <c r="E975" s="1" t="s">
        <v>4000</v>
      </c>
      <c r="F975" s="7">
        <f>IFERROR(INDEX(测试!H:H,MATCH(E975,测试!A:A,0)),1)</f>
        <v>1</v>
      </c>
    </row>
    <row r="976" spans="1:6" x14ac:dyDescent="0.3">
      <c r="A976" s="21" t="s">
        <v>2948</v>
      </c>
      <c r="B976" s="21" t="s">
        <v>4001</v>
      </c>
      <c r="C976" s="1" t="s">
        <v>4002</v>
      </c>
      <c r="D976" s="1" t="s">
        <v>4003</v>
      </c>
      <c r="E976" s="1" t="s">
        <v>4004</v>
      </c>
      <c r="F976" s="7">
        <f>IFERROR(INDEX(测试!H:H,MATCH(E976,测试!A:A,0)),1)</f>
        <v>1</v>
      </c>
    </row>
    <row r="977" spans="1:6" x14ac:dyDescent="0.3">
      <c r="A977" s="21" t="s">
        <v>2948</v>
      </c>
      <c r="B977" s="21" t="s">
        <v>4005</v>
      </c>
      <c r="C977" s="1" t="s">
        <v>4006</v>
      </c>
      <c r="D977" s="1" t="s">
        <v>4007</v>
      </c>
      <c r="E977" s="1" t="s">
        <v>4008</v>
      </c>
      <c r="F977" s="7">
        <f>IFERROR(INDEX(测试!H:H,MATCH(E977,测试!A:A,0)),1)</f>
        <v>1</v>
      </c>
    </row>
    <row r="978" spans="1:6" x14ac:dyDescent="0.3">
      <c r="A978" s="21" t="s">
        <v>2948</v>
      </c>
      <c r="B978" s="21" t="s">
        <v>4009</v>
      </c>
      <c r="C978" s="1" t="s">
        <v>4010</v>
      </c>
      <c r="D978" s="1" t="s">
        <v>4011</v>
      </c>
      <c r="E978" s="1" t="s">
        <v>4012</v>
      </c>
      <c r="F978" s="7">
        <f>IFERROR(INDEX(测试!H:H,MATCH(E978,测试!A:A,0)),1)</f>
        <v>1</v>
      </c>
    </row>
    <row r="979" spans="1:6" x14ac:dyDescent="0.3">
      <c r="A979" s="21" t="s">
        <v>2948</v>
      </c>
      <c r="B979" s="21" t="s">
        <v>4013</v>
      </c>
      <c r="C979" s="1" t="s">
        <v>4014</v>
      </c>
      <c r="D979" s="1" t="s">
        <v>4015</v>
      </c>
      <c r="E979" s="1" t="s">
        <v>4016</v>
      </c>
      <c r="F979" s="7">
        <f>IFERROR(INDEX(测试!H:H,MATCH(E979,测试!A:A,0)),1)</f>
        <v>1</v>
      </c>
    </row>
    <row r="980" spans="1:6" x14ac:dyDescent="0.3">
      <c r="A980" s="21" t="s">
        <v>2948</v>
      </c>
      <c r="B980" s="21" t="s">
        <v>4024</v>
      </c>
      <c r="C980" s="1" t="s">
        <v>4025</v>
      </c>
      <c r="D980" s="1" t="s">
        <v>4026</v>
      </c>
      <c r="E980" s="1" t="s">
        <v>4027</v>
      </c>
      <c r="F980" s="7">
        <f>IFERROR(INDEX(测试!H:H,MATCH(E980,测试!A:A,0)),1)</f>
        <v>1</v>
      </c>
    </row>
    <row r="981" spans="1:6" x14ac:dyDescent="0.3">
      <c r="A981" s="21" t="s">
        <v>2948</v>
      </c>
      <c r="B981" s="21" t="s">
        <v>4028</v>
      </c>
      <c r="C981" s="1" t="s">
        <v>4029</v>
      </c>
      <c r="D981" s="1" t="s">
        <v>4030</v>
      </c>
      <c r="E981" s="1" t="s">
        <v>4031</v>
      </c>
      <c r="F981" s="7">
        <f>IFERROR(INDEX(测试!H:H,MATCH(E981,测试!A:A,0)),1)</f>
        <v>1</v>
      </c>
    </row>
    <row r="982" spans="1:6" x14ac:dyDescent="0.3">
      <c r="A982" s="21" t="s">
        <v>2948</v>
      </c>
      <c r="B982" s="21" t="s">
        <v>4032</v>
      </c>
      <c r="C982" s="1" t="s">
        <v>4033</v>
      </c>
      <c r="D982" s="1" t="s">
        <v>4034</v>
      </c>
      <c r="E982" s="1" t="s">
        <v>4035</v>
      </c>
      <c r="F982" s="7">
        <f>IFERROR(INDEX(测试!H:H,MATCH(E982,测试!A:A,0)),1)</f>
        <v>1</v>
      </c>
    </row>
    <row r="983" spans="1:6" x14ac:dyDescent="0.3">
      <c r="A983" s="21" t="s">
        <v>2948</v>
      </c>
      <c r="B983" s="21" t="s">
        <v>4039</v>
      </c>
      <c r="C983" s="1" t="s">
        <v>4040</v>
      </c>
      <c r="D983" s="1" t="s">
        <v>4041</v>
      </c>
      <c r="E983" s="1" t="s">
        <v>4042</v>
      </c>
      <c r="F983" s="7">
        <f>IFERROR(INDEX(测试!H:H,MATCH(E983,测试!A:A,0)),1)</f>
        <v>1</v>
      </c>
    </row>
    <row r="984" spans="1:6" x14ac:dyDescent="0.3">
      <c r="A984" s="21" t="s">
        <v>2948</v>
      </c>
      <c r="B984" s="21" t="s">
        <v>4043</v>
      </c>
      <c r="C984" s="1" t="s">
        <v>4044</v>
      </c>
      <c r="D984" s="1" t="s">
        <v>4045</v>
      </c>
      <c r="E984" s="1" t="s">
        <v>4046</v>
      </c>
      <c r="F984" s="7">
        <f>IFERROR(INDEX(测试!H:H,MATCH(E984,测试!A:A,0)),1)</f>
        <v>1</v>
      </c>
    </row>
    <row r="985" spans="1:6" x14ac:dyDescent="0.3">
      <c r="A985" s="21" t="s">
        <v>2948</v>
      </c>
      <c r="B985" s="21" t="s">
        <v>4047</v>
      </c>
      <c r="C985" s="1" t="s">
        <v>4048</v>
      </c>
      <c r="D985" s="1" t="s">
        <v>4049</v>
      </c>
      <c r="E985" s="1" t="s">
        <v>4050</v>
      </c>
      <c r="F985" s="7">
        <f>IFERROR(INDEX(测试!H:H,MATCH(E985,测试!A:A,0)),1)</f>
        <v>1</v>
      </c>
    </row>
    <row r="986" spans="1:6" x14ac:dyDescent="0.3">
      <c r="A986" s="21" t="s">
        <v>2948</v>
      </c>
      <c r="B986" s="21" t="s">
        <v>4093</v>
      </c>
      <c r="C986" s="1" t="s">
        <v>4094</v>
      </c>
      <c r="D986" s="1" t="s">
        <v>4095</v>
      </c>
      <c r="E986" s="1" t="s">
        <v>4096</v>
      </c>
      <c r="F986" s="7">
        <f>IFERROR(INDEX(测试!H:H,MATCH(E986,测试!A:A,0)),1)</f>
        <v>1</v>
      </c>
    </row>
    <row r="987" spans="1:6" x14ac:dyDescent="0.3">
      <c r="A987" s="21" t="s">
        <v>2948</v>
      </c>
      <c r="B987" s="21" t="s">
        <v>4097</v>
      </c>
      <c r="C987" s="1" t="s">
        <v>4098</v>
      </c>
      <c r="D987" s="1" t="s">
        <v>4099</v>
      </c>
      <c r="E987" s="1" t="s">
        <v>4100</v>
      </c>
      <c r="F987" s="7">
        <f>IFERROR(INDEX(测试!H:H,MATCH(E987,测试!A:A,0)),1)</f>
        <v>1</v>
      </c>
    </row>
    <row r="988" spans="1:6" x14ac:dyDescent="0.3">
      <c r="A988" s="21" t="s">
        <v>2948</v>
      </c>
      <c r="B988" s="21" t="s">
        <v>4101</v>
      </c>
      <c r="C988" s="1" t="s">
        <v>4102</v>
      </c>
      <c r="D988" s="1" t="s">
        <v>4103</v>
      </c>
      <c r="E988" s="1" t="s">
        <v>4104</v>
      </c>
      <c r="F988" s="7">
        <f>IFERROR(INDEX(测试!H:H,MATCH(E988,测试!A:A,0)),1)</f>
        <v>1</v>
      </c>
    </row>
    <row r="989" spans="1:6" x14ac:dyDescent="0.3">
      <c r="A989" s="21" t="s">
        <v>2948</v>
      </c>
      <c r="B989" s="21" t="s">
        <v>4105</v>
      </c>
      <c r="C989" s="1" t="s">
        <v>4106</v>
      </c>
      <c r="D989" s="1" t="s">
        <v>4107</v>
      </c>
      <c r="E989" s="1" t="s">
        <v>4108</v>
      </c>
      <c r="F989" s="7">
        <f>IFERROR(INDEX(测试!H:H,MATCH(E989,测试!A:A,0)),1)</f>
        <v>1</v>
      </c>
    </row>
    <row r="990" spans="1:6" x14ac:dyDescent="0.3">
      <c r="A990" s="21" t="s">
        <v>2948</v>
      </c>
      <c r="B990" s="21" t="s">
        <v>4117</v>
      </c>
      <c r="C990" s="1" t="s">
        <v>4118</v>
      </c>
      <c r="D990" s="1" t="s">
        <v>4119</v>
      </c>
      <c r="E990" s="1" t="s">
        <v>4120</v>
      </c>
      <c r="F990" s="7">
        <f>IFERROR(INDEX(测试!H:H,MATCH(E990,测试!A:A,0)),1)</f>
        <v>1</v>
      </c>
    </row>
    <row r="991" spans="1:6" x14ac:dyDescent="0.3">
      <c r="A991" s="21" t="s">
        <v>2948</v>
      </c>
      <c r="B991" s="21" t="s">
        <v>4121</v>
      </c>
      <c r="C991" s="1" t="s">
        <v>4122</v>
      </c>
      <c r="D991" s="1" t="s">
        <v>4123</v>
      </c>
      <c r="E991" s="1" t="s">
        <v>4124</v>
      </c>
      <c r="F991" s="7">
        <f>IFERROR(INDEX(测试!H:H,MATCH(E991,测试!A:A,0)),1)</f>
        <v>1</v>
      </c>
    </row>
    <row r="992" spans="1:6" x14ac:dyDescent="0.3">
      <c r="A992" s="21" t="s">
        <v>2948</v>
      </c>
      <c r="B992" s="21" t="s">
        <v>4125</v>
      </c>
      <c r="C992" s="1" t="s">
        <v>4126</v>
      </c>
      <c r="D992" s="1" t="s">
        <v>4127</v>
      </c>
      <c r="E992" s="1" t="s">
        <v>4128</v>
      </c>
      <c r="F992" s="7">
        <f>IFERROR(INDEX(测试!H:H,MATCH(E992,测试!A:A,0)),1)</f>
        <v>1</v>
      </c>
    </row>
    <row r="993" spans="1:6" x14ac:dyDescent="0.3">
      <c r="A993" s="21" t="s">
        <v>2948</v>
      </c>
      <c r="B993" s="21" t="s">
        <v>4489</v>
      </c>
      <c r="C993" s="1" t="s">
        <v>4490</v>
      </c>
      <c r="D993" s="1" t="s">
        <v>4491</v>
      </c>
      <c r="E993" s="1" t="s">
        <v>4492</v>
      </c>
      <c r="F993" s="7">
        <f>IFERROR(INDEX(测试!H:H,MATCH(E993,测试!A:A,0)),1)</f>
        <v>1</v>
      </c>
    </row>
    <row r="994" spans="1:6" x14ac:dyDescent="0.3">
      <c r="A994" s="21" t="s">
        <v>2948</v>
      </c>
      <c r="B994" s="21" t="s">
        <v>4493</v>
      </c>
      <c r="C994" s="1" t="s">
        <v>4494</v>
      </c>
      <c r="D994" s="1" t="s">
        <v>4495</v>
      </c>
      <c r="E994" s="1" t="s">
        <v>4496</v>
      </c>
      <c r="F994" s="7">
        <f>IFERROR(INDEX(测试!H:H,MATCH(E994,测试!A:A,0)),1)</f>
        <v>1</v>
      </c>
    </row>
    <row r="995" spans="1:6" x14ac:dyDescent="0.3">
      <c r="A995" s="21" t="s">
        <v>2948</v>
      </c>
      <c r="B995" s="21" t="s">
        <v>4497</v>
      </c>
      <c r="C995" s="1" t="s">
        <v>4498</v>
      </c>
      <c r="D995" s="1" t="s">
        <v>4499</v>
      </c>
      <c r="E995" s="1" t="s">
        <v>4500</v>
      </c>
      <c r="F995" s="7">
        <f>IFERROR(INDEX(测试!H:H,MATCH(E995,测试!A:A,0)),1)</f>
        <v>1</v>
      </c>
    </row>
    <row r="996" spans="1:6" x14ac:dyDescent="0.3">
      <c r="A996" s="21" t="s">
        <v>2948</v>
      </c>
      <c r="B996" s="21" t="s">
        <v>4501</v>
      </c>
      <c r="C996" s="1" t="s">
        <v>4502</v>
      </c>
      <c r="D996" s="1" t="s">
        <v>4503</v>
      </c>
      <c r="E996" s="1" t="s">
        <v>4504</v>
      </c>
      <c r="F996" s="7">
        <f>IFERROR(INDEX(测试!H:H,MATCH(E996,测试!A:A,0)),1)</f>
        <v>1</v>
      </c>
    </row>
    <row r="997" spans="1:6" x14ac:dyDescent="0.3">
      <c r="A997" s="21" t="s">
        <v>2948</v>
      </c>
      <c r="B997" s="21" t="s">
        <v>4505</v>
      </c>
      <c r="C997" s="1" t="s">
        <v>4506</v>
      </c>
      <c r="D997" s="1" t="s">
        <v>4507</v>
      </c>
      <c r="E997" s="1" t="s">
        <v>4508</v>
      </c>
      <c r="F997" s="7">
        <f>IFERROR(INDEX(测试!H:H,MATCH(E997,测试!A:A,0)),1)</f>
        <v>1</v>
      </c>
    </row>
    <row r="998" spans="1:6" x14ac:dyDescent="0.3">
      <c r="A998" s="21" t="s">
        <v>2948</v>
      </c>
      <c r="B998" s="21" t="s">
        <v>4509</v>
      </c>
      <c r="C998" s="1" t="s">
        <v>4510</v>
      </c>
      <c r="D998" s="1" t="s">
        <v>4511</v>
      </c>
      <c r="E998" s="1" t="s">
        <v>4512</v>
      </c>
      <c r="F998" s="7">
        <f>IFERROR(INDEX(测试!H:H,MATCH(E998,测试!A:A,0)),1)</f>
        <v>1</v>
      </c>
    </row>
    <row r="999" spans="1:6" x14ac:dyDescent="0.3">
      <c r="A999" s="21" t="s">
        <v>2948</v>
      </c>
      <c r="B999" s="21" t="s">
        <v>4513</v>
      </c>
      <c r="C999" s="1" t="s">
        <v>4514</v>
      </c>
      <c r="D999" s="1" t="s">
        <v>4515</v>
      </c>
      <c r="E999" s="1" t="s">
        <v>4516</v>
      </c>
      <c r="F999" s="7">
        <f>IFERROR(INDEX(测试!H:H,MATCH(E999,测试!A:A,0)),1)</f>
        <v>1</v>
      </c>
    </row>
    <row r="1000" spans="1:6" x14ac:dyDescent="0.3">
      <c r="A1000" s="21" t="s">
        <v>2948</v>
      </c>
      <c r="B1000" s="21" t="s">
        <v>4586</v>
      </c>
      <c r="C1000" s="1" t="s">
        <v>4566</v>
      </c>
      <c r="D1000" s="1" t="s">
        <v>4567</v>
      </c>
      <c r="E1000" s="1" t="s">
        <v>4568</v>
      </c>
      <c r="F1000" s="7">
        <f>IFERROR(INDEX(测试!H:H,MATCH(E1000,测试!A:A,0)),1)</f>
        <v>1</v>
      </c>
    </row>
    <row r="1001" spans="1:6" x14ac:dyDescent="0.3">
      <c r="A1001" s="21" t="s">
        <v>2947</v>
      </c>
      <c r="B1001" s="21" t="s">
        <v>485</v>
      </c>
      <c r="C1001" s="1" t="s">
        <v>486</v>
      </c>
      <c r="D1001" s="1" t="s">
        <v>3217</v>
      </c>
      <c r="E1001" s="1" t="s">
        <v>488</v>
      </c>
      <c r="F1001" s="7">
        <f>IFERROR(INDEX(测试!H:H,MATCH(E1001,测试!A:A,0)),1)</f>
        <v>1</v>
      </c>
    </row>
    <row r="1002" spans="1:6" x14ac:dyDescent="0.3">
      <c r="A1002" s="21" t="s">
        <v>2947</v>
      </c>
      <c r="B1002" s="21" t="s">
        <v>489</v>
      </c>
      <c r="C1002" s="1" t="s">
        <v>490</v>
      </c>
      <c r="D1002" s="1" t="s">
        <v>3218</v>
      </c>
      <c r="E1002" s="1" t="s">
        <v>492</v>
      </c>
      <c r="F1002" s="7">
        <f>IFERROR(INDEX(测试!H:H,MATCH(E1002,测试!A:A,0)),1)</f>
        <v>1</v>
      </c>
    </row>
    <row r="1003" spans="1:6" x14ac:dyDescent="0.3">
      <c r="A1003" s="21" t="s">
        <v>2947</v>
      </c>
      <c r="B1003" s="21" t="s">
        <v>493</v>
      </c>
      <c r="C1003" s="1" t="s">
        <v>494</v>
      </c>
      <c r="D1003" s="1" t="s">
        <v>3219</v>
      </c>
      <c r="E1003" s="1" t="s">
        <v>496</v>
      </c>
      <c r="F1003" s="7">
        <f>IFERROR(INDEX(测试!H:H,MATCH(E1003,测试!A:A,0)),1)</f>
        <v>1</v>
      </c>
    </row>
    <row r="1004" spans="1:6" x14ac:dyDescent="0.3">
      <c r="A1004" s="21" t="s">
        <v>2947</v>
      </c>
      <c r="B1004" s="21" t="s">
        <v>497</v>
      </c>
      <c r="C1004" s="1" t="s">
        <v>498</v>
      </c>
      <c r="D1004" s="1" t="s">
        <v>3220</v>
      </c>
      <c r="E1004" s="1" t="s">
        <v>500</v>
      </c>
      <c r="F1004" s="7">
        <f>IFERROR(INDEX(测试!H:H,MATCH(E1004,测试!A:A,0)),1)</f>
        <v>1</v>
      </c>
    </row>
    <row r="1005" spans="1:6" x14ac:dyDescent="0.3">
      <c r="A1005" s="21" t="s">
        <v>2947</v>
      </c>
      <c r="B1005" s="21" t="s">
        <v>501</v>
      </c>
      <c r="C1005" s="1" t="s">
        <v>502</v>
      </c>
      <c r="D1005" s="1" t="s">
        <v>3221</v>
      </c>
      <c r="E1005" s="1" t="s">
        <v>504</v>
      </c>
      <c r="F1005" s="7">
        <f>IFERROR(INDEX(测试!H:H,MATCH(E1005,测试!A:A,0)),1)</f>
        <v>1</v>
      </c>
    </row>
    <row r="1006" spans="1:6" x14ac:dyDescent="0.3">
      <c r="A1006" s="21" t="s">
        <v>2947</v>
      </c>
      <c r="B1006" s="21" t="s">
        <v>505</v>
      </c>
      <c r="C1006" s="1" t="s">
        <v>506</v>
      </c>
      <c r="D1006" s="1" t="s">
        <v>3222</v>
      </c>
      <c r="E1006" s="1" t="s">
        <v>508</v>
      </c>
      <c r="F1006" s="7">
        <f>IFERROR(INDEX(测试!H:H,MATCH(E1006,测试!A:A,0)),1)</f>
        <v>1</v>
      </c>
    </row>
    <row r="1007" spans="1:6" x14ac:dyDescent="0.3">
      <c r="A1007" s="21" t="s">
        <v>2947</v>
      </c>
      <c r="B1007" s="21" t="s">
        <v>509</v>
      </c>
      <c r="C1007" s="1" t="s">
        <v>510</v>
      </c>
      <c r="D1007" s="1" t="s">
        <v>3223</v>
      </c>
      <c r="E1007" s="1" t="s">
        <v>512</v>
      </c>
      <c r="F1007" s="7">
        <f>IFERROR(INDEX(测试!H:H,MATCH(E1007,测试!A:A,0)),1)</f>
        <v>1</v>
      </c>
    </row>
    <row r="1008" spans="1:6" x14ac:dyDescent="0.3">
      <c r="A1008" s="21" t="s">
        <v>2946</v>
      </c>
      <c r="B1008" s="21" t="s">
        <v>465</v>
      </c>
      <c r="C1008" s="1" t="s">
        <v>466</v>
      </c>
      <c r="D1008" s="1" t="s">
        <v>3212</v>
      </c>
      <c r="E1008" s="1" t="s">
        <v>468</v>
      </c>
      <c r="F1008" s="7">
        <f>IFERROR(INDEX(测试!H:H,MATCH(E1008,测试!A:A,0)),1)</f>
        <v>1</v>
      </c>
    </row>
    <row r="1009" spans="1:6" x14ac:dyDescent="0.3">
      <c r="A1009" s="21" t="s">
        <v>2946</v>
      </c>
      <c r="B1009" s="21" t="s">
        <v>469</v>
      </c>
      <c r="C1009" s="1" t="s">
        <v>470</v>
      </c>
      <c r="D1009" s="1" t="s">
        <v>3213</v>
      </c>
      <c r="E1009" s="1" t="s">
        <v>472</v>
      </c>
      <c r="F1009" s="7">
        <f>IFERROR(INDEX(测试!H:H,MATCH(E1009,测试!A:A,0)),1)</f>
        <v>1</v>
      </c>
    </row>
    <row r="1010" spans="1:6" x14ac:dyDescent="0.3">
      <c r="A1010" s="21" t="s">
        <v>2946</v>
      </c>
      <c r="B1010" s="21" t="s">
        <v>473</v>
      </c>
      <c r="C1010" s="1" t="s">
        <v>474</v>
      </c>
      <c r="D1010" s="1" t="s">
        <v>3214</v>
      </c>
      <c r="E1010" s="1" t="s">
        <v>476</v>
      </c>
      <c r="F1010" s="7">
        <f>IFERROR(INDEX(测试!H:H,MATCH(E1010,测试!A:A,0)),1)</f>
        <v>1</v>
      </c>
    </row>
    <row r="1011" spans="1:6" x14ac:dyDescent="0.3">
      <c r="A1011" s="21" t="s">
        <v>2946</v>
      </c>
      <c r="B1011" s="21" t="s">
        <v>477</v>
      </c>
      <c r="C1011" s="1" t="s">
        <v>478</v>
      </c>
      <c r="D1011" s="1" t="s">
        <v>3215</v>
      </c>
      <c r="E1011" s="1" t="s">
        <v>480</v>
      </c>
      <c r="F1011" s="7">
        <f>IFERROR(INDEX(测试!H:H,MATCH(E1011,测试!A:A,0)),1)</f>
        <v>1</v>
      </c>
    </row>
    <row r="1012" spans="1:6" x14ac:dyDescent="0.3">
      <c r="A1012" s="21" t="s">
        <v>2946</v>
      </c>
      <c r="B1012" s="21" t="s">
        <v>481</v>
      </c>
      <c r="C1012" s="1" t="s">
        <v>482</v>
      </c>
      <c r="D1012" s="1" t="s">
        <v>3216</v>
      </c>
      <c r="E1012" s="1" t="s">
        <v>484</v>
      </c>
      <c r="F1012" s="7">
        <f>IFERROR(INDEX(测试!H:H,MATCH(E1012,测试!A:A,0)),1)</f>
        <v>1</v>
      </c>
    </row>
    <row r="1013" spans="1:6" x14ac:dyDescent="0.3">
      <c r="A1013" s="21" t="s">
        <v>2946</v>
      </c>
      <c r="B1013" s="21" t="s">
        <v>3879</v>
      </c>
      <c r="C1013" s="1" t="s">
        <v>3880</v>
      </c>
      <c r="D1013" s="1" t="s">
        <v>3881</v>
      </c>
      <c r="E1013" s="1" t="s">
        <v>3882</v>
      </c>
      <c r="F1013" s="7">
        <f>IFERROR(INDEX(测试!H:H,MATCH(E1013,测试!A:A,0)),1)</f>
        <v>1</v>
      </c>
    </row>
    <row r="1014" spans="1:6" x14ac:dyDescent="0.3">
      <c r="A1014" s="21" t="s">
        <v>2946</v>
      </c>
      <c r="B1014" s="21" t="s">
        <v>3883</v>
      </c>
      <c r="C1014" s="1" t="s">
        <v>3884</v>
      </c>
      <c r="D1014" s="1" t="s">
        <v>3885</v>
      </c>
      <c r="E1014" s="1" t="s">
        <v>3886</v>
      </c>
      <c r="F1014" s="7">
        <f>IFERROR(INDEX(测试!H:H,MATCH(E1014,测试!A:A,0)),1)</f>
        <v>1</v>
      </c>
    </row>
    <row r="1015" spans="1:6" x14ac:dyDescent="0.3">
      <c r="A1015" s="21" t="s">
        <v>2946</v>
      </c>
      <c r="B1015" s="21" t="s">
        <v>3887</v>
      </c>
      <c r="C1015" s="1" t="s">
        <v>3888</v>
      </c>
      <c r="D1015" s="1" t="s">
        <v>3889</v>
      </c>
      <c r="E1015" s="1" t="s">
        <v>3890</v>
      </c>
      <c r="F1015" s="7">
        <f>IFERROR(INDEX(测试!H:H,MATCH(E1015,测试!A:A,0)),1)</f>
        <v>1</v>
      </c>
    </row>
    <row r="1016" spans="1:6" x14ac:dyDescent="0.3">
      <c r="A1016" s="21" t="s">
        <v>2946</v>
      </c>
      <c r="B1016" s="21" t="s">
        <v>3891</v>
      </c>
      <c r="C1016" s="1" t="s">
        <v>3892</v>
      </c>
      <c r="D1016" s="1" t="s">
        <v>3893</v>
      </c>
      <c r="E1016" s="1" t="s">
        <v>3894</v>
      </c>
      <c r="F1016" s="7">
        <f>IFERROR(INDEX(测试!H:H,MATCH(E1016,测试!A:A,0)),1)</f>
        <v>1</v>
      </c>
    </row>
    <row r="1017" spans="1:6" x14ac:dyDescent="0.3">
      <c r="A1017" s="21" t="s">
        <v>4019</v>
      </c>
      <c r="B1017" s="21" t="s">
        <v>4020</v>
      </c>
      <c r="C1017" s="1" t="s">
        <v>4021</v>
      </c>
      <c r="D1017" s="1" t="s">
        <v>4022</v>
      </c>
      <c r="E1017" s="1" t="s">
        <v>4023</v>
      </c>
      <c r="F1017" s="7">
        <f>IFERROR(INDEX(测试!H:H,MATCH(E1017,测试!A:A,0)),1)</f>
        <v>1</v>
      </c>
    </row>
    <row r="1018" spans="1:6" x14ac:dyDescent="0.3">
      <c r="A1018" s="21" t="s">
        <v>4181</v>
      </c>
      <c r="B1018" s="21" t="s">
        <v>4182</v>
      </c>
      <c r="C1018" s="1" t="s">
        <v>4183</v>
      </c>
      <c r="D1018" s="1" t="s">
        <v>4184</v>
      </c>
      <c r="E1018" s="1" t="s">
        <v>4185</v>
      </c>
      <c r="F1018" s="7">
        <f>IFERROR(INDEX(测试!H:H,MATCH(E1018,测试!A:A,0)),1)</f>
        <v>1</v>
      </c>
    </row>
    <row r="1019" spans="1:6" x14ac:dyDescent="0.3">
      <c r="A1019" s="21" t="s">
        <v>4517</v>
      </c>
      <c r="B1019" s="21" t="s">
        <v>4518</v>
      </c>
      <c r="C1019" s="1" t="s">
        <v>4519</v>
      </c>
      <c r="D1019" s="1" t="s">
        <v>4520</v>
      </c>
      <c r="E1019" s="1" t="s">
        <v>4521</v>
      </c>
      <c r="F1019" s="7">
        <f>IFERROR(INDEX(测试!H:H,MATCH(E1019,测试!A:A,0)),1)</f>
        <v>1</v>
      </c>
    </row>
    <row r="1020" spans="1:6" x14ac:dyDescent="0.3">
      <c r="A1020" s="21" t="s">
        <v>4517</v>
      </c>
      <c r="B1020" s="21" t="s">
        <v>4569</v>
      </c>
      <c r="C1020" s="1" t="s">
        <v>4570</v>
      </c>
      <c r="D1020" s="1" t="s">
        <v>4571</v>
      </c>
      <c r="E1020" s="1" t="s">
        <v>4572</v>
      </c>
      <c r="F1020" s="7">
        <f>IFERROR(INDEX(测试!H:H,MATCH(E1020,测试!A:A,0)),1)</f>
        <v>1</v>
      </c>
    </row>
    <row r="1021" spans="1:6" x14ac:dyDescent="0.3">
      <c r="A1021" s="21" t="s">
        <v>4517</v>
      </c>
      <c r="B1021" s="21" t="s">
        <v>4573</v>
      </c>
      <c r="C1021" s="1" t="s">
        <v>4574</v>
      </c>
      <c r="D1021" s="1" t="s">
        <v>4575</v>
      </c>
      <c r="E1021" s="1" t="s">
        <v>4576</v>
      </c>
      <c r="F1021" s="7">
        <f>IFERROR(INDEX(测试!H:H,MATCH(E1021,测试!A:A,0)),1)</f>
        <v>1</v>
      </c>
    </row>
    <row r="1022" spans="1:6" x14ac:dyDescent="0.3">
      <c r="A1022" s="21" t="s">
        <v>4517</v>
      </c>
      <c r="B1022" s="21" t="s">
        <v>4888</v>
      </c>
      <c r="C1022" s="1" t="s">
        <v>4889</v>
      </c>
      <c r="D1022" s="1" t="s">
        <v>4890</v>
      </c>
      <c r="E1022" s="1" t="s">
        <v>4891</v>
      </c>
      <c r="F1022" s="7">
        <f>IFERROR(INDEX(测试!H:H,MATCH(E1022,测试!A:A,0)),1)</f>
        <v>1</v>
      </c>
    </row>
    <row r="1023" spans="1:6" x14ac:dyDescent="0.3">
      <c r="A1023" s="21" t="s">
        <v>4517</v>
      </c>
      <c r="B1023" s="21" t="s">
        <v>4892</v>
      </c>
      <c r="C1023" s="1" t="s">
        <v>4893</v>
      </c>
      <c r="D1023" s="1" t="s">
        <v>4894</v>
      </c>
      <c r="E1023" s="1" t="s">
        <v>4895</v>
      </c>
      <c r="F1023" s="7">
        <f>IFERROR(INDEX(测试!H:H,MATCH(E1023,测试!A:A,0)),1)</f>
        <v>1</v>
      </c>
    </row>
    <row r="1024" spans="1:6" x14ac:dyDescent="0.3">
      <c r="A1024" s="21" t="s">
        <v>4517</v>
      </c>
      <c r="B1024" s="21" t="s">
        <v>4896</v>
      </c>
      <c r="C1024" s="1" t="s">
        <v>4897</v>
      </c>
      <c r="D1024" s="1" t="s">
        <v>4898</v>
      </c>
      <c r="E1024" s="1" t="s">
        <v>4899</v>
      </c>
      <c r="F1024" s="7">
        <f>IFERROR(INDEX(测试!H:H,MATCH(E1024,测试!A:A,0)),1)</f>
        <v>1</v>
      </c>
    </row>
    <row r="1025" spans="1:6" x14ac:dyDescent="0.3">
      <c r="A1025" s="21" t="s">
        <v>4517</v>
      </c>
      <c r="B1025" s="21" t="s">
        <v>4900</v>
      </c>
      <c r="C1025" s="1" t="s">
        <v>4901</v>
      </c>
      <c r="D1025" s="1" t="s">
        <v>4902</v>
      </c>
      <c r="E1025" s="1" t="s">
        <v>4903</v>
      </c>
      <c r="F1025" s="7">
        <f>IFERROR(INDEX(测试!H:H,MATCH(E1025,测试!A:A,0)),1)</f>
        <v>1</v>
      </c>
    </row>
    <row r="1026" spans="1:6" x14ac:dyDescent="0.3">
      <c r="A1026" s="21" t="s">
        <v>2945</v>
      </c>
      <c r="B1026" s="21" t="s">
        <v>462</v>
      </c>
      <c r="C1026" s="1" t="s">
        <v>38</v>
      </c>
      <c r="D1026" s="1" t="s">
        <v>3211</v>
      </c>
      <c r="E1026" s="1" t="s">
        <v>464</v>
      </c>
      <c r="F1026" s="7">
        <f>IFERROR(INDEX(测试!H:H,MATCH(E1026,测试!A:A,0)),1)</f>
        <v>1</v>
      </c>
    </row>
    <row r="1027" spans="1:6" x14ac:dyDescent="0.3">
      <c r="A1027" s="21" t="s">
        <v>4577</v>
      </c>
      <c r="B1027" s="21" t="s">
        <v>4578</v>
      </c>
      <c r="C1027" s="1" t="s">
        <v>4579</v>
      </c>
      <c r="D1027" s="1" t="s">
        <v>4580</v>
      </c>
      <c r="E1027" s="1" t="s">
        <v>4581</v>
      </c>
      <c r="F1027" s="7">
        <f>IFERROR(INDEX(测试!H:H,MATCH(E1027,测试!A:A,0)),1)</f>
        <v>1</v>
      </c>
    </row>
    <row r="1028" spans="1:6" x14ac:dyDescent="0.3">
      <c r="A1028" s="21" t="s">
        <v>4577</v>
      </c>
      <c r="B1028" s="21" t="s">
        <v>4582</v>
      </c>
      <c r="C1028" s="1" t="s">
        <v>4583</v>
      </c>
      <c r="D1028" s="1" t="s">
        <v>4584</v>
      </c>
      <c r="E1028" s="1" t="s">
        <v>4585</v>
      </c>
      <c r="F1028" s="7">
        <f>IFERROR(INDEX(测试!H:H,MATCH(E1028,测试!A:A,0)),1)</f>
        <v>1</v>
      </c>
    </row>
    <row r="1029" spans="1:6" x14ac:dyDescent="0.3">
      <c r="A1029" s="21" t="s">
        <v>2944</v>
      </c>
      <c r="B1029" s="21" t="s">
        <v>442</v>
      </c>
      <c r="C1029" s="1" t="s">
        <v>443</v>
      </c>
      <c r="D1029" s="1" t="s">
        <v>3206</v>
      </c>
      <c r="E1029" s="1" t="s">
        <v>445</v>
      </c>
      <c r="F1029" s="7">
        <f>IFERROR(INDEX(测试!H:H,MATCH(E1029,测试!A:A,0)),1)</f>
        <v>1</v>
      </c>
    </row>
    <row r="1030" spans="1:6" x14ac:dyDescent="0.3">
      <c r="A1030" s="21" t="s">
        <v>2944</v>
      </c>
      <c r="B1030" s="21" t="s">
        <v>446</v>
      </c>
      <c r="C1030" s="1" t="s">
        <v>447</v>
      </c>
      <c r="D1030" s="1" t="s">
        <v>3207</v>
      </c>
      <c r="E1030" s="1" t="s">
        <v>449</v>
      </c>
      <c r="F1030" s="7">
        <f>IFERROR(INDEX(测试!H:H,MATCH(E1030,测试!A:A,0)),1)</f>
        <v>1</v>
      </c>
    </row>
    <row r="1031" spans="1:6" x14ac:dyDescent="0.3">
      <c r="A1031" s="21" t="s">
        <v>2944</v>
      </c>
      <c r="B1031" s="21" t="s">
        <v>450</v>
      </c>
      <c r="C1031" s="1" t="s">
        <v>451</v>
      </c>
      <c r="D1031" s="1" t="s">
        <v>3208</v>
      </c>
      <c r="E1031" s="1" t="s">
        <v>453</v>
      </c>
      <c r="F1031" s="7">
        <f>IFERROR(INDEX(测试!H:H,MATCH(E1031,测试!A:A,0)),1)</f>
        <v>1</v>
      </c>
    </row>
    <row r="1032" spans="1:6" x14ac:dyDescent="0.3">
      <c r="A1032" s="21" t="s">
        <v>2944</v>
      </c>
      <c r="B1032" s="21" t="s">
        <v>454</v>
      </c>
      <c r="C1032" s="1" t="s">
        <v>455</v>
      </c>
      <c r="D1032" s="1" t="s">
        <v>3209</v>
      </c>
      <c r="E1032" s="1" t="s">
        <v>457</v>
      </c>
      <c r="F1032" s="7">
        <f>IFERROR(INDEX(测试!H:H,MATCH(E1032,测试!A:A,0)),1)</f>
        <v>1</v>
      </c>
    </row>
    <row r="1033" spans="1:6" x14ac:dyDescent="0.3">
      <c r="A1033" s="21" t="s">
        <v>2944</v>
      </c>
      <c r="B1033" s="21" t="s">
        <v>458</v>
      </c>
      <c r="C1033" s="1" t="s">
        <v>459</v>
      </c>
      <c r="D1033" s="1" t="s">
        <v>3210</v>
      </c>
      <c r="E1033" s="1" t="s">
        <v>461</v>
      </c>
      <c r="F1033" s="7">
        <f>IFERROR(INDEX(测试!H:H,MATCH(E1033,测试!A:A,0)),1)</f>
        <v>1</v>
      </c>
    </row>
    <row r="1034" spans="1:6" x14ac:dyDescent="0.3">
      <c r="A1034" s="21" t="s">
        <v>4522</v>
      </c>
      <c r="B1034" s="21" t="s">
        <v>4523</v>
      </c>
      <c r="C1034" s="1" t="s">
        <v>4220</v>
      </c>
      <c r="D1034" s="1" t="s">
        <v>4221</v>
      </c>
      <c r="E1034" s="1" t="s">
        <v>4222</v>
      </c>
      <c r="F1034" s="7">
        <f>IFERROR(INDEX(测试!H:H,MATCH(E1034,测试!A:A,0)),1)</f>
        <v>1</v>
      </c>
    </row>
    <row r="1035" spans="1:6" x14ac:dyDescent="0.3">
      <c r="A1035" s="21" t="s">
        <v>4522</v>
      </c>
      <c r="B1035" s="21" t="s">
        <v>4524</v>
      </c>
      <c r="C1035" s="1" t="s">
        <v>4216</v>
      </c>
      <c r="D1035" s="1" t="s">
        <v>4217</v>
      </c>
      <c r="E1035" s="1" t="s">
        <v>4218</v>
      </c>
      <c r="F1035" s="7">
        <f>IFERROR(INDEX(测试!H:H,MATCH(E1035,测试!A:A,0)),1)</f>
        <v>1</v>
      </c>
    </row>
    <row r="1036" spans="1:6" x14ac:dyDescent="0.3">
      <c r="A1036" s="21" t="s">
        <v>4522</v>
      </c>
      <c r="B1036" s="21" t="s">
        <v>4525</v>
      </c>
      <c r="C1036" s="1" t="s">
        <v>4200</v>
      </c>
      <c r="D1036" s="1" t="s">
        <v>4201</v>
      </c>
      <c r="E1036" s="1" t="s">
        <v>4202</v>
      </c>
      <c r="F1036" s="7">
        <f>IFERROR(INDEX(测试!H:H,MATCH(E1036,测试!A:A,0)),1)</f>
        <v>1</v>
      </c>
    </row>
    <row r="1037" spans="1:6" x14ac:dyDescent="0.3">
      <c r="A1037" s="21" t="s">
        <v>4522</v>
      </c>
      <c r="B1037" s="21" t="s">
        <v>4526</v>
      </c>
      <c r="C1037" s="1" t="s">
        <v>4212</v>
      </c>
      <c r="D1037" s="1" t="s">
        <v>4213</v>
      </c>
      <c r="E1037" s="1" t="s">
        <v>4214</v>
      </c>
      <c r="F1037" s="7">
        <f>IFERROR(INDEX(测试!H:H,MATCH(E1037,测试!A:A,0)),1)</f>
        <v>1</v>
      </c>
    </row>
    <row r="1038" spans="1:6" x14ac:dyDescent="0.3">
      <c r="A1038" s="21" t="s">
        <v>4522</v>
      </c>
      <c r="B1038" s="21" t="s">
        <v>4527</v>
      </c>
      <c r="C1038" s="1" t="s">
        <v>4208</v>
      </c>
      <c r="D1038" s="1" t="s">
        <v>4209</v>
      </c>
      <c r="E1038" s="1" t="s">
        <v>4210</v>
      </c>
      <c r="F1038" s="7">
        <f>IFERROR(INDEX(测试!H:H,MATCH(E1038,测试!A:A,0)),1)</f>
        <v>1</v>
      </c>
    </row>
    <row r="1039" spans="1:6" x14ac:dyDescent="0.3">
      <c r="A1039" s="21" t="s">
        <v>4522</v>
      </c>
      <c r="B1039" s="21" t="s">
        <v>4528</v>
      </c>
      <c r="C1039" s="1" t="s">
        <v>4204</v>
      </c>
      <c r="D1039" s="1" t="s">
        <v>4205</v>
      </c>
      <c r="E1039" s="1" t="s">
        <v>4206</v>
      </c>
      <c r="F1039" s="7">
        <f>IFERROR(INDEX(测试!H:H,MATCH(E1039,测试!A:A,0)),1)</f>
        <v>1</v>
      </c>
    </row>
    <row r="1040" spans="1:6" x14ac:dyDescent="0.3">
      <c r="A1040" s="21" t="s">
        <v>4522</v>
      </c>
      <c r="B1040" s="21" t="s">
        <v>4529</v>
      </c>
      <c r="C1040" s="1" t="s">
        <v>4196</v>
      </c>
      <c r="D1040" s="1" t="s">
        <v>4197</v>
      </c>
      <c r="E1040" s="1" t="s">
        <v>4198</v>
      </c>
      <c r="F1040" s="7">
        <f>IFERROR(INDEX(测试!H:H,MATCH(E1040,测试!A:A,0)),1)</f>
        <v>1</v>
      </c>
    </row>
    <row r="1041" spans="1:6" x14ac:dyDescent="0.3">
      <c r="A1041" s="21" t="s">
        <v>4904</v>
      </c>
      <c r="B1041" s="21" t="s">
        <v>438</v>
      </c>
      <c r="C1041" s="1" t="s">
        <v>4905</v>
      </c>
      <c r="D1041" s="1" t="s">
        <v>4906</v>
      </c>
      <c r="E1041" s="1" t="s">
        <v>441</v>
      </c>
      <c r="F1041" s="7">
        <f>IFERROR(INDEX(测试!H:H,MATCH(E1041,测试!A:A,0)),1)</f>
        <v>1</v>
      </c>
    </row>
  </sheetData>
  <autoFilter ref="A1:F1041" xr:uid="{00000000-0009-0000-0000-000001000000}">
    <filterColumn colId="5">
      <filters>
        <filter val="1"/>
        <filter val="无此文件"/>
      </filters>
    </filterColumn>
  </autoFilter>
  <sortState xmlns:xlrd2="http://schemas.microsoft.com/office/spreadsheetml/2017/richdata2" ref="A2:F802">
    <sortCondition ref="A100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2"/>
  <sheetViews>
    <sheetView workbookViewId="0">
      <selection activeCell="A18" sqref="A18"/>
    </sheetView>
  </sheetViews>
  <sheetFormatPr defaultRowHeight="14" x14ac:dyDescent="0.3"/>
  <cols>
    <col min="1" max="1" width="65.4140625" bestFit="1" customWidth="1"/>
    <col min="2" max="2" width="49.75" bestFit="1" customWidth="1"/>
    <col min="3" max="3" width="12.1640625" style="13" customWidth="1"/>
  </cols>
  <sheetData>
    <row r="1" spans="1:4" x14ac:dyDescent="0.3">
      <c r="A1" s="11" t="s">
        <v>2993</v>
      </c>
      <c r="B1" s="11" t="s">
        <v>2992</v>
      </c>
      <c r="C1" s="15" t="s">
        <v>2994</v>
      </c>
    </row>
    <row r="2" spans="1:4" x14ac:dyDescent="0.3">
      <c r="A2" s="1">
        <v>0</v>
      </c>
      <c r="B2" s="1">
        <v>0</v>
      </c>
      <c r="C2" s="16" t="str">
        <f t="shared" ref="C2:C36" si="0">IF(A2=B2,"相同","不相同")</f>
        <v>相同</v>
      </c>
      <c r="D2">
        <f>COUNTIF(新!A:A,B2)</f>
        <v>0</v>
      </c>
    </row>
    <row r="3" spans="1:4" x14ac:dyDescent="0.3">
      <c r="A3" s="1" t="s">
        <v>2970</v>
      </c>
      <c r="B3" s="1" t="s">
        <v>2985</v>
      </c>
      <c r="C3" s="16" t="str">
        <f t="shared" si="0"/>
        <v>不相同</v>
      </c>
      <c r="D3">
        <f>COUNTIF(新!A:A,B3)</f>
        <v>6</v>
      </c>
    </row>
    <row r="4" spans="1:4" x14ac:dyDescent="0.3">
      <c r="A4" s="1" t="s">
        <v>2969</v>
      </c>
      <c r="B4" s="1" t="s">
        <v>2984</v>
      </c>
      <c r="C4" s="16" t="str">
        <f t="shared" si="0"/>
        <v>不相同</v>
      </c>
      <c r="D4">
        <f>COUNTIF(新!A:A,B4)</f>
        <v>5</v>
      </c>
    </row>
    <row r="5" spans="1:4" x14ac:dyDescent="0.3">
      <c r="A5" s="1" t="s">
        <v>2968</v>
      </c>
      <c r="B5" s="1" t="s">
        <v>2984</v>
      </c>
      <c r="C5" s="16" t="str">
        <f t="shared" si="0"/>
        <v>不相同</v>
      </c>
      <c r="D5">
        <f>COUNTIF(新!A:A,B5)</f>
        <v>5</v>
      </c>
    </row>
    <row r="6" spans="1:4" x14ac:dyDescent="0.3">
      <c r="A6" s="1" t="s">
        <v>2967</v>
      </c>
      <c r="B6" s="1" t="s">
        <v>2983</v>
      </c>
      <c r="C6" s="16" t="str">
        <f t="shared" si="0"/>
        <v>不相同</v>
      </c>
      <c r="D6">
        <f>COUNTIF(新!A:A,B6)</f>
        <v>100</v>
      </c>
    </row>
    <row r="7" spans="1:4" x14ac:dyDescent="0.3">
      <c r="A7" s="1" t="s">
        <v>2966</v>
      </c>
      <c r="B7" s="1" t="s">
        <v>2982</v>
      </c>
      <c r="C7" s="16" t="str">
        <f t="shared" si="0"/>
        <v>不相同</v>
      </c>
      <c r="D7">
        <f>COUNTIF(新!A:A,B7)</f>
        <v>100</v>
      </c>
    </row>
    <row r="8" spans="1:4" x14ac:dyDescent="0.3">
      <c r="A8" s="1" t="s">
        <v>2965</v>
      </c>
      <c r="B8" s="1" t="s">
        <v>2981</v>
      </c>
      <c r="C8" s="16" t="str">
        <f t="shared" si="0"/>
        <v>不相同</v>
      </c>
      <c r="D8">
        <f>COUNTIF(新!A:A,B8)</f>
        <v>100</v>
      </c>
    </row>
    <row r="9" spans="1:4" x14ac:dyDescent="0.3">
      <c r="A9" s="1" t="s">
        <v>2964</v>
      </c>
      <c r="B9" s="1" t="s">
        <v>2980</v>
      </c>
      <c r="C9" s="16" t="str">
        <f t="shared" si="0"/>
        <v>不相同</v>
      </c>
      <c r="D9">
        <f>COUNTIF(新!A:A,B9)</f>
        <v>100</v>
      </c>
    </row>
    <row r="10" spans="1:4" x14ac:dyDescent="0.3">
      <c r="A10" s="1" t="s">
        <v>2963</v>
      </c>
      <c r="B10" s="1" t="s">
        <v>2979</v>
      </c>
      <c r="C10" s="16" t="str">
        <f t="shared" si="0"/>
        <v>不相同</v>
      </c>
      <c r="D10">
        <f>COUNTIF(新!A:A,B10)</f>
        <v>50</v>
      </c>
    </row>
    <row r="11" spans="1:4" x14ac:dyDescent="0.3">
      <c r="A11" s="1" t="s">
        <v>2962</v>
      </c>
      <c r="B11" s="1" t="s">
        <v>2962</v>
      </c>
      <c r="C11" s="16" t="str">
        <f t="shared" si="0"/>
        <v>相同</v>
      </c>
      <c r="D11">
        <f>COUNTIF(新!A:A,B11)</f>
        <v>16</v>
      </c>
    </row>
    <row r="12" spans="1:4" x14ac:dyDescent="0.3">
      <c r="A12" s="1" t="s">
        <v>2961</v>
      </c>
      <c r="B12" s="1" t="s">
        <v>2961</v>
      </c>
      <c r="C12" s="16" t="str">
        <f t="shared" si="0"/>
        <v>相同</v>
      </c>
      <c r="D12">
        <f>COUNTIF(新!A:A,B12)</f>
        <v>1</v>
      </c>
    </row>
    <row r="13" spans="1:4" x14ac:dyDescent="0.3">
      <c r="A13" s="1" t="s">
        <v>2960</v>
      </c>
      <c r="B13" s="1" t="s">
        <v>2960</v>
      </c>
      <c r="C13" s="16" t="str">
        <f t="shared" si="0"/>
        <v>相同</v>
      </c>
      <c r="D13">
        <f>COUNTIF(新!A:A,B13)</f>
        <v>0</v>
      </c>
    </row>
    <row r="14" spans="1:4" x14ac:dyDescent="0.3">
      <c r="A14" s="1" t="s">
        <v>2959</v>
      </c>
      <c r="B14" s="1" t="s">
        <v>2959</v>
      </c>
      <c r="C14" s="16" t="str">
        <f t="shared" si="0"/>
        <v>相同</v>
      </c>
      <c r="D14">
        <f>COUNTIF(新!A:A,B14)</f>
        <v>4</v>
      </c>
    </row>
    <row r="15" spans="1:4" x14ac:dyDescent="0.3">
      <c r="A15" s="1" t="s">
        <v>2958</v>
      </c>
      <c r="B15" s="1" t="s">
        <v>2958</v>
      </c>
      <c r="C15" s="16" t="str">
        <f t="shared" si="0"/>
        <v>相同</v>
      </c>
      <c r="D15">
        <f>COUNTIF(新!A:A,B15)</f>
        <v>6</v>
      </c>
    </row>
    <row r="16" spans="1:4" x14ac:dyDescent="0.3">
      <c r="A16" s="1" t="s">
        <v>2955</v>
      </c>
      <c r="B16" s="1" t="s">
        <v>2955</v>
      </c>
      <c r="C16" s="16" t="str">
        <f t="shared" si="0"/>
        <v>相同</v>
      </c>
      <c r="D16">
        <f>COUNTIF(新!A:A,B16)</f>
        <v>0</v>
      </c>
    </row>
    <row r="17" spans="1:4" x14ac:dyDescent="0.3">
      <c r="A17" s="1" t="s">
        <v>3822</v>
      </c>
      <c r="B17" s="1" t="s">
        <v>3822</v>
      </c>
      <c r="C17" s="16" t="str">
        <f t="shared" si="0"/>
        <v>相同</v>
      </c>
      <c r="D17">
        <f>COUNTIF(新!A:A,B17)</f>
        <v>90</v>
      </c>
    </row>
    <row r="18" spans="1:4" x14ac:dyDescent="0.3">
      <c r="A18" s="1" t="s">
        <v>2957</v>
      </c>
      <c r="B18" s="1" t="s">
        <v>2957</v>
      </c>
      <c r="C18" s="16" t="str">
        <f t="shared" si="0"/>
        <v>相同</v>
      </c>
      <c r="D18">
        <f>COUNTIF(新!A:A,B18)</f>
        <v>2</v>
      </c>
    </row>
    <row r="19" spans="1:4" x14ac:dyDescent="0.3">
      <c r="A19" s="1" t="s">
        <v>2956</v>
      </c>
      <c r="B19" s="1" t="s">
        <v>2956</v>
      </c>
      <c r="C19" s="16" t="str">
        <f t="shared" si="0"/>
        <v>相同</v>
      </c>
      <c r="D19">
        <f>COUNTIF(新!A:A,B19)</f>
        <v>22</v>
      </c>
    </row>
    <row r="20" spans="1:4" x14ac:dyDescent="0.3">
      <c r="A20" s="1" t="s">
        <v>3825</v>
      </c>
      <c r="B20" s="1" t="s">
        <v>3825</v>
      </c>
      <c r="C20" s="16" t="str">
        <f t="shared" si="0"/>
        <v>相同</v>
      </c>
      <c r="D20">
        <f>COUNTIF(新!A:A,B20)</f>
        <v>4</v>
      </c>
    </row>
    <row r="21" spans="1:4" x14ac:dyDescent="0.3">
      <c r="A21" s="1" t="s">
        <v>2954</v>
      </c>
      <c r="B21" s="1" t="s">
        <v>2954</v>
      </c>
      <c r="C21" s="16" t="str">
        <f t="shared" si="0"/>
        <v>相同</v>
      </c>
      <c r="D21">
        <f>COUNTIF(新!A:A,B21)</f>
        <v>9</v>
      </c>
    </row>
    <row r="22" spans="1:4" x14ac:dyDescent="0.3">
      <c r="A22" s="1" t="s">
        <v>2953</v>
      </c>
      <c r="B22" s="1" t="s">
        <v>2953</v>
      </c>
      <c r="C22" s="16" t="str">
        <f t="shared" si="0"/>
        <v>相同</v>
      </c>
      <c r="D22">
        <f>COUNTIF(新!A:A,B22)</f>
        <v>1</v>
      </c>
    </row>
    <row r="23" spans="1:4" x14ac:dyDescent="0.3">
      <c r="A23" s="1" t="s">
        <v>2952</v>
      </c>
      <c r="B23" s="1" t="s">
        <v>2952</v>
      </c>
      <c r="C23" s="16" t="str">
        <f t="shared" si="0"/>
        <v>相同</v>
      </c>
      <c r="D23">
        <f>COUNTIF(新!A:A,B23)</f>
        <v>1</v>
      </c>
    </row>
    <row r="24" spans="1:4" x14ac:dyDescent="0.3">
      <c r="A24" s="1" t="s">
        <v>2951</v>
      </c>
      <c r="B24" s="1" t="s">
        <v>2951</v>
      </c>
      <c r="C24" s="16" t="str">
        <f t="shared" si="0"/>
        <v>相同</v>
      </c>
      <c r="D24">
        <f>COUNTIF(新!A:A,B24)</f>
        <v>5</v>
      </c>
    </row>
    <row r="25" spans="1:4" x14ac:dyDescent="0.3">
      <c r="A25" s="1" t="s">
        <v>2950</v>
      </c>
      <c r="B25" s="1" t="s">
        <v>2950</v>
      </c>
      <c r="C25" s="16" t="str">
        <f t="shared" si="0"/>
        <v>相同</v>
      </c>
      <c r="D25">
        <f>COUNTIF(新!A:A,B25)</f>
        <v>4</v>
      </c>
    </row>
    <row r="26" spans="1:4" x14ac:dyDescent="0.3">
      <c r="A26" s="1" t="s">
        <v>2949</v>
      </c>
      <c r="B26" s="1" t="s">
        <v>2949</v>
      </c>
      <c r="C26" s="16" t="str">
        <f t="shared" si="0"/>
        <v>相同</v>
      </c>
      <c r="D26">
        <f>COUNTIF(新!A:A,B26)</f>
        <v>26</v>
      </c>
    </row>
    <row r="27" spans="1:4" x14ac:dyDescent="0.3">
      <c r="A27" s="1" t="s">
        <v>2948</v>
      </c>
      <c r="B27" s="1" t="s">
        <v>2948</v>
      </c>
      <c r="C27" s="16" t="str">
        <f t="shared" si="0"/>
        <v>相同</v>
      </c>
      <c r="D27">
        <f>COUNTIF(新!A:A,B27)</f>
        <v>96</v>
      </c>
    </row>
    <row r="28" spans="1:4" x14ac:dyDescent="0.3">
      <c r="A28" s="1" t="s">
        <v>2947</v>
      </c>
      <c r="B28" s="1" t="s">
        <v>2947</v>
      </c>
      <c r="C28" s="16" t="str">
        <f t="shared" si="0"/>
        <v>相同</v>
      </c>
      <c r="D28">
        <f>COUNTIF(新!A:A,B28)</f>
        <v>7</v>
      </c>
    </row>
    <row r="29" spans="1:4" x14ac:dyDescent="0.3">
      <c r="A29" s="1" t="s">
        <v>2946</v>
      </c>
      <c r="B29" s="1" t="s">
        <v>2946</v>
      </c>
      <c r="C29" s="16" t="str">
        <f t="shared" si="0"/>
        <v>相同</v>
      </c>
      <c r="D29">
        <f>COUNTIF(新!A:A,B29)</f>
        <v>9</v>
      </c>
    </row>
    <row r="30" spans="1:4" x14ac:dyDescent="0.3">
      <c r="A30" s="1" t="s">
        <v>2945</v>
      </c>
      <c r="B30" s="1" t="s">
        <v>2945</v>
      </c>
      <c r="C30" s="16" t="str">
        <f t="shared" si="0"/>
        <v>相同</v>
      </c>
      <c r="D30">
        <f>COUNTIF(新!A:A,B30)</f>
        <v>1</v>
      </c>
    </row>
    <row r="31" spans="1:4" x14ac:dyDescent="0.3">
      <c r="A31" s="1" t="s">
        <v>2944</v>
      </c>
      <c r="B31" s="1" t="s">
        <v>2944</v>
      </c>
      <c r="C31" s="16" t="str">
        <f t="shared" si="0"/>
        <v>相同</v>
      </c>
      <c r="D31">
        <f>COUNTIF(新!A:A,B31)</f>
        <v>5</v>
      </c>
    </row>
    <row r="32" spans="1:4" x14ac:dyDescent="0.3">
      <c r="A32" s="1" t="s">
        <v>2973</v>
      </c>
      <c r="B32" s="1" t="s">
        <v>2978</v>
      </c>
      <c r="C32" s="16" t="str">
        <f t="shared" si="0"/>
        <v>不相同</v>
      </c>
      <c r="D32">
        <f>COUNTIF(新!A:A,B32)</f>
        <v>105</v>
      </c>
    </row>
    <row r="33" spans="1:4" x14ac:dyDescent="0.3">
      <c r="A33" s="1" t="s">
        <v>3829</v>
      </c>
      <c r="B33" s="1" t="s">
        <v>2978</v>
      </c>
      <c r="C33" s="16" t="str">
        <f t="shared" si="0"/>
        <v>不相同</v>
      </c>
      <c r="D33">
        <f>COUNTIF(新!A:A,B33)</f>
        <v>105</v>
      </c>
    </row>
    <row r="34" spans="1:4" x14ac:dyDescent="0.3">
      <c r="A34" s="1" t="s">
        <v>2972</v>
      </c>
      <c r="B34" s="1" t="s">
        <v>2978</v>
      </c>
      <c r="C34" s="16" t="str">
        <f t="shared" si="0"/>
        <v>不相同</v>
      </c>
      <c r="D34">
        <f>COUNTIF(新!A:A,B34)</f>
        <v>105</v>
      </c>
    </row>
    <row r="35" spans="1:4" x14ac:dyDescent="0.3">
      <c r="A35" s="1" t="s">
        <v>2971</v>
      </c>
      <c r="B35" s="1" t="s">
        <v>2978</v>
      </c>
      <c r="C35" s="16" t="str">
        <f t="shared" si="0"/>
        <v>不相同</v>
      </c>
      <c r="D35">
        <f>COUNTIF(新!A:A,B35)</f>
        <v>105</v>
      </c>
    </row>
    <row r="36" spans="1:4" x14ac:dyDescent="0.3">
      <c r="A36" s="1" t="s">
        <v>3827</v>
      </c>
      <c r="B36" s="1" t="s">
        <v>3823</v>
      </c>
      <c r="C36" s="16" t="str">
        <f t="shared" si="0"/>
        <v>不相同</v>
      </c>
      <c r="D36">
        <f>COUNTIF(新!A:A,B36)</f>
        <v>0</v>
      </c>
    </row>
    <row r="37" spans="1:4" x14ac:dyDescent="0.3">
      <c r="A37" s="1" t="s">
        <v>3846</v>
      </c>
      <c r="B37" s="1" t="s">
        <v>3823</v>
      </c>
      <c r="C37" s="16" t="str">
        <f t="shared" ref="C37:C52" si="1">IF(A37=B37,"相同","不相同")</f>
        <v>不相同</v>
      </c>
      <c r="D37">
        <f>COUNTIF(新!A:A,B37)</f>
        <v>0</v>
      </c>
    </row>
    <row r="38" spans="1:4" x14ac:dyDescent="0.3">
      <c r="A38" s="1"/>
      <c r="B38" s="1"/>
      <c r="C38" s="16" t="str">
        <f t="shared" si="1"/>
        <v>相同</v>
      </c>
      <c r="D38">
        <f>COUNTIF(新!A:A,B38)</f>
        <v>0</v>
      </c>
    </row>
    <row r="39" spans="1:4" x14ac:dyDescent="0.3">
      <c r="A39" s="1"/>
      <c r="B39" s="1"/>
      <c r="C39" s="16" t="str">
        <f t="shared" si="1"/>
        <v>相同</v>
      </c>
      <c r="D39">
        <f>COUNTIF(新!A:A,B39)</f>
        <v>0</v>
      </c>
    </row>
    <row r="40" spans="1:4" x14ac:dyDescent="0.3">
      <c r="A40" s="1" t="s">
        <v>3900</v>
      </c>
      <c r="B40" s="1" t="s">
        <v>3900</v>
      </c>
      <c r="C40" s="16" t="str">
        <f t="shared" si="1"/>
        <v>相同</v>
      </c>
      <c r="D40">
        <f>COUNTIF(新!A:A,B40)</f>
        <v>1</v>
      </c>
    </row>
    <row r="41" spans="1:4" x14ac:dyDescent="0.3">
      <c r="A41" s="1" t="s">
        <v>3917</v>
      </c>
      <c r="B41" s="1" t="s">
        <v>3917</v>
      </c>
      <c r="C41" s="16" t="str">
        <f t="shared" si="1"/>
        <v>相同</v>
      </c>
      <c r="D41">
        <f>COUNTIF(新!A:A,B41)</f>
        <v>1</v>
      </c>
    </row>
    <row r="42" spans="1:4" x14ac:dyDescent="0.3">
      <c r="A42" s="1" t="s">
        <v>3927</v>
      </c>
      <c r="B42" s="1" t="s">
        <v>3927</v>
      </c>
      <c r="C42" s="16" t="str">
        <f t="shared" si="1"/>
        <v>相同</v>
      </c>
      <c r="D42">
        <f>COUNTIF(新!A:A,B42)</f>
        <v>1</v>
      </c>
    </row>
    <row r="43" spans="1:4" x14ac:dyDescent="0.3">
      <c r="A43" s="1" t="s">
        <v>3932</v>
      </c>
      <c r="B43" s="1" t="s">
        <v>3932</v>
      </c>
      <c r="C43" s="16" t="str">
        <f t="shared" si="1"/>
        <v>相同</v>
      </c>
      <c r="D43">
        <f>COUNTIF(新!A:A,B43)</f>
        <v>1</v>
      </c>
    </row>
    <row r="44" spans="1:4" x14ac:dyDescent="0.3">
      <c r="A44" s="1" t="s">
        <v>3973</v>
      </c>
      <c r="B44" s="1" t="s">
        <v>3973</v>
      </c>
      <c r="C44" s="16" t="str">
        <f t="shared" si="1"/>
        <v>相同</v>
      </c>
      <c r="D44">
        <f>COUNTIF(新!A:A,B44)</f>
        <v>1</v>
      </c>
    </row>
    <row r="45" spans="1:4" x14ac:dyDescent="0.3">
      <c r="A45" s="1" t="s">
        <v>4019</v>
      </c>
      <c r="B45" s="1" t="s">
        <v>4019</v>
      </c>
      <c r="C45" s="16" t="str">
        <f t="shared" si="1"/>
        <v>相同</v>
      </c>
      <c r="D45">
        <f>COUNTIF(新!A:A,B45)</f>
        <v>1</v>
      </c>
    </row>
    <row r="46" spans="1:4" x14ac:dyDescent="0.3">
      <c r="A46" s="1" t="s">
        <v>4092</v>
      </c>
      <c r="B46" s="1" t="s">
        <v>4092</v>
      </c>
      <c r="C46" s="16" t="str">
        <f t="shared" si="1"/>
        <v>相同</v>
      </c>
      <c r="D46">
        <f>COUNTIF(新!A:A,B46)</f>
        <v>6</v>
      </c>
    </row>
    <row r="47" spans="1:4" x14ac:dyDescent="0.3">
      <c r="A47" s="1" t="s">
        <v>4141</v>
      </c>
      <c r="B47" s="1" t="s">
        <v>4141</v>
      </c>
      <c r="C47" s="16" t="str">
        <f t="shared" si="1"/>
        <v>相同</v>
      </c>
      <c r="D47">
        <f>COUNTIF(新!A:A,B47)</f>
        <v>6</v>
      </c>
    </row>
    <row r="48" spans="1:4" x14ac:dyDescent="0.3">
      <c r="A48" s="1" t="s">
        <v>4167</v>
      </c>
      <c r="B48" s="1" t="s">
        <v>4167</v>
      </c>
      <c r="C48" s="16" t="str">
        <f t="shared" si="1"/>
        <v>相同</v>
      </c>
      <c r="D48">
        <f>COUNTIF(新!A:A,B48)</f>
        <v>9</v>
      </c>
    </row>
    <row r="49" spans="1:4" x14ac:dyDescent="0.3">
      <c r="A49" s="1" t="s">
        <v>4181</v>
      </c>
      <c r="B49" s="1" t="s">
        <v>4181</v>
      </c>
      <c r="C49" s="16" t="str">
        <f t="shared" si="1"/>
        <v>相同</v>
      </c>
      <c r="D49">
        <f>COUNTIF(新!A:A,B49)</f>
        <v>1</v>
      </c>
    </row>
    <row r="50" spans="1:4" x14ac:dyDescent="0.3">
      <c r="A50" s="1" t="s">
        <v>4194</v>
      </c>
      <c r="B50" s="1" t="s">
        <v>4194</v>
      </c>
      <c r="C50" s="16" t="str">
        <f t="shared" si="1"/>
        <v>相同</v>
      </c>
      <c r="D50">
        <f>COUNTIF(新!A:A,B50)</f>
        <v>0</v>
      </c>
    </row>
    <row r="51" spans="1:4" x14ac:dyDescent="0.3">
      <c r="A51" s="1" t="s">
        <v>4223</v>
      </c>
      <c r="B51" s="1" t="s">
        <v>4223</v>
      </c>
      <c r="C51" s="16" t="str">
        <f t="shared" si="1"/>
        <v>相同</v>
      </c>
      <c r="D51">
        <f>COUNTIF(新!A:A,B51)</f>
        <v>48</v>
      </c>
    </row>
    <row r="52" spans="1:4" x14ac:dyDescent="0.3">
      <c r="A52" s="1"/>
      <c r="B52" s="1"/>
      <c r="C52" s="16" t="str">
        <f t="shared" si="1"/>
        <v>相同</v>
      </c>
      <c r="D52">
        <f>COUNTIF(新!A:A,B52)</f>
        <v>0</v>
      </c>
    </row>
  </sheetData>
  <autoFilter ref="A1:C37" xr:uid="{00000000-0009-0000-0000-000002000000}"/>
  <sortState xmlns:xlrd2="http://schemas.microsoft.com/office/spreadsheetml/2017/richdata2" ref="A2:C31">
    <sortCondition ref="A22"/>
  </sortState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65"/>
  <sheetViews>
    <sheetView workbookViewId="0">
      <pane ySplit="2" topLeftCell="A942" activePane="bottomLeft" state="frozen"/>
      <selection pane="bottomLeft" activeCell="C969" sqref="C969"/>
    </sheetView>
  </sheetViews>
  <sheetFormatPr defaultRowHeight="14" x14ac:dyDescent="0.3"/>
  <cols>
    <col min="1" max="1" width="17.25" customWidth="1"/>
    <col min="2" max="2" width="20" customWidth="1"/>
    <col min="3" max="3" width="46.1640625" customWidth="1"/>
    <col min="4" max="4" width="20" customWidth="1"/>
    <col min="5" max="5" width="43.75" customWidth="1"/>
    <col min="6" max="7" width="5.83203125" style="10" customWidth="1"/>
    <col min="8" max="8" width="12.1640625" style="10" bestFit="1" customWidth="1"/>
  </cols>
  <sheetData>
    <row r="1" spans="1:8" x14ac:dyDescent="0.3">
      <c r="A1" s="29" t="s">
        <v>2986</v>
      </c>
      <c r="B1" s="29"/>
      <c r="C1" s="29"/>
      <c r="D1" s="31" t="s">
        <v>2988</v>
      </c>
      <c r="E1" s="31"/>
      <c r="F1" s="30" t="s">
        <v>2987</v>
      </c>
      <c r="G1" s="30"/>
      <c r="H1" s="30"/>
    </row>
    <row r="2" spans="1:8" x14ac:dyDescent="0.3">
      <c r="A2" s="4" t="s">
        <v>2976</v>
      </c>
      <c r="B2" s="4" t="s">
        <v>2974</v>
      </c>
      <c r="C2" s="4" t="s">
        <v>2975</v>
      </c>
      <c r="D2" s="5" t="s">
        <v>2974</v>
      </c>
      <c r="E2" s="5" t="s">
        <v>2975</v>
      </c>
      <c r="F2" s="8" t="s">
        <v>2990</v>
      </c>
      <c r="G2" s="8" t="s">
        <v>2991</v>
      </c>
      <c r="H2" s="22" t="s">
        <v>2989</v>
      </c>
    </row>
    <row r="3" spans="1:8" x14ac:dyDescent="0.3">
      <c r="A3" s="3" t="str">
        <f>新!E2</f>
        <v>CRC32:EC1263CE</v>
      </c>
      <c r="B3" s="3" t="str">
        <f>新!A2</f>
        <v>Powersaves</v>
      </c>
      <c r="C3" s="3" t="str">
        <f>新!B2</f>
        <v>[AC] 001 - Isabelle [7-11 DLC Furniture].bin</v>
      </c>
      <c r="D3" s="2" t="str">
        <f>IFERROR(INDEX(旧!A:A,MATCH(测试!A3,旧!E:E,0)),0)</f>
        <v>Powersaves\Animal Crossing\Cards - Series 1</v>
      </c>
      <c r="E3" s="2" t="str">
        <f>IFERROR(INDEX(旧!B:B,MATCH(测试!A3,旧!E:E,0)),0)</f>
        <v>[AC] 001 - Isabelle [7-11 DLC Furniture].bin</v>
      </c>
      <c r="F3" s="9">
        <f>IFERROR(IF(B3=INDEX(转换!B:B,MATCH(D3,转换!A:A,0)),0,1),1)</f>
        <v>0</v>
      </c>
      <c r="G3" s="9">
        <f>IF(E3=C3,0,1)</f>
        <v>0</v>
      </c>
      <c r="H3" s="9" t="str">
        <f>_xlfn.IFS(F3+G3=0,"-",F3+G3=1,"文件名错误",F3+G3=2,"无此文件")</f>
        <v>-</v>
      </c>
    </row>
    <row r="4" spans="1:8" x14ac:dyDescent="0.3">
      <c r="A4" s="3" t="str">
        <f>新!E3</f>
        <v>CRC32:6AC6661D</v>
      </c>
      <c r="B4" s="3" t="str">
        <f>新!A3</f>
        <v>Powersaves</v>
      </c>
      <c r="C4" s="3" t="str">
        <f>新!B3</f>
        <v>[AC] 001 - Isabelle [Battle Between Giants Contest Furniture].bin</v>
      </c>
      <c r="D4" s="2" t="str">
        <f>IFERROR(INDEX(旧!A:A,MATCH(测试!A4,旧!E:E,0)),0)</f>
        <v>Powersaves\Animal Crossing\Cards - Series 1</v>
      </c>
      <c r="E4" s="2" t="str">
        <f>IFERROR(INDEX(旧!B:B,MATCH(测试!A4,旧!E:E,0)),0)</f>
        <v>[AC] 001 - Isabelle [Battle Between Giants Contest Furniture].bin</v>
      </c>
      <c r="F4" s="9">
        <f>IFERROR(IF(B4=INDEX(转换!B:B,MATCH(D4,转换!A:A,0)),0,1),1)</f>
        <v>0</v>
      </c>
      <c r="G4" s="9">
        <f t="shared" ref="G4:G67" si="0">IF(E4=C4,0,1)</f>
        <v>0</v>
      </c>
      <c r="H4" s="9" t="str">
        <f t="shared" ref="H4:H67" si="1">_xlfn.IFS(F4+G4=0,"-",F4+G4=1,"文件名错误",F4+G4=2,"无此文件")</f>
        <v>-</v>
      </c>
    </row>
    <row r="5" spans="1:8" x14ac:dyDescent="0.3">
      <c r="A5" s="3" t="str">
        <f>新!E4</f>
        <v>CRC32:2F3F44F0</v>
      </c>
      <c r="B5" s="3" t="str">
        <f>新!A4</f>
        <v>Powersaves</v>
      </c>
      <c r="C5" s="3" t="str">
        <f>新!B4</f>
        <v>[AC] 001 - Isabelle [Campus DLC Furniture].bin</v>
      </c>
      <c r="D5" s="2" t="str">
        <f>IFERROR(INDEX(旧!A:A,MATCH(测试!A5,旧!E:E,0)),0)</f>
        <v>Powersaves\Animal Crossing\Cards - Series 1</v>
      </c>
      <c r="E5" s="2" t="str">
        <f>IFERROR(INDEX(旧!B:B,MATCH(测试!A5,旧!E:E,0)),0)</f>
        <v>[AC] 001 - Isabelle [Campus DLC Furniture].bin</v>
      </c>
      <c r="F5" s="9">
        <f>IFERROR(IF(B5=INDEX(转换!B:B,MATCH(D5,转换!A:A,0)),0,1),1)</f>
        <v>0</v>
      </c>
      <c r="G5" s="9">
        <f t="shared" si="0"/>
        <v>0</v>
      </c>
      <c r="H5" s="9" t="str">
        <f t="shared" si="1"/>
        <v>-</v>
      </c>
    </row>
    <row r="6" spans="1:8" x14ac:dyDescent="0.3">
      <c r="A6" s="3" t="str">
        <f>新!E5</f>
        <v>CRC32:877E0C79</v>
      </c>
      <c r="B6" s="3" t="str">
        <f>新!A5</f>
        <v>Powersaves</v>
      </c>
      <c r="C6" s="3" t="str">
        <f>新!B5</f>
        <v>[AC] 001 - Isabelle [Monster Hunter DLC Furniture].bin</v>
      </c>
      <c r="D6" s="2" t="str">
        <f>IFERROR(INDEX(旧!A:A,MATCH(测试!A6,旧!E:E,0)),0)</f>
        <v>Powersaves\Animal Crossing\Cards - Series 1</v>
      </c>
      <c r="E6" s="2" t="str">
        <f>IFERROR(INDEX(旧!B:B,MATCH(测试!A6,旧!E:E,0)),0)</f>
        <v>[AC] 001 - Isabelle [Monster Hunter DLC Furniture].bin</v>
      </c>
      <c r="F6" s="9">
        <f>IFERROR(IF(B6=INDEX(转换!B:B,MATCH(D6,转换!A:A,0)),0,1),1)</f>
        <v>0</v>
      </c>
      <c r="G6" s="9">
        <f t="shared" si="0"/>
        <v>0</v>
      </c>
      <c r="H6" s="9" t="str">
        <f t="shared" si="1"/>
        <v>-</v>
      </c>
    </row>
    <row r="7" spans="1:8" x14ac:dyDescent="0.3">
      <c r="A7" s="3" t="str">
        <f>新!E6</f>
        <v>CRC32:B5F642DD</v>
      </c>
      <c r="B7" s="3" t="str">
        <f>新!A6</f>
        <v>Powersaves</v>
      </c>
      <c r="C7" s="3" t="str">
        <f>新!B6</f>
        <v>[AC] 001 - Isabelle [Sweetest Home Contest Furniture].bin</v>
      </c>
      <c r="D7" s="2" t="str">
        <f>IFERROR(INDEX(旧!A:A,MATCH(测试!A7,旧!E:E,0)),0)</f>
        <v>Powersaves\Animal Crossing\Cards - Series 1</v>
      </c>
      <c r="E7" s="2" t="str">
        <f>IFERROR(INDEX(旧!B:B,MATCH(测试!A7,旧!E:E,0)),0)</f>
        <v>[AC] 001 - Isabelle [Sweetest Home Contest Furniture].bin</v>
      </c>
      <c r="F7" s="9">
        <f>IFERROR(IF(B7=INDEX(转换!B:B,MATCH(D7,转换!A:A,0)),0,1),1)</f>
        <v>0</v>
      </c>
      <c r="G7" s="9">
        <f t="shared" si="0"/>
        <v>0</v>
      </c>
      <c r="H7" s="9" t="str">
        <f t="shared" si="1"/>
        <v>-</v>
      </c>
    </row>
    <row r="8" spans="1:8" x14ac:dyDescent="0.3">
      <c r="A8" s="3" t="str">
        <f>新!E7</f>
        <v>CRC32:57138A8F</v>
      </c>
      <c r="B8" s="3" t="str">
        <f>新!A7</f>
        <v>Powersaves</v>
      </c>
      <c r="C8" s="3" t="str">
        <f>新!B7</f>
        <v>[AC] 001 - Isabelle [Video Game-Related Items DLC Furniture].bin</v>
      </c>
      <c r="D8" s="2" t="str">
        <f>IFERROR(INDEX(旧!A:A,MATCH(测试!A8,旧!E:E,0)),0)</f>
        <v>Powersaves\Animal Crossing\Cards - Series 1</v>
      </c>
      <c r="E8" s="2" t="str">
        <f>IFERROR(INDEX(旧!B:B,MATCH(测试!A8,旧!E:E,0)),0)</f>
        <v>[AC] 001 - Isabelle [Video Game-Related Items DLC Furniture].bin</v>
      </c>
      <c r="F8" s="9">
        <f>IFERROR(IF(B8=INDEX(转换!B:B,MATCH(D8,转换!A:A,0)),0,1),1)</f>
        <v>0</v>
      </c>
      <c r="G8" s="9">
        <f t="shared" si="0"/>
        <v>0</v>
      </c>
      <c r="H8" s="9" t="str">
        <f t="shared" si="1"/>
        <v>-</v>
      </c>
    </row>
    <row r="9" spans="1:8" x14ac:dyDescent="0.3">
      <c r="A9" s="3" t="str">
        <f>新!E8</f>
        <v>CRC32:D68A6629</v>
      </c>
      <c r="B9" s="3" t="str">
        <f>新!A8</f>
        <v>Powersaves</v>
      </c>
      <c r="C9" s="3" t="str">
        <f>新!B8</f>
        <v>[MSS] 01 - Mario (Soccer) [Unlocked Superstar].bin</v>
      </c>
      <c r="D9" s="2" t="str">
        <f>IFERROR(INDEX(旧!A:A,MATCH(测试!A9,旧!E:E,0)),0)</f>
        <v>Powersaves\Mario\Mario Sports Superstars</v>
      </c>
      <c r="E9" s="2" t="str">
        <f>IFERROR(INDEX(旧!B:B,MATCH(测试!A9,旧!E:E,0)),0)</f>
        <v>[MSS] 01 - Mario (Soccer) [Unlocked Superstar].bin</v>
      </c>
      <c r="F9" s="9">
        <f>IFERROR(IF(B9=INDEX(转换!B:B,MATCH(D9,转换!A:A,0)),0,1),1)</f>
        <v>0</v>
      </c>
      <c r="G9" s="9">
        <f t="shared" si="0"/>
        <v>0</v>
      </c>
      <c r="H9" s="9" t="str">
        <f t="shared" si="1"/>
        <v>-</v>
      </c>
    </row>
    <row r="10" spans="1:8" x14ac:dyDescent="0.3">
      <c r="A10" s="3" t="str">
        <f>新!E9</f>
        <v>CRC32:C58FBFF0</v>
      </c>
      <c r="B10" s="3" t="str">
        <f>新!A9</f>
        <v>Powersaves</v>
      </c>
      <c r="C10" s="3" t="str">
        <f>新!B9</f>
        <v>[MSS] 02 - Mario (Baseball) [Unlocked Superstar].bin</v>
      </c>
      <c r="D10" s="2" t="str">
        <f>IFERROR(INDEX(旧!A:A,MATCH(测试!A10,旧!E:E,0)),0)</f>
        <v>Powersaves\Mario\Mario Sports Superstars</v>
      </c>
      <c r="E10" s="2" t="str">
        <f>IFERROR(INDEX(旧!B:B,MATCH(测试!A10,旧!E:E,0)),0)</f>
        <v>[MSS] 02 - Mario (Baseball) [Unlocked Superstar].bin</v>
      </c>
      <c r="F10" s="9">
        <f>IFERROR(IF(B10=INDEX(转换!B:B,MATCH(D10,转换!A:A,0)),0,1),1)</f>
        <v>0</v>
      </c>
      <c r="G10" s="9">
        <f t="shared" si="0"/>
        <v>0</v>
      </c>
      <c r="H10" s="9" t="str">
        <f t="shared" si="1"/>
        <v>-</v>
      </c>
    </row>
    <row r="11" spans="1:8" x14ac:dyDescent="0.3">
      <c r="A11" s="3" t="str">
        <f>新!E10</f>
        <v>CRC32:A3B40530</v>
      </c>
      <c r="B11" s="3" t="str">
        <f>新!A10</f>
        <v>Powersaves</v>
      </c>
      <c r="C11" s="3" t="str">
        <f>新!B10</f>
        <v>[MSS] 03 - Mario (Tennis) [Unlocked Superstar].bin</v>
      </c>
      <c r="D11" s="2" t="str">
        <f>IFERROR(INDEX(旧!A:A,MATCH(测试!A11,旧!E:E,0)),0)</f>
        <v>Powersaves\Mario\Mario Sports Superstars</v>
      </c>
      <c r="E11" s="2" t="str">
        <f>IFERROR(INDEX(旧!B:B,MATCH(测试!A11,旧!E:E,0)),0)</f>
        <v>[MSS] 03 - Mario (Tennis) [Unlocked Superstar].bin</v>
      </c>
      <c r="F11" s="9">
        <f>IFERROR(IF(B11=INDEX(转换!B:B,MATCH(D11,转换!A:A,0)),0,1),1)</f>
        <v>0</v>
      </c>
      <c r="G11" s="9">
        <f t="shared" si="0"/>
        <v>0</v>
      </c>
      <c r="H11" s="9" t="str">
        <f t="shared" si="1"/>
        <v>-</v>
      </c>
    </row>
    <row r="12" spans="1:8" x14ac:dyDescent="0.3">
      <c r="A12" s="3" t="str">
        <f>新!E11</f>
        <v>CRC32:180627E8</v>
      </c>
      <c r="B12" s="3" t="str">
        <f>新!A11</f>
        <v>Powersaves</v>
      </c>
      <c r="C12" s="3" t="str">
        <f>新!B11</f>
        <v>[MSS] 04 - Mario (Baseball) [Unlocked Superstar].bin</v>
      </c>
      <c r="D12" s="2" t="str">
        <f>IFERROR(INDEX(旧!A:A,MATCH(测试!A12,旧!E:E,0)),0)</f>
        <v>Powersaves\Mario\Mario Sports Superstars</v>
      </c>
      <c r="E12" s="2" t="str">
        <f>IFERROR(INDEX(旧!B:B,MATCH(测试!A12,旧!E:E,0)),0)</f>
        <v>[MSS] 04 - Mario (Golf) [Unlocked Superstar].bin</v>
      </c>
      <c r="F12" s="9">
        <f>IFERROR(IF(B12=INDEX(转换!B:B,MATCH(D12,转换!A:A,0)),0,1),1)</f>
        <v>0</v>
      </c>
      <c r="G12" s="9">
        <f t="shared" si="0"/>
        <v>1</v>
      </c>
      <c r="H12" s="9" t="str">
        <f t="shared" si="1"/>
        <v>文件名错误</v>
      </c>
    </row>
    <row r="13" spans="1:8" x14ac:dyDescent="0.3">
      <c r="A13" s="3" t="str">
        <f>新!E12</f>
        <v>CRC32:BF26A469</v>
      </c>
      <c r="B13" s="3" t="str">
        <f>新!A12</f>
        <v>Powersaves</v>
      </c>
      <c r="C13" s="3" t="str">
        <f>新!B12</f>
        <v>[MSS] 05 - Mario (Horse Racing) [Unlocked Superstar].bin</v>
      </c>
      <c r="D13" s="2" t="str">
        <f>IFERROR(INDEX(旧!A:A,MATCH(测试!A13,旧!E:E,0)),0)</f>
        <v>Powersaves\Mario\Mario Sports Superstars</v>
      </c>
      <c r="E13" s="2" t="str">
        <f>IFERROR(INDEX(旧!B:B,MATCH(测试!A13,旧!E:E,0)),0)</f>
        <v>[MSS] 05 - Mario (Horse Racing) [Unlocked Superstar].bin</v>
      </c>
      <c r="F13" s="9">
        <f>IFERROR(IF(B13=INDEX(转换!B:B,MATCH(D13,转换!A:A,0)),0,1),1)</f>
        <v>0</v>
      </c>
      <c r="G13" s="9">
        <f t="shared" si="0"/>
        <v>0</v>
      </c>
      <c r="H13" s="9" t="str">
        <f t="shared" si="1"/>
        <v>-</v>
      </c>
    </row>
    <row r="14" spans="1:8" x14ac:dyDescent="0.3">
      <c r="A14" s="3" t="str">
        <f>新!E13</f>
        <v>CRC32:7F26A8ED</v>
      </c>
      <c r="B14" s="3" t="str">
        <f>新!A13</f>
        <v>Powersaves</v>
      </c>
      <c r="C14" s="3" t="str">
        <f>新!B13</f>
        <v>[MSS] 06 - Luigi (Soccer) [Unlocked Superstar].bin</v>
      </c>
      <c r="D14" s="2" t="str">
        <f>IFERROR(INDEX(旧!A:A,MATCH(测试!A14,旧!E:E,0)),0)</f>
        <v>Powersaves\Mario\Mario Sports Superstars</v>
      </c>
      <c r="E14" s="2" t="str">
        <f>IFERROR(INDEX(旧!B:B,MATCH(测试!A14,旧!E:E,0)),0)</f>
        <v>[MSS] 06 - Luigi (Soccer) [Unlocked Superstar].bin</v>
      </c>
      <c r="F14" s="9">
        <f>IFERROR(IF(B14=INDEX(转换!B:B,MATCH(D14,转换!A:A,0)),0,1),1)</f>
        <v>0</v>
      </c>
      <c r="G14" s="9">
        <f t="shared" si="0"/>
        <v>0</v>
      </c>
      <c r="H14" s="9" t="str">
        <f t="shared" si="1"/>
        <v>-</v>
      </c>
    </row>
    <row r="15" spans="1:8" x14ac:dyDescent="0.3">
      <c r="A15" s="3" t="str">
        <f>新!E14</f>
        <v>CRC32:22F9ACAF</v>
      </c>
      <c r="B15" s="3" t="str">
        <f>新!A14</f>
        <v>Powersaves</v>
      </c>
      <c r="C15" s="3" t="str">
        <f>新!B14</f>
        <v>[MSS] 07 - Luigi (Baseball) [Unlocked Superstar].bin</v>
      </c>
      <c r="D15" s="2" t="str">
        <f>IFERROR(INDEX(旧!A:A,MATCH(测试!A15,旧!E:E,0)),0)</f>
        <v>Powersaves\Mario\Mario Sports Superstars</v>
      </c>
      <c r="E15" s="2" t="str">
        <f>IFERROR(INDEX(旧!B:B,MATCH(测试!A15,旧!E:E,0)),0)</f>
        <v>[MSS] 07 - Luigi (Baseball) [Unlocked Superstar].bin</v>
      </c>
      <c r="F15" s="9">
        <f>IFERROR(IF(B15=INDEX(转换!B:B,MATCH(D15,转换!A:A,0)),0,1),1)</f>
        <v>0</v>
      </c>
      <c r="G15" s="9">
        <f t="shared" si="0"/>
        <v>0</v>
      </c>
      <c r="H15" s="9" t="str">
        <f t="shared" si="1"/>
        <v>-</v>
      </c>
    </row>
    <row r="16" spans="1:8" x14ac:dyDescent="0.3">
      <c r="A16" s="3" t="str">
        <f>新!E15</f>
        <v>CRC32:47E34CF8</v>
      </c>
      <c r="B16" s="3" t="str">
        <f>新!A15</f>
        <v>Powersaves</v>
      </c>
      <c r="C16" s="3" t="str">
        <f>新!B15</f>
        <v>[MSS] 08 - Luigi (Tennis) [Unlocked Superstar].bin</v>
      </c>
      <c r="D16" s="2" t="str">
        <f>IFERROR(INDEX(旧!A:A,MATCH(测试!A16,旧!E:E,0)),0)</f>
        <v>Powersaves\Mario\Mario Sports Superstars</v>
      </c>
      <c r="E16" s="2" t="str">
        <f>IFERROR(INDEX(旧!B:B,MATCH(测试!A16,旧!E:E,0)),0)</f>
        <v>[MSS] 08 - Luigi (Tennis) [Unlocked Superstar].bin</v>
      </c>
      <c r="F16" s="9">
        <f>IFERROR(IF(B16=INDEX(转换!B:B,MATCH(D16,转换!A:A,0)),0,1),1)</f>
        <v>0</v>
      </c>
      <c r="G16" s="9">
        <f t="shared" si="0"/>
        <v>0</v>
      </c>
      <c r="H16" s="9" t="str">
        <f t="shared" si="1"/>
        <v>-</v>
      </c>
    </row>
    <row r="17" spans="1:8" x14ac:dyDescent="0.3">
      <c r="A17" s="3" t="str">
        <f>新!E16</f>
        <v>CRC32:EE930592</v>
      </c>
      <c r="B17" s="3" t="str">
        <f>新!A16</f>
        <v>Powersaves</v>
      </c>
      <c r="C17" s="3" t="str">
        <f>新!B16</f>
        <v>[MSS] 09 - Luigi (Golf) [Unlocked Superstar].bin</v>
      </c>
      <c r="D17" s="2" t="str">
        <f>IFERROR(INDEX(旧!A:A,MATCH(测试!A17,旧!E:E,0)),0)</f>
        <v>Powersaves\Mario\Mario Sports Superstars</v>
      </c>
      <c r="E17" s="2" t="str">
        <f>IFERROR(INDEX(旧!B:B,MATCH(测试!A17,旧!E:E,0)),0)</f>
        <v>[MSS] 09 - Luigi (Golf) [Unlocked Superstar].bin</v>
      </c>
      <c r="F17" s="9">
        <f>IFERROR(IF(B17=INDEX(转换!B:B,MATCH(D17,转换!A:A,0)),0,1),1)</f>
        <v>0</v>
      </c>
      <c r="G17" s="9">
        <f t="shared" si="0"/>
        <v>0</v>
      </c>
      <c r="H17" s="9" t="str">
        <f t="shared" si="1"/>
        <v>-</v>
      </c>
    </row>
    <row r="18" spans="1:8" x14ac:dyDescent="0.3">
      <c r="A18" s="3" t="str">
        <f>新!E17</f>
        <v>CRC32:94E805A3</v>
      </c>
      <c r="B18" s="3" t="str">
        <f>新!A17</f>
        <v>Powersaves</v>
      </c>
      <c r="C18" s="3" t="str">
        <f>新!B17</f>
        <v>[MSS] 10 - Luigi (Horse Racing) [Unlocked Superstar].bin</v>
      </c>
      <c r="D18" s="2" t="str">
        <f>IFERROR(INDEX(旧!A:A,MATCH(测试!A18,旧!E:E,0)),0)</f>
        <v>Powersaves\Mario\Mario Sports Superstars</v>
      </c>
      <c r="E18" s="2" t="str">
        <f>IFERROR(INDEX(旧!B:B,MATCH(测试!A18,旧!E:E,0)),0)</f>
        <v>[MSS] 10 - Luigi (Horse Racing) [Unlocked Superstar].bin</v>
      </c>
      <c r="F18" s="9">
        <f>IFERROR(IF(B18=INDEX(转换!B:B,MATCH(D18,转换!A:A,0)),0,1),1)</f>
        <v>0</v>
      </c>
      <c r="G18" s="9">
        <f t="shared" si="0"/>
        <v>0</v>
      </c>
      <c r="H18" s="9" t="str">
        <f t="shared" si="1"/>
        <v>-</v>
      </c>
    </row>
    <row r="19" spans="1:8" x14ac:dyDescent="0.3">
      <c r="A19" s="3" t="str">
        <f>新!E18</f>
        <v>CRC32:331363E0</v>
      </c>
      <c r="B19" s="3" t="str">
        <f>新!A18</f>
        <v>Powersaves</v>
      </c>
      <c r="C19" s="3" t="str">
        <f>新!B18</f>
        <v>[MSS] 11 - Peach (Soccer) [Unlocked Superstar].bin</v>
      </c>
      <c r="D19" s="2" t="str">
        <f>IFERROR(INDEX(旧!A:A,MATCH(测试!A19,旧!E:E,0)),0)</f>
        <v>Powersaves\Mario\Mario Sports Superstars</v>
      </c>
      <c r="E19" s="2" t="str">
        <f>IFERROR(INDEX(旧!B:B,MATCH(测试!A19,旧!E:E,0)),0)</f>
        <v>[MSS] 11 - Peach (Soccer) [Unlocked Superstar].bin</v>
      </c>
      <c r="F19" s="9">
        <f>IFERROR(IF(B19=INDEX(转换!B:B,MATCH(D19,转换!A:A,0)),0,1),1)</f>
        <v>0</v>
      </c>
      <c r="G19" s="9">
        <f t="shared" si="0"/>
        <v>0</v>
      </c>
      <c r="H19" s="9" t="str">
        <f t="shared" si="1"/>
        <v>-</v>
      </c>
    </row>
    <row r="20" spans="1:8" x14ac:dyDescent="0.3">
      <c r="A20" s="3" t="str">
        <f>新!E19</f>
        <v>CRC32:3A55D90A</v>
      </c>
      <c r="B20" s="3" t="str">
        <f>新!A19</f>
        <v>Powersaves</v>
      </c>
      <c r="C20" s="3" t="str">
        <f>新!B19</f>
        <v>[MSS] 12 - Peach (Baseball) [Unlocked Superstar].bin</v>
      </c>
      <c r="D20" s="2" t="str">
        <f>IFERROR(INDEX(旧!A:A,MATCH(测试!A20,旧!E:E,0)),0)</f>
        <v>Powersaves\Mario\Mario Sports Superstars</v>
      </c>
      <c r="E20" s="2" t="str">
        <f>IFERROR(INDEX(旧!B:B,MATCH(测试!A20,旧!E:E,0)),0)</f>
        <v>[MSS] 12 - Peach (Baseball) [Unlocked Superstar].bin</v>
      </c>
      <c r="F20" s="9">
        <f>IFERROR(IF(B20=INDEX(转换!B:B,MATCH(D20,转换!A:A,0)),0,1),1)</f>
        <v>0</v>
      </c>
      <c r="G20" s="9">
        <f t="shared" si="0"/>
        <v>0</v>
      </c>
      <c r="H20" s="9" t="str">
        <f t="shared" si="1"/>
        <v>-</v>
      </c>
    </row>
    <row r="21" spans="1:8" x14ac:dyDescent="0.3">
      <c r="A21" s="3" t="str">
        <f>新!E20</f>
        <v>CRC32:ED7AC146</v>
      </c>
      <c r="B21" s="3" t="str">
        <f>新!A20</f>
        <v>Powersaves</v>
      </c>
      <c r="C21" s="3" t="str">
        <f>新!B20</f>
        <v>[MSS] 13 - Peach (Tennis) [Unlocked Superstar].bin</v>
      </c>
      <c r="D21" s="2" t="str">
        <f>IFERROR(INDEX(旧!A:A,MATCH(测试!A21,旧!E:E,0)),0)</f>
        <v>Powersaves\Mario\Mario Sports Superstars</v>
      </c>
      <c r="E21" s="2" t="str">
        <f>IFERROR(INDEX(旧!B:B,MATCH(测试!A21,旧!E:E,0)),0)</f>
        <v>[MSS] 13 - Peach (Tennis) [Unlocked Superstar].bin</v>
      </c>
      <c r="F21" s="9">
        <f>IFERROR(IF(B21=INDEX(转换!B:B,MATCH(D21,转换!A:A,0)),0,1),1)</f>
        <v>0</v>
      </c>
      <c r="G21" s="9">
        <f t="shared" si="0"/>
        <v>0</v>
      </c>
      <c r="H21" s="9" t="str">
        <f t="shared" si="1"/>
        <v>-</v>
      </c>
    </row>
    <row r="22" spans="1:8" x14ac:dyDescent="0.3">
      <c r="A22" s="3" t="str">
        <f>新!E21</f>
        <v>CRC32:1F2DDB24</v>
      </c>
      <c r="B22" s="3" t="str">
        <f>新!A21</f>
        <v>Powersaves</v>
      </c>
      <c r="C22" s="3" t="str">
        <f>新!B21</f>
        <v>[MSS] 14 - Peach (Golf) [Unlocked Superstar].bin</v>
      </c>
      <c r="D22" s="2" t="str">
        <f>IFERROR(INDEX(旧!A:A,MATCH(测试!A22,旧!E:E,0)),0)</f>
        <v>Powersaves\Mario\Mario Sports Superstars</v>
      </c>
      <c r="E22" s="2" t="str">
        <f>IFERROR(INDEX(旧!B:B,MATCH(测试!A22,旧!E:E,0)),0)</f>
        <v>[MSS] 14 - Peach (Golf) [Unlocked Superstar].bin</v>
      </c>
      <c r="F22" s="9">
        <f>IFERROR(IF(B22=INDEX(转换!B:B,MATCH(D22,转换!A:A,0)),0,1),1)</f>
        <v>0</v>
      </c>
      <c r="G22" s="9">
        <f t="shared" si="0"/>
        <v>0</v>
      </c>
      <c r="H22" s="9" t="str">
        <f t="shared" si="1"/>
        <v>-</v>
      </c>
    </row>
    <row r="23" spans="1:8" x14ac:dyDescent="0.3">
      <c r="A23" s="3" t="str">
        <f>新!E22</f>
        <v>CRC32:C34E5999</v>
      </c>
      <c r="B23" s="3" t="str">
        <f>新!A22</f>
        <v>Powersaves</v>
      </c>
      <c r="C23" s="3" t="str">
        <f>新!B22</f>
        <v>[MSS] 15 - Peach (Horse Racing) [Unlocked Superstar].bin</v>
      </c>
      <c r="D23" s="2" t="str">
        <f>IFERROR(INDEX(旧!A:A,MATCH(测试!A23,旧!E:E,0)),0)</f>
        <v>Powersaves\Mario\Mario Sports Superstars</v>
      </c>
      <c r="E23" s="2" t="str">
        <f>IFERROR(INDEX(旧!B:B,MATCH(测试!A23,旧!E:E,0)),0)</f>
        <v>[MSS] 15 - Peach (Horse Racing) [Unlocked Superstar].bin</v>
      </c>
      <c r="F23" s="9">
        <f>IFERROR(IF(B23=INDEX(转换!B:B,MATCH(D23,转换!A:A,0)),0,1),1)</f>
        <v>0</v>
      </c>
      <c r="G23" s="9">
        <f t="shared" si="0"/>
        <v>0</v>
      </c>
      <c r="H23" s="9" t="str">
        <f t="shared" si="1"/>
        <v>-</v>
      </c>
    </row>
    <row r="24" spans="1:8" x14ac:dyDescent="0.3">
      <c r="A24" s="3" t="str">
        <f>新!E23</f>
        <v>CRC32:F4601BBA</v>
      </c>
      <c r="B24" s="3" t="str">
        <f>新!A23</f>
        <v>Powersaves</v>
      </c>
      <c r="C24" s="3" t="str">
        <f>新!B23</f>
        <v>[MSS] 16 - Daisy (Soccer) [Unlocked Superstar].bin</v>
      </c>
      <c r="D24" s="2" t="str">
        <f>IFERROR(INDEX(旧!A:A,MATCH(测试!A24,旧!E:E,0)),0)</f>
        <v>Powersaves\Mario\Mario Sports Superstars</v>
      </c>
      <c r="E24" s="2" t="str">
        <f>IFERROR(INDEX(旧!B:B,MATCH(测试!A24,旧!E:E,0)),0)</f>
        <v>[MSS] 16 - Daisy (Soccer) [Unlocked Superstar].bin</v>
      </c>
      <c r="F24" s="9">
        <f>IFERROR(IF(B24=INDEX(转换!B:B,MATCH(D24,转换!A:A,0)),0,1),1)</f>
        <v>0</v>
      </c>
      <c r="G24" s="9">
        <f t="shared" si="0"/>
        <v>0</v>
      </c>
      <c r="H24" s="9" t="str">
        <f t="shared" si="1"/>
        <v>-</v>
      </c>
    </row>
    <row r="25" spans="1:8" x14ac:dyDescent="0.3">
      <c r="A25" s="3" t="str">
        <f>新!E24</f>
        <v>CRC32:9C3EF9B5</v>
      </c>
      <c r="B25" s="3" t="str">
        <f>新!A24</f>
        <v>Powersaves</v>
      </c>
      <c r="C25" s="3" t="str">
        <f>新!B24</f>
        <v>[MSS] 17 - Daisy (Baseball) [Unlocked Superstar].bin</v>
      </c>
      <c r="D25" s="2" t="str">
        <f>IFERROR(INDEX(旧!A:A,MATCH(测试!A25,旧!E:E,0)),0)</f>
        <v>Powersaves\Mario\Mario Sports Superstars</v>
      </c>
      <c r="E25" s="2" t="str">
        <f>IFERROR(INDEX(旧!B:B,MATCH(测试!A25,旧!E:E,0)),0)</f>
        <v>[MSS] 17 - Daisy (Baseball) [Unlocked Superstar].bin</v>
      </c>
      <c r="F25" s="9">
        <f>IFERROR(IF(B25=INDEX(转换!B:B,MATCH(D25,转换!A:A,0)),0,1),1)</f>
        <v>0</v>
      </c>
      <c r="G25" s="9">
        <f t="shared" si="0"/>
        <v>0</v>
      </c>
      <c r="H25" s="9" t="str">
        <f t="shared" si="1"/>
        <v>-</v>
      </c>
    </row>
    <row r="26" spans="1:8" x14ac:dyDescent="0.3">
      <c r="A26" s="3" t="str">
        <f>新!E25</f>
        <v>CRC32:881F9E4E</v>
      </c>
      <c r="B26" s="3" t="str">
        <f>新!A25</f>
        <v>Powersaves</v>
      </c>
      <c r="C26" s="3" t="str">
        <f>新!B25</f>
        <v>[MSS] 18 - Daisy (Tennis) [Unlocked Superstar].bin</v>
      </c>
      <c r="D26" s="2" t="str">
        <f>IFERROR(INDEX(旧!A:A,MATCH(测试!A26,旧!E:E,0)),0)</f>
        <v>Powersaves\Mario\Mario Sports Superstars</v>
      </c>
      <c r="E26" s="2" t="str">
        <f>IFERROR(INDEX(旧!B:B,MATCH(测试!A26,旧!E:E,0)),0)</f>
        <v>[MSS] 18 - Daisy (Tennis) [Unlocked Superstar].bin</v>
      </c>
      <c r="F26" s="9">
        <f>IFERROR(IF(B26=INDEX(转换!B:B,MATCH(D26,转换!A:A,0)),0,1),1)</f>
        <v>0</v>
      </c>
      <c r="G26" s="9">
        <f t="shared" si="0"/>
        <v>0</v>
      </c>
      <c r="H26" s="9" t="str">
        <f t="shared" si="1"/>
        <v>-</v>
      </c>
    </row>
    <row r="27" spans="1:8" x14ac:dyDescent="0.3">
      <c r="A27" s="3" t="str">
        <f>新!E26</f>
        <v>CRC32:4D1BC292</v>
      </c>
      <c r="B27" s="3" t="str">
        <f>新!A26</f>
        <v>Powersaves</v>
      </c>
      <c r="C27" s="3" t="str">
        <f>新!B26</f>
        <v>[MSS] 19 - Daisy (Golf) [Unlocked Superstar].bin</v>
      </c>
      <c r="D27" s="2" t="str">
        <f>IFERROR(INDEX(旧!A:A,MATCH(测试!A27,旧!E:E,0)),0)</f>
        <v>Powersaves\Mario\Mario Sports Superstars</v>
      </c>
      <c r="E27" s="2" t="str">
        <f>IFERROR(INDEX(旧!B:B,MATCH(测试!A27,旧!E:E,0)),0)</f>
        <v>[MSS] 19 - Daisy (Golf) [Unlocked Superstar].bin</v>
      </c>
      <c r="F27" s="9">
        <f>IFERROR(IF(B27=INDEX(转换!B:B,MATCH(D27,转换!A:A,0)),0,1),1)</f>
        <v>0</v>
      </c>
      <c r="G27" s="9">
        <f t="shared" si="0"/>
        <v>0</v>
      </c>
      <c r="H27" s="9" t="str">
        <f t="shared" si="1"/>
        <v>-</v>
      </c>
    </row>
    <row r="28" spans="1:8" x14ac:dyDescent="0.3">
      <c r="A28" s="3" t="str">
        <f>新!E27</f>
        <v>CRC32:C5D25F55</v>
      </c>
      <c r="B28" s="3" t="str">
        <f>新!A27</f>
        <v>Powersaves</v>
      </c>
      <c r="C28" s="3" t="str">
        <f>新!B27</f>
        <v>[MSS] 20 - Daisy (Horse Racing) [Unlocked Superstar].bin</v>
      </c>
      <c r="D28" s="2" t="str">
        <f>IFERROR(INDEX(旧!A:A,MATCH(测试!A28,旧!E:E,0)),0)</f>
        <v>Powersaves\Mario\Mario Sports Superstars</v>
      </c>
      <c r="E28" s="2" t="str">
        <f>IFERROR(INDEX(旧!B:B,MATCH(测试!A28,旧!E:E,0)),0)</f>
        <v>[MSS] 20 - Daisy (Horse Racing) [Unlocked Superstar].bin</v>
      </c>
      <c r="F28" s="9">
        <f>IFERROR(IF(B28=INDEX(转换!B:B,MATCH(D28,转换!A:A,0)),0,1),1)</f>
        <v>0</v>
      </c>
      <c r="G28" s="9">
        <f t="shared" si="0"/>
        <v>0</v>
      </c>
      <c r="H28" s="9" t="str">
        <f t="shared" si="1"/>
        <v>-</v>
      </c>
    </row>
    <row r="29" spans="1:8" x14ac:dyDescent="0.3">
      <c r="A29" s="3" t="str">
        <f>新!E28</f>
        <v>CRC32:8AF2177A</v>
      </c>
      <c r="B29" s="3" t="str">
        <f>新!A28</f>
        <v>Powersaves</v>
      </c>
      <c r="C29" s="3" t="str">
        <f>新!B28</f>
        <v>[MSS] 21 - Yoshi (Soccer) [Unlocked Superstar].bin</v>
      </c>
      <c r="D29" s="2" t="str">
        <f>IFERROR(INDEX(旧!A:A,MATCH(测试!A29,旧!E:E,0)),0)</f>
        <v>Powersaves\Mario\Mario Sports Superstars</v>
      </c>
      <c r="E29" s="2" t="str">
        <f>IFERROR(INDEX(旧!B:B,MATCH(测试!A29,旧!E:E,0)),0)</f>
        <v>[MSS] 21 - Yoshi (Soccer) [Unlocked Superstar].bin</v>
      </c>
      <c r="F29" s="9">
        <f>IFERROR(IF(B29=INDEX(转换!B:B,MATCH(D29,转换!A:A,0)),0,1),1)</f>
        <v>0</v>
      </c>
      <c r="G29" s="9">
        <f t="shared" si="0"/>
        <v>0</v>
      </c>
      <c r="H29" s="9" t="str">
        <f t="shared" si="1"/>
        <v>-</v>
      </c>
    </row>
    <row r="30" spans="1:8" x14ac:dyDescent="0.3">
      <c r="A30" s="3" t="str">
        <f>新!E29</f>
        <v>CRC32:A7DDC66E</v>
      </c>
      <c r="B30" s="3" t="str">
        <f>新!A29</f>
        <v>Powersaves</v>
      </c>
      <c r="C30" s="3" t="str">
        <f>新!B29</f>
        <v>[MSS] 22 - Yoshi (Baseball) [Unlocked Superstar].bin</v>
      </c>
      <c r="D30" s="2" t="str">
        <f>IFERROR(INDEX(旧!A:A,MATCH(测试!A30,旧!E:E,0)),0)</f>
        <v>Powersaves\Mario\Mario Sports Superstars</v>
      </c>
      <c r="E30" s="2" t="str">
        <f>IFERROR(INDEX(旧!B:B,MATCH(测试!A30,旧!E:E,0)),0)</f>
        <v>[MSS] 22 - Yoshi (Baseball) [Unlocked Superstar].bin</v>
      </c>
      <c r="F30" s="9">
        <f>IFERROR(IF(B30=INDEX(转换!B:B,MATCH(D30,转换!A:A,0)),0,1),1)</f>
        <v>0</v>
      </c>
      <c r="G30" s="9">
        <f t="shared" si="0"/>
        <v>0</v>
      </c>
      <c r="H30" s="9" t="str">
        <f t="shared" si="1"/>
        <v>-</v>
      </c>
    </row>
    <row r="31" spans="1:8" x14ac:dyDescent="0.3">
      <c r="A31" s="3" t="str">
        <f>新!E30</f>
        <v>CRC32:D01B09B2</v>
      </c>
      <c r="B31" s="3" t="str">
        <f>新!A30</f>
        <v>Powersaves</v>
      </c>
      <c r="C31" s="3" t="str">
        <f>新!B30</f>
        <v>[MSS] 23 - Yoshi (Tennis) [Unlocked Superstar].bin</v>
      </c>
      <c r="D31" s="2" t="str">
        <f>IFERROR(INDEX(旧!A:A,MATCH(测试!A31,旧!E:E,0)),0)</f>
        <v>Powersaves\Mario\Mario Sports Superstars</v>
      </c>
      <c r="E31" s="2" t="str">
        <f>IFERROR(INDEX(旧!B:B,MATCH(测试!A31,旧!E:E,0)),0)</f>
        <v>[MSS] 23 - Yoshi (Tennis) [Unlocked Superstar].bin</v>
      </c>
      <c r="F31" s="9">
        <f>IFERROR(IF(B31=INDEX(转换!B:B,MATCH(D31,转换!A:A,0)),0,1),1)</f>
        <v>0</v>
      </c>
      <c r="G31" s="9">
        <f t="shared" si="0"/>
        <v>0</v>
      </c>
      <c r="H31" s="9" t="str">
        <f t="shared" si="1"/>
        <v>-</v>
      </c>
    </row>
    <row r="32" spans="1:8" x14ac:dyDescent="0.3">
      <c r="A32" s="3" t="str">
        <f>新!E31</f>
        <v>CRC32:3C0B8BB4</v>
      </c>
      <c r="B32" s="3" t="str">
        <f>新!A31</f>
        <v>Powersaves</v>
      </c>
      <c r="C32" s="3" t="str">
        <f>新!B31</f>
        <v>[MSS] 24 - Yoshi (Golf) [Unlocked Superstar].bin</v>
      </c>
      <c r="D32" s="2" t="str">
        <f>IFERROR(INDEX(旧!A:A,MATCH(测试!A32,旧!E:E,0)),0)</f>
        <v>Powersaves\Mario\Mario Sports Superstars</v>
      </c>
      <c r="E32" s="2" t="str">
        <f>IFERROR(INDEX(旧!B:B,MATCH(测试!A32,旧!E:E,0)),0)</f>
        <v>[MSS] 24 - Yoshi (Golf) [Unlocked Superstar].bin</v>
      </c>
      <c r="F32" s="9">
        <f>IFERROR(IF(B32=INDEX(转换!B:B,MATCH(D32,转换!A:A,0)),0,1),1)</f>
        <v>0</v>
      </c>
      <c r="G32" s="9">
        <f t="shared" si="0"/>
        <v>0</v>
      </c>
      <c r="H32" s="9" t="str">
        <f t="shared" si="1"/>
        <v>-</v>
      </c>
    </row>
    <row r="33" spans="1:8" x14ac:dyDescent="0.3">
      <c r="A33" s="3" t="str">
        <f>新!E32</f>
        <v>CRC32:87C5CBE7</v>
      </c>
      <c r="B33" s="3" t="str">
        <f>新!A32</f>
        <v>Powersaves</v>
      </c>
      <c r="C33" s="3" t="str">
        <f>新!B32</f>
        <v>[MSS] 25 - Yoshi (Horse Racing) [Unlocked Superstar].bin</v>
      </c>
      <c r="D33" s="2" t="str">
        <f>IFERROR(INDEX(旧!A:A,MATCH(测试!A33,旧!E:E,0)),0)</f>
        <v>Powersaves\Mario\Mario Sports Superstars</v>
      </c>
      <c r="E33" s="2" t="str">
        <f>IFERROR(INDEX(旧!B:B,MATCH(测试!A33,旧!E:E,0)),0)</f>
        <v>[MSS] 25 - Yoshi (Horse Racing) [Unlocked Superstar].bin</v>
      </c>
      <c r="F33" s="9">
        <f>IFERROR(IF(B33=INDEX(转换!B:B,MATCH(D33,转换!A:A,0)),0,1),1)</f>
        <v>0</v>
      </c>
      <c r="G33" s="9">
        <f t="shared" si="0"/>
        <v>0</v>
      </c>
      <c r="H33" s="9" t="str">
        <f t="shared" si="1"/>
        <v>-</v>
      </c>
    </row>
    <row r="34" spans="1:8" x14ac:dyDescent="0.3">
      <c r="A34" s="3" t="str">
        <f>新!E33</f>
        <v>CRC32:F04309A4</v>
      </c>
      <c r="B34" s="3" t="str">
        <f>新!A33</f>
        <v>Powersaves</v>
      </c>
      <c r="C34" s="3" t="str">
        <f>新!B33</f>
        <v>[MSS] 26 - Wario (Soccer) [Unlocked Superstar].bin</v>
      </c>
      <c r="D34" s="2" t="str">
        <f>IFERROR(INDEX(旧!A:A,MATCH(测试!A34,旧!E:E,0)),0)</f>
        <v>Powersaves\Mario\Mario Sports Superstars</v>
      </c>
      <c r="E34" s="2" t="str">
        <f>IFERROR(INDEX(旧!B:B,MATCH(测试!A34,旧!E:E,0)),0)</f>
        <v>[MSS] 26 - Wario (Soccer) [Unlocked Superstar].bin</v>
      </c>
      <c r="F34" s="9">
        <f>IFERROR(IF(B34=INDEX(转换!B:B,MATCH(D34,转换!A:A,0)),0,1),1)</f>
        <v>0</v>
      </c>
      <c r="G34" s="9">
        <f t="shared" si="0"/>
        <v>0</v>
      </c>
      <c r="H34" s="9" t="str">
        <f t="shared" si="1"/>
        <v>-</v>
      </c>
    </row>
    <row r="35" spans="1:8" x14ac:dyDescent="0.3">
      <c r="A35" s="3" t="str">
        <f>新!E34</f>
        <v>CRC32:E04E18FD</v>
      </c>
      <c r="B35" s="3" t="str">
        <f>新!A34</f>
        <v>Powersaves</v>
      </c>
      <c r="C35" s="3" t="str">
        <f>新!B34</f>
        <v>[MSS] 27 - Wario (Baseball) [Unlocked Superstar].bin</v>
      </c>
      <c r="D35" s="2" t="str">
        <f>IFERROR(INDEX(旧!A:A,MATCH(测试!A35,旧!E:E,0)),0)</f>
        <v>Powersaves\Mario\Mario Sports Superstars</v>
      </c>
      <c r="E35" s="2" t="str">
        <f>IFERROR(INDEX(旧!B:B,MATCH(测试!A35,旧!E:E,0)),0)</f>
        <v>[MSS] 27 - Wario (Baseball) [Unlocked Superstar].bin</v>
      </c>
      <c r="F35" s="9">
        <f>IFERROR(IF(B35=INDEX(转换!B:B,MATCH(D35,转换!A:A,0)),0,1),1)</f>
        <v>0</v>
      </c>
      <c r="G35" s="9">
        <f t="shared" si="0"/>
        <v>0</v>
      </c>
      <c r="H35" s="9" t="str">
        <f t="shared" si="1"/>
        <v>-</v>
      </c>
    </row>
    <row r="36" spans="1:8" x14ac:dyDescent="0.3">
      <c r="A36" s="3" t="str">
        <f>新!E35</f>
        <v>CRC32:BF91CA3D</v>
      </c>
      <c r="B36" s="3" t="str">
        <f>新!A35</f>
        <v>Powersaves</v>
      </c>
      <c r="C36" s="3" t="str">
        <f>新!B35</f>
        <v>[MSS] 28 - Wario (Tennis) [Unlocked Superstar].bin</v>
      </c>
      <c r="D36" s="2" t="str">
        <f>IFERROR(INDEX(旧!A:A,MATCH(测试!A36,旧!E:E,0)),0)</f>
        <v>Powersaves\Mario\Mario Sports Superstars</v>
      </c>
      <c r="E36" s="2" t="str">
        <f>IFERROR(INDEX(旧!B:B,MATCH(测试!A36,旧!E:E,0)),0)</f>
        <v>[MSS] 28 - Wario (Tennis) [Unlocked Superstar].bin</v>
      </c>
      <c r="F36" s="9">
        <f>IFERROR(IF(B36=INDEX(转换!B:B,MATCH(D36,转换!A:A,0)),0,1),1)</f>
        <v>0</v>
      </c>
      <c r="G36" s="9">
        <f t="shared" si="0"/>
        <v>0</v>
      </c>
      <c r="H36" s="9" t="str">
        <f t="shared" si="1"/>
        <v>-</v>
      </c>
    </row>
    <row r="37" spans="1:8" x14ac:dyDescent="0.3">
      <c r="A37" s="3" t="str">
        <f>新!E36</f>
        <v>CRC32:5D551A68</v>
      </c>
      <c r="B37" s="3" t="str">
        <f>新!A36</f>
        <v>Powersaves</v>
      </c>
      <c r="C37" s="3" t="str">
        <f>新!B36</f>
        <v>[MSS] 29 - Wario (Golf) [Unlocked Superstar].bin</v>
      </c>
      <c r="D37" s="2" t="str">
        <f>IFERROR(INDEX(旧!A:A,MATCH(测试!A37,旧!E:E,0)),0)</f>
        <v>Powersaves\Mario\Mario Sports Superstars</v>
      </c>
      <c r="E37" s="2" t="str">
        <f>IFERROR(INDEX(旧!B:B,MATCH(测试!A37,旧!E:E,0)),0)</f>
        <v>[MSS] 29 - Wario (Golf) [Unlocked Superstar].bin</v>
      </c>
      <c r="F37" s="9">
        <f>IFERROR(IF(B37=INDEX(转换!B:B,MATCH(D37,转换!A:A,0)),0,1),1)</f>
        <v>0</v>
      </c>
      <c r="G37" s="9">
        <f t="shared" si="0"/>
        <v>0</v>
      </c>
      <c r="H37" s="9" t="str">
        <f t="shared" si="1"/>
        <v>-</v>
      </c>
    </row>
    <row r="38" spans="1:8" x14ac:dyDescent="0.3">
      <c r="A38" s="3" t="str">
        <f>新!E37</f>
        <v>CRC32:5014F647</v>
      </c>
      <c r="B38" s="3" t="str">
        <f>新!A37</f>
        <v>Powersaves</v>
      </c>
      <c r="C38" s="3" t="str">
        <f>新!B37</f>
        <v>[MSS] 30 - Wario (Horse Racing) [Unlocked Superstar].bin</v>
      </c>
      <c r="D38" s="2" t="str">
        <f>IFERROR(INDEX(旧!A:A,MATCH(测试!A38,旧!E:E,0)),0)</f>
        <v>Powersaves\Mario\Mario Sports Superstars</v>
      </c>
      <c r="E38" s="2" t="str">
        <f>IFERROR(INDEX(旧!B:B,MATCH(测试!A38,旧!E:E,0)),0)</f>
        <v>[MSS] 30 - Wario (Horse Racing) [Unlocked Superstar].bin</v>
      </c>
      <c r="F38" s="9">
        <f>IFERROR(IF(B38=INDEX(转换!B:B,MATCH(D38,转换!A:A,0)),0,1),1)</f>
        <v>0</v>
      </c>
      <c r="G38" s="9">
        <f t="shared" si="0"/>
        <v>0</v>
      </c>
      <c r="H38" s="9" t="str">
        <f t="shared" si="1"/>
        <v>-</v>
      </c>
    </row>
    <row r="39" spans="1:8" x14ac:dyDescent="0.3">
      <c r="A39" s="3" t="str">
        <f>新!E38</f>
        <v>CRC32:F15DCADB</v>
      </c>
      <c r="B39" s="3" t="str">
        <f>新!A38</f>
        <v>Powersaves</v>
      </c>
      <c r="C39" s="3" t="str">
        <f>新!B38</f>
        <v>[MSS] 31 - Waluigi (Soccer) [Unlocked Superstar].bin</v>
      </c>
      <c r="D39" s="2" t="str">
        <f>IFERROR(INDEX(旧!A:A,MATCH(测试!A39,旧!E:E,0)),0)</f>
        <v>Powersaves\Mario\Mario Sports Superstars</v>
      </c>
      <c r="E39" s="2" t="str">
        <f>IFERROR(INDEX(旧!B:B,MATCH(测试!A39,旧!E:E,0)),0)</f>
        <v>[MSS] 31 - Waluigi (Soccer) [Unlocked Superstar].bin</v>
      </c>
      <c r="F39" s="9">
        <f>IFERROR(IF(B39=INDEX(转换!B:B,MATCH(D39,转换!A:A,0)),0,1),1)</f>
        <v>0</v>
      </c>
      <c r="G39" s="9">
        <f t="shared" si="0"/>
        <v>0</v>
      </c>
      <c r="H39" s="9" t="str">
        <f t="shared" si="1"/>
        <v>-</v>
      </c>
    </row>
    <row r="40" spans="1:8" x14ac:dyDescent="0.3">
      <c r="A40" s="3" t="str">
        <f>新!E39</f>
        <v>CRC32:1D87F9F0</v>
      </c>
      <c r="B40" s="3" t="str">
        <f>新!A39</f>
        <v>Powersaves</v>
      </c>
      <c r="C40" s="3" t="str">
        <f>新!B39</f>
        <v>[MSS] 32 - Waluigi (Baseball) [Unlocked Superstar].bin</v>
      </c>
      <c r="D40" s="2" t="str">
        <f>IFERROR(INDEX(旧!A:A,MATCH(测试!A40,旧!E:E,0)),0)</f>
        <v>Powersaves\Mario\Mario Sports Superstars</v>
      </c>
      <c r="E40" s="2" t="str">
        <f>IFERROR(INDEX(旧!B:B,MATCH(测试!A40,旧!E:E,0)),0)</f>
        <v>[MSS] 32 - Waluigi (Baseball) [Unlocked Superstar].bin</v>
      </c>
      <c r="F40" s="9">
        <f>IFERROR(IF(B40=INDEX(转换!B:B,MATCH(D40,转换!A:A,0)),0,1),1)</f>
        <v>0</v>
      </c>
      <c r="G40" s="9">
        <f t="shared" si="0"/>
        <v>0</v>
      </c>
      <c r="H40" s="9" t="str">
        <f t="shared" si="1"/>
        <v>-</v>
      </c>
    </row>
    <row r="41" spans="1:8" x14ac:dyDescent="0.3">
      <c r="A41" s="3" t="str">
        <f>新!E40</f>
        <v>CRC32:16739325</v>
      </c>
      <c r="B41" s="3" t="str">
        <f>新!A40</f>
        <v>Powersaves</v>
      </c>
      <c r="C41" s="3" t="str">
        <f>新!B40</f>
        <v>[MSS] 33 - Waluigi (Tennis) [Unlocked Superstar].bin</v>
      </c>
      <c r="D41" s="2" t="str">
        <f>IFERROR(INDEX(旧!A:A,MATCH(测试!A41,旧!E:E,0)),0)</f>
        <v>Powersaves\Mario\Mario Sports Superstars</v>
      </c>
      <c r="E41" s="2" t="str">
        <f>IFERROR(INDEX(旧!B:B,MATCH(测试!A41,旧!E:E,0)),0)</f>
        <v>[MSS] 33 - Waluigi (Tennis) [Unlocked Superstar].bin</v>
      </c>
      <c r="F41" s="9">
        <f>IFERROR(IF(B41=INDEX(转换!B:B,MATCH(D41,转换!A:A,0)),0,1),1)</f>
        <v>0</v>
      </c>
      <c r="G41" s="9">
        <f t="shared" si="0"/>
        <v>0</v>
      </c>
      <c r="H41" s="9" t="str">
        <f t="shared" si="1"/>
        <v>-</v>
      </c>
    </row>
    <row r="42" spans="1:8" x14ac:dyDescent="0.3">
      <c r="A42" s="3" t="str">
        <f>新!E41</f>
        <v>CRC32:4FAADE3F</v>
      </c>
      <c r="B42" s="3" t="str">
        <f>新!A41</f>
        <v>Powersaves</v>
      </c>
      <c r="C42" s="3" t="str">
        <f>新!B41</f>
        <v>[MSS] 34 - Waluigi (Golf) [Unlocked Superstar].bin</v>
      </c>
      <c r="D42" s="2" t="str">
        <f>IFERROR(INDEX(旧!A:A,MATCH(测试!A42,旧!E:E,0)),0)</f>
        <v>Powersaves\Mario\Mario Sports Superstars</v>
      </c>
      <c r="E42" s="2" t="str">
        <f>IFERROR(INDEX(旧!B:B,MATCH(测试!A42,旧!E:E,0)),0)</f>
        <v>[MSS] 34 - Waluigi (Golf) [Unlocked Superstar].bin</v>
      </c>
      <c r="F42" s="9">
        <f>IFERROR(IF(B42=INDEX(转换!B:B,MATCH(D42,转换!A:A,0)),0,1),1)</f>
        <v>0</v>
      </c>
      <c r="G42" s="9">
        <f t="shared" si="0"/>
        <v>0</v>
      </c>
      <c r="H42" s="9" t="str">
        <f t="shared" si="1"/>
        <v>-</v>
      </c>
    </row>
    <row r="43" spans="1:8" x14ac:dyDescent="0.3">
      <c r="A43" s="3" t="str">
        <f>新!E42</f>
        <v>CRC32:494960F0</v>
      </c>
      <c r="B43" s="3" t="str">
        <f>新!A42</f>
        <v>Powersaves</v>
      </c>
      <c r="C43" s="3" t="str">
        <f>新!B42</f>
        <v>[MSS] 35 - Waluigi (Horse Racing) [Unlocked Superstar].bin</v>
      </c>
      <c r="D43" s="2" t="str">
        <f>IFERROR(INDEX(旧!A:A,MATCH(测试!A43,旧!E:E,0)),0)</f>
        <v>Powersaves\Mario\Mario Sports Superstars</v>
      </c>
      <c r="E43" s="2" t="str">
        <f>IFERROR(INDEX(旧!B:B,MATCH(测试!A43,旧!E:E,0)),0)</f>
        <v>[MSS] 35 - Waluigi (Horse Racing) [Unlocked Superstar].bin</v>
      </c>
      <c r="F43" s="9">
        <f>IFERROR(IF(B43=INDEX(转换!B:B,MATCH(D43,转换!A:A,0)),0,1),1)</f>
        <v>0</v>
      </c>
      <c r="G43" s="9">
        <f t="shared" si="0"/>
        <v>0</v>
      </c>
      <c r="H43" s="9" t="str">
        <f t="shared" si="1"/>
        <v>-</v>
      </c>
    </row>
    <row r="44" spans="1:8" x14ac:dyDescent="0.3">
      <c r="A44" s="3" t="str">
        <f>新!E43</f>
        <v>CRC32:CC78A7D2</v>
      </c>
      <c r="B44" s="3" t="str">
        <f>新!A43</f>
        <v>Powersaves</v>
      </c>
      <c r="C44" s="3" t="str">
        <f>新!B43</f>
        <v>[MSS] 36 - Donkey Kong (Soccer) [Unlocked Superstar].bin</v>
      </c>
      <c r="D44" s="2" t="str">
        <f>IFERROR(INDEX(旧!A:A,MATCH(测试!A44,旧!E:E,0)),0)</f>
        <v>Powersaves\Mario\Mario Sports Superstars</v>
      </c>
      <c r="E44" s="2" t="str">
        <f>IFERROR(INDEX(旧!B:B,MATCH(测试!A44,旧!E:E,0)),0)</f>
        <v>[MSS] 36 - Donkey Kong (Soccer) [Unlocked Superstar].bin</v>
      </c>
      <c r="F44" s="9">
        <f>IFERROR(IF(B44=INDEX(转换!B:B,MATCH(D44,转换!A:A,0)),0,1),1)</f>
        <v>0</v>
      </c>
      <c r="G44" s="9">
        <f t="shared" si="0"/>
        <v>0</v>
      </c>
      <c r="H44" s="9" t="str">
        <f t="shared" si="1"/>
        <v>-</v>
      </c>
    </row>
    <row r="45" spans="1:8" x14ac:dyDescent="0.3">
      <c r="A45" s="3" t="str">
        <f>新!E44</f>
        <v>CRC32:1A36116E</v>
      </c>
      <c r="B45" s="3" t="str">
        <f>新!A44</f>
        <v>Powersaves</v>
      </c>
      <c r="C45" s="3" t="str">
        <f>新!B44</f>
        <v>[MSS] 37 - Donkey Kong (Baseball) [Unlocked Superstar].bin</v>
      </c>
      <c r="D45" s="2" t="str">
        <f>IFERROR(INDEX(旧!A:A,MATCH(测试!A45,旧!E:E,0)),0)</f>
        <v>Powersaves\Mario\Mario Sports Superstars</v>
      </c>
      <c r="E45" s="2" t="str">
        <f>IFERROR(INDEX(旧!B:B,MATCH(测试!A45,旧!E:E,0)),0)</f>
        <v>[MSS] 37 - Donkey Kong (Baseball) [Unlocked Superstar].bin</v>
      </c>
      <c r="F45" s="9">
        <f>IFERROR(IF(B45=INDEX(转换!B:B,MATCH(D45,转换!A:A,0)),0,1),1)</f>
        <v>0</v>
      </c>
      <c r="G45" s="9">
        <f t="shared" si="0"/>
        <v>0</v>
      </c>
      <c r="H45" s="9" t="str">
        <f t="shared" si="1"/>
        <v>-</v>
      </c>
    </row>
    <row r="46" spans="1:8" x14ac:dyDescent="0.3">
      <c r="A46" s="3" t="str">
        <f>新!E45</f>
        <v>CRC32:4C22CFCA</v>
      </c>
      <c r="B46" s="3" t="str">
        <f>新!A45</f>
        <v>Powersaves</v>
      </c>
      <c r="C46" s="3" t="str">
        <f>新!B45</f>
        <v>[MSS] 38 - Donkey Kong (Tennis) [Unlocked Superstar].bin</v>
      </c>
      <c r="D46" s="2" t="str">
        <f>IFERROR(INDEX(旧!A:A,MATCH(测试!A46,旧!E:E,0)),0)</f>
        <v>Powersaves\Mario\Mario Sports Superstars</v>
      </c>
      <c r="E46" s="2" t="str">
        <f>IFERROR(INDEX(旧!B:B,MATCH(测试!A46,旧!E:E,0)),0)</f>
        <v>[MSS] 38 - Donkey Kong (Tennis) [Unlocked Superstar].bin</v>
      </c>
      <c r="F46" s="9">
        <f>IFERROR(IF(B46=INDEX(转换!B:B,MATCH(D46,转换!A:A,0)),0,1),1)</f>
        <v>0</v>
      </c>
      <c r="G46" s="9">
        <f t="shared" si="0"/>
        <v>0</v>
      </c>
      <c r="H46" s="9" t="str">
        <f t="shared" si="1"/>
        <v>-</v>
      </c>
    </row>
    <row r="47" spans="1:8" x14ac:dyDescent="0.3">
      <c r="A47" s="3" t="str">
        <f>新!E46</f>
        <v>CRC32:BCB29474</v>
      </c>
      <c r="B47" s="3" t="str">
        <f>新!A46</f>
        <v>Powersaves</v>
      </c>
      <c r="C47" s="3" t="str">
        <f>新!B46</f>
        <v>[MSS] 39 - Donkey Kong (Golf) [Unlocked Superstar].bin</v>
      </c>
      <c r="D47" s="2" t="str">
        <f>IFERROR(INDEX(旧!A:A,MATCH(测试!A47,旧!E:E,0)),0)</f>
        <v>Powersaves\Mario\Mario Sports Superstars</v>
      </c>
      <c r="E47" s="2" t="str">
        <f>IFERROR(INDEX(旧!B:B,MATCH(测试!A47,旧!E:E,0)),0)</f>
        <v>[MSS] 39 - Donkey Kong (Golf) [Unlocked Superstar].bin</v>
      </c>
      <c r="F47" s="9">
        <f>IFERROR(IF(B47=INDEX(转换!B:B,MATCH(D47,转换!A:A,0)),0,1),1)</f>
        <v>0</v>
      </c>
      <c r="G47" s="9">
        <f t="shared" si="0"/>
        <v>0</v>
      </c>
      <c r="H47" s="9" t="str">
        <f t="shared" si="1"/>
        <v>-</v>
      </c>
    </row>
    <row r="48" spans="1:8" x14ac:dyDescent="0.3">
      <c r="A48" s="3" t="str">
        <f>新!E47</f>
        <v>CRC32:00F440FC</v>
      </c>
      <c r="B48" s="3" t="str">
        <f>新!A47</f>
        <v>Powersaves</v>
      </c>
      <c r="C48" s="3" t="str">
        <f>新!B47</f>
        <v>[MSS] 40 - Donkey Kong (Horse Racing) [Unlocked Superstar].bin</v>
      </c>
      <c r="D48" s="2" t="str">
        <f>IFERROR(INDEX(旧!A:A,MATCH(测试!A48,旧!E:E,0)),0)</f>
        <v>Powersaves\Mario\Mario Sports Superstars</v>
      </c>
      <c r="E48" s="2" t="str">
        <f>IFERROR(INDEX(旧!B:B,MATCH(测试!A48,旧!E:E,0)),0)</f>
        <v>[MSS] 40 - Donkey Kong (Horse Racing) [Unlocked Superstar].bin</v>
      </c>
      <c r="F48" s="9">
        <f>IFERROR(IF(B48=INDEX(转换!B:B,MATCH(D48,转换!A:A,0)),0,1),1)</f>
        <v>0</v>
      </c>
      <c r="G48" s="9">
        <f t="shared" si="0"/>
        <v>0</v>
      </c>
      <c r="H48" s="9" t="str">
        <f t="shared" si="1"/>
        <v>-</v>
      </c>
    </row>
    <row r="49" spans="1:8" x14ac:dyDescent="0.3">
      <c r="A49" s="3" t="str">
        <f>新!E48</f>
        <v>CRC32:BC89E2E5</v>
      </c>
      <c r="B49" s="3" t="str">
        <f>新!A48</f>
        <v>Powersaves</v>
      </c>
      <c r="C49" s="3" t="str">
        <f>新!B48</f>
        <v>[MSS] 41 - Diddy Kong (Soccer) [Unlocked Superstar].bin</v>
      </c>
      <c r="D49" s="2" t="str">
        <f>IFERROR(INDEX(旧!A:A,MATCH(测试!A49,旧!E:E,0)),0)</f>
        <v>Powersaves\Mario\Mario Sports Superstars</v>
      </c>
      <c r="E49" s="2" t="str">
        <f>IFERROR(INDEX(旧!B:B,MATCH(测试!A49,旧!E:E,0)),0)</f>
        <v>[MSS] 41 - Diddy Kong (Soccer) [Unlocked Superstar].bin</v>
      </c>
      <c r="F49" s="9">
        <f>IFERROR(IF(B49=INDEX(转换!B:B,MATCH(D49,转换!A:A,0)),0,1),1)</f>
        <v>0</v>
      </c>
      <c r="G49" s="9">
        <f t="shared" si="0"/>
        <v>0</v>
      </c>
      <c r="H49" s="9" t="str">
        <f t="shared" si="1"/>
        <v>-</v>
      </c>
    </row>
    <row r="50" spans="1:8" x14ac:dyDescent="0.3">
      <c r="A50" s="3" t="str">
        <f>新!E49</f>
        <v>CRC32:06C2A165</v>
      </c>
      <c r="B50" s="3" t="str">
        <f>新!A49</f>
        <v>Powersaves</v>
      </c>
      <c r="C50" s="3" t="str">
        <f>新!B49</f>
        <v>[MSS] 42 - Diddy Kong (Baseball) [Unlocked Superstar].bin</v>
      </c>
      <c r="D50" s="2" t="str">
        <f>IFERROR(INDEX(旧!A:A,MATCH(测试!A50,旧!E:E,0)),0)</f>
        <v>Powersaves\Mario\Mario Sports Superstars</v>
      </c>
      <c r="E50" s="2" t="str">
        <f>IFERROR(INDEX(旧!B:B,MATCH(测试!A50,旧!E:E,0)),0)</f>
        <v>[MSS] 42 - Diddy Kong (Baseball) [Unlocked Superstar].bin</v>
      </c>
      <c r="F50" s="9">
        <f>IFERROR(IF(B50=INDEX(转换!B:B,MATCH(D50,转换!A:A,0)),0,1),1)</f>
        <v>0</v>
      </c>
      <c r="G50" s="9">
        <f t="shared" si="0"/>
        <v>0</v>
      </c>
      <c r="H50" s="9" t="str">
        <f t="shared" si="1"/>
        <v>-</v>
      </c>
    </row>
    <row r="51" spans="1:8" x14ac:dyDescent="0.3">
      <c r="A51" s="3" t="str">
        <f>新!E50</f>
        <v>CRC32:138CBF3F</v>
      </c>
      <c r="B51" s="3" t="str">
        <f>新!A50</f>
        <v>Powersaves</v>
      </c>
      <c r="C51" s="3" t="str">
        <f>新!B50</f>
        <v>[MSS] 43 - Diddy Kong (Tennis) [Unlocked Superstar].bin</v>
      </c>
      <c r="D51" s="2" t="str">
        <f>IFERROR(INDEX(旧!A:A,MATCH(测试!A51,旧!E:E,0)),0)</f>
        <v>Powersaves\Mario\Mario Sports Superstars</v>
      </c>
      <c r="E51" s="2" t="str">
        <f>IFERROR(INDEX(旧!B:B,MATCH(测试!A51,旧!E:E,0)),0)</f>
        <v>[MSS] 43 - Diddy Kong (Tennis) [Unlocked Superstar].bin</v>
      </c>
      <c r="F51" s="9">
        <f>IFERROR(IF(B51=INDEX(转换!B:B,MATCH(D51,转换!A:A,0)),0,1),1)</f>
        <v>0</v>
      </c>
      <c r="G51" s="9">
        <f t="shared" si="0"/>
        <v>0</v>
      </c>
      <c r="H51" s="9" t="str">
        <f t="shared" si="1"/>
        <v>-</v>
      </c>
    </row>
    <row r="52" spans="1:8" x14ac:dyDescent="0.3">
      <c r="A52" s="3" t="str">
        <f>新!E51</f>
        <v>CRC32:9FA69317</v>
      </c>
      <c r="B52" s="3" t="str">
        <f>新!A51</f>
        <v>Powersaves</v>
      </c>
      <c r="C52" s="3" t="str">
        <f>新!B51</f>
        <v>[MSS] 44 - Diddy Kong (Golf) [Unlocked Superstar].bin</v>
      </c>
      <c r="D52" s="2" t="str">
        <f>IFERROR(INDEX(旧!A:A,MATCH(测试!A52,旧!E:E,0)),0)</f>
        <v>Powersaves\Mario\Mario Sports Superstars</v>
      </c>
      <c r="E52" s="2" t="str">
        <f>IFERROR(INDEX(旧!B:B,MATCH(测试!A52,旧!E:E,0)),0)</f>
        <v>[MSS] 44 - Diddy Kong (Golf) [Unlocked Superstar].bin</v>
      </c>
      <c r="F52" s="9">
        <f>IFERROR(IF(B52=INDEX(转换!B:B,MATCH(D52,转换!A:A,0)),0,1),1)</f>
        <v>0</v>
      </c>
      <c r="G52" s="9">
        <f t="shared" si="0"/>
        <v>0</v>
      </c>
      <c r="H52" s="9" t="str">
        <f t="shared" si="1"/>
        <v>-</v>
      </c>
    </row>
    <row r="53" spans="1:8" x14ac:dyDescent="0.3">
      <c r="A53" s="3" t="str">
        <f>新!E52</f>
        <v>CRC32:7CFEF186</v>
      </c>
      <c r="B53" s="3" t="str">
        <f>新!A52</f>
        <v>Powersaves</v>
      </c>
      <c r="C53" s="3" t="str">
        <f>新!B52</f>
        <v>[MSS] 45 - Diddy Kong (Horse Racing) [Unlocked Superstar].bin</v>
      </c>
      <c r="D53" s="2" t="str">
        <f>IFERROR(INDEX(旧!A:A,MATCH(测试!A53,旧!E:E,0)),0)</f>
        <v>Powersaves\Mario\Mario Sports Superstars</v>
      </c>
      <c r="E53" s="2" t="str">
        <f>IFERROR(INDEX(旧!B:B,MATCH(测试!A53,旧!E:E,0)),0)</f>
        <v>[MSS] 45 - Diddy Kong (Horse Racing) [Unlocked Superstar].bin</v>
      </c>
      <c r="F53" s="9">
        <f>IFERROR(IF(B53=INDEX(转换!B:B,MATCH(D53,转换!A:A,0)),0,1),1)</f>
        <v>0</v>
      </c>
      <c r="G53" s="9">
        <f t="shared" si="0"/>
        <v>0</v>
      </c>
      <c r="H53" s="9" t="str">
        <f t="shared" si="1"/>
        <v>-</v>
      </c>
    </row>
    <row r="54" spans="1:8" x14ac:dyDescent="0.3">
      <c r="A54" s="3" t="str">
        <f>新!E53</f>
        <v>CRC32:3891FC59</v>
      </c>
      <c r="B54" s="3" t="str">
        <f>新!A53</f>
        <v>Powersaves</v>
      </c>
      <c r="C54" s="3" t="str">
        <f>新!B53</f>
        <v>[MSS] 46 - Bowser (Soccer) [Unlocked Superstar].bin</v>
      </c>
      <c r="D54" s="2" t="str">
        <f>IFERROR(INDEX(旧!A:A,MATCH(测试!A54,旧!E:E,0)),0)</f>
        <v>Powersaves\Mario\Mario Sports Superstars</v>
      </c>
      <c r="E54" s="2" t="str">
        <f>IFERROR(INDEX(旧!B:B,MATCH(测试!A54,旧!E:E,0)),0)</f>
        <v>[MSS] 46 - Bowser (Soccer) [Unlocked Superstar].bin</v>
      </c>
      <c r="F54" s="9">
        <f>IFERROR(IF(B54=INDEX(转换!B:B,MATCH(D54,转换!A:A,0)),0,1),1)</f>
        <v>0</v>
      </c>
      <c r="G54" s="9">
        <f t="shared" si="0"/>
        <v>0</v>
      </c>
      <c r="H54" s="9" t="str">
        <f t="shared" si="1"/>
        <v>-</v>
      </c>
    </row>
    <row r="55" spans="1:8" x14ac:dyDescent="0.3">
      <c r="A55" s="3" t="str">
        <f>新!E54</f>
        <v>CRC32:30D84139</v>
      </c>
      <c r="B55" s="3" t="str">
        <f>新!A54</f>
        <v>Powersaves</v>
      </c>
      <c r="C55" s="3" t="str">
        <f>新!B54</f>
        <v>[MSS] 47 - Bowser (Baseball) [Unlocked Superstar].bin</v>
      </c>
      <c r="D55" s="2" t="str">
        <f>IFERROR(INDEX(旧!A:A,MATCH(测试!A55,旧!E:E,0)),0)</f>
        <v>Powersaves\Mario\Mario Sports Superstars</v>
      </c>
      <c r="E55" s="2" t="str">
        <f>IFERROR(INDEX(旧!B:B,MATCH(测试!A55,旧!E:E,0)),0)</f>
        <v>[MSS] 47 - Bowser (Baseball) [Unlocked Superstar].bin</v>
      </c>
      <c r="F55" s="9">
        <f>IFERROR(IF(B55=INDEX(转换!B:B,MATCH(D55,转换!A:A,0)),0,1),1)</f>
        <v>0</v>
      </c>
      <c r="G55" s="9">
        <f t="shared" si="0"/>
        <v>0</v>
      </c>
      <c r="H55" s="9" t="str">
        <f t="shared" si="1"/>
        <v>-</v>
      </c>
    </row>
    <row r="56" spans="1:8" x14ac:dyDescent="0.3">
      <c r="A56" s="3" t="str">
        <f>新!E55</f>
        <v>CRC32:98510EF4</v>
      </c>
      <c r="B56" s="3" t="str">
        <f>新!A55</f>
        <v>Powersaves</v>
      </c>
      <c r="C56" s="3" t="str">
        <f>新!B55</f>
        <v>[MSS] 48 - Bowser (Tennis) [Unlocked Superstar].bin</v>
      </c>
      <c r="D56" s="2" t="str">
        <f>IFERROR(INDEX(旧!A:A,MATCH(测试!A56,旧!E:E,0)),0)</f>
        <v>Powersaves\Mario\Mario Sports Superstars</v>
      </c>
      <c r="E56" s="2" t="str">
        <f>IFERROR(INDEX(旧!B:B,MATCH(测试!A56,旧!E:E,0)),0)</f>
        <v>[MSS] 48 - Bowser (Tennis) [Unlocked Superstar].bin</v>
      </c>
      <c r="F56" s="9">
        <f>IFERROR(IF(B56=INDEX(转换!B:B,MATCH(D56,转换!A:A,0)),0,1),1)</f>
        <v>0</v>
      </c>
      <c r="G56" s="9">
        <f t="shared" si="0"/>
        <v>0</v>
      </c>
      <c r="H56" s="9" t="str">
        <f t="shared" si="1"/>
        <v>-</v>
      </c>
    </row>
    <row r="57" spans="1:8" x14ac:dyDescent="0.3">
      <c r="A57" s="3" t="str">
        <f>新!E56</f>
        <v>CRC32:71197807</v>
      </c>
      <c r="B57" s="3" t="str">
        <f>新!A56</f>
        <v>Powersaves</v>
      </c>
      <c r="C57" s="3" t="str">
        <f>新!B56</f>
        <v>[MSS] 49 - Bowser (Golf) [Unlocked Superstar].bin</v>
      </c>
      <c r="D57" s="2" t="str">
        <f>IFERROR(INDEX(旧!A:A,MATCH(测试!A57,旧!E:E,0)),0)</f>
        <v>Powersaves\Mario\Mario Sports Superstars</v>
      </c>
      <c r="E57" s="2" t="str">
        <f>IFERROR(INDEX(旧!B:B,MATCH(测试!A57,旧!E:E,0)),0)</f>
        <v>[MSS] 49 - Bowser (Golf) [Unlocked Superstar].bin</v>
      </c>
      <c r="F57" s="9">
        <f>IFERROR(IF(B57=INDEX(转换!B:B,MATCH(D57,转换!A:A,0)),0,1),1)</f>
        <v>0</v>
      </c>
      <c r="G57" s="9">
        <f t="shared" si="0"/>
        <v>0</v>
      </c>
      <c r="H57" s="9" t="str">
        <f t="shared" si="1"/>
        <v>-</v>
      </c>
    </row>
    <row r="58" spans="1:8" x14ac:dyDescent="0.3">
      <c r="A58" s="3" t="str">
        <f>新!E57</f>
        <v>CRC32:982CF947</v>
      </c>
      <c r="B58" s="3" t="str">
        <f>新!A57</f>
        <v>Powersaves</v>
      </c>
      <c r="C58" s="3" t="str">
        <f>新!B57</f>
        <v>[MSS] 50 - Bowser (Horse Racing) [Unlocked Superstar].bin</v>
      </c>
      <c r="D58" s="2" t="str">
        <f>IFERROR(INDEX(旧!A:A,MATCH(测试!A58,旧!E:E,0)),0)</f>
        <v>Powersaves\Mario\Mario Sports Superstars</v>
      </c>
      <c r="E58" s="2" t="str">
        <f>IFERROR(INDEX(旧!B:B,MATCH(测试!A58,旧!E:E,0)),0)</f>
        <v>[MSS] 50 - Bowser (Horse Racing) [Unlocked Superstar].bin</v>
      </c>
      <c r="F58" s="9">
        <f>IFERROR(IF(B58=INDEX(转换!B:B,MATCH(D58,转换!A:A,0)),0,1),1)</f>
        <v>0</v>
      </c>
      <c r="G58" s="9">
        <f t="shared" si="0"/>
        <v>0</v>
      </c>
      <c r="H58" s="9" t="str">
        <f t="shared" si="1"/>
        <v>-</v>
      </c>
    </row>
    <row r="59" spans="1:8" x14ac:dyDescent="0.3">
      <c r="A59" s="3" t="str">
        <f>新!E58</f>
        <v>CRC32:30D03F6E</v>
      </c>
      <c r="B59" s="3" t="str">
        <f>新!A58</f>
        <v>Powersaves</v>
      </c>
      <c r="C59" s="3" t="str">
        <f>新!B58</f>
        <v>[MSS] 51 - Bowser Jr. (Soccer) [Unlocked Superstar].bin</v>
      </c>
      <c r="D59" s="2" t="str">
        <f>IFERROR(INDEX(旧!A:A,MATCH(测试!A59,旧!E:E,0)),0)</f>
        <v>Powersaves\Mario\Mario Sports Superstars</v>
      </c>
      <c r="E59" s="2" t="str">
        <f>IFERROR(INDEX(旧!B:B,MATCH(测试!A59,旧!E:E,0)),0)</f>
        <v>[MSS] 51 - Bowser Jr. (Soccer) [Unlocked Superstar].bin</v>
      </c>
      <c r="F59" s="9">
        <f>IFERROR(IF(B59=INDEX(转换!B:B,MATCH(D59,转换!A:A,0)),0,1),1)</f>
        <v>0</v>
      </c>
      <c r="G59" s="9">
        <f t="shared" si="0"/>
        <v>0</v>
      </c>
      <c r="H59" s="9" t="str">
        <f t="shared" si="1"/>
        <v>-</v>
      </c>
    </row>
    <row r="60" spans="1:8" x14ac:dyDescent="0.3">
      <c r="A60" s="3" t="str">
        <f>新!E59</f>
        <v>CRC32:34A4148A</v>
      </c>
      <c r="B60" s="3" t="str">
        <f>新!A59</f>
        <v>Powersaves</v>
      </c>
      <c r="C60" s="3" t="str">
        <f>新!B59</f>
        <v>[MSS] 52 - Bowser Jr. (Baseball) [Unlocked Superstar].bin</v>
      </c>
      <c r="D60" s="2" t="str">
        <f>IFERROR(INDEX(旧!A:A,MATCH(测试!A60,旧!E:E,0)),0)</f>
        <v>Powersaves\Mario\Mario Sports Superstars</v>
      </c>
      <c r="E60" s="2" t="str">
        <f>IFERROR(INDEX(旧!B:B,MATCH(测试!A60,旧!E:E,0)),0)</f>
        <v>[MSS] 52 - Bowser Jr. (Baseball) [Unlocked Superstar].bin</v>
      </c>
      <c r="F60" s="9">
        <f>IFERROR(IF(B60=INDEX(转换!B:B,MATCH(D60,转换!A:A,0)),0,1),1)</f>
        <v>0</v>
      </c>
      <c r="G60" s="9">
        <f t="shared" si="0"/>
        <v>0</v>
      </c>
      <c r="H60" s="9" t="str">
        <f t="shared" si="1"/>
        <v>-</v>
      </c>
    </row>
    <row r="61" spans="1:8" x14ac:dyDescent="0.3">
      <c r="A61" s="3" t="str">
        <f>新!E60</f>
        <v>CRC32:6C5D276F</v>
      </c>
      <c r="B61" s="3" t="str">
        <f>新!A60</f>
        <v>Powersaves</v>
      </c>
      <c r="C61" s="3" t="str">
        <f>新!B60</f>
        <v>[MSS] 53 - Bowser Jr.  (Tennis) [Unlocked Superstar].bin</v>
      </c>
      <c r="D61" s="2" t="str">
        <f>IFERROR(INDEX(旧!A:A,MATCH(测试!A61,旧!E:E,0)),0)</f>
        <v>Powersaves\Mario\Mario Sports Superstars</v>
      </c>
      <c r="E61" s="2" t="str">
        <f>IFERROR(INDEX(旧!B:B,MATCH(测试!A61,旧!E:E,0)),0)</f>
        <v>[MSS] 53 - Bowser Jr.  (Tennis) [Unlocked Superstar].bin</v>
      </c>
      <c r="F61" s="9">
        <f>IFERROR(IF(B61=INDEX(转换!B:B,MATCH(D61,转换!A:A,0)),0,1),1)</f>
        <v>0</v>
      </c>
      <c r="G61" s="9">
        <f t="shared" si="0"/>
        <v>0</v>
      </c>
      <c r="H61" s="9" t="str">
        <f t="shared" si="1"/>
        <v>-</v>
      </c>
    </row>
    <row r="62" spans="1:8" x14ac:dyDescent="0.3">
      <c r="A62" s="3" t="str">
        <f>新!E61</f>
        <v>CRC32:F50DF9AB</v>
      </c>
      <c r="B62" s="3" t="str">
        <f>新!A61</f>
        <v>Powersaves</v>
      </c>
      <c r="C62" s="3" t="str">
        <f>新!B61</f>
        <v>[MSS] 54 - Bowser Jr. (Golf) [Unlocked Superstar].bin</v>
      </c>
      <c r="D62" s="2" t="str">
        <f>IFERROR(INDEX(旧!A:A,MATCH(测试!A62,旧!E:E,0)),0)</f>
        <v>Powersaves\Mario\Mario Sports Superstars</v>
      </c>
      <c r="E62" s="2" t="str">
        <f>IFERROR(INDEX(旧!B:B,MATCH(测试!A62,旧!E:E,0)),0)</f>
        <v>[MSS] 54 - Bowser Jr. (Golf) [Unlocked Superstar].bin</v>
      </c>
      <c r="F62" s="9">
        <f>IFERROR(IF(B62=INDEX(转换!B:B,MATCH(D62,转换!A:A,0)),0,1),1)</f>
        <v>0</v>
      </c>
      <c r="G62" s="9">
        <f t="shared" si="0"/>
        <v>0</v>
      </c>
      <c r="H62" s="9" t="str">
        <f t="shared" si="1"/>
        <v>-</v>
      </c>
    </row>
    <row r="63" spans="1:8" x14ac:dyDescent="0.3">
      <c r="A63" s="3" t="str">
        <f>新!E62</f>
        <v>CRC32:459A7F26</v>
      </c>
      <c r="B63" s="3" t="str">
        <f>新!A62</f>
        <v>Powersaves</v>
      </c>
      <c r="C63" s="3" t="str">
        <f>新!B62</f>
        <v>[MSS] 55 - Bowser Jr. (Horse Racing) [Unlocked Superstar].bin</v>
      </c>
      <c r="D63" s="2" t="str">
        <f>IFERROR(INDEX(旧!A:A,MATCH(测试!A63,旧!E:E,0)),0)</f>
        <v>Powersaves\Mario\Mario Sports Superstars</v>
      </c>
      <c r="E63" s="2" t="str">
        <f>IFERROR(INDEX(旧!B:B,MATCH(测试!A63,旧!E:E,0)),0)</f>
        <v>[MSS] 55 - Bowser Jr. (Horse Racing) [Unlocked Superstar].bin</v>
      </c>
      <c r="F63" s="9">
        <f>IFERROR(IF(B63=INDEX(转换!B:B,MATCH(D63,转换!A:A,0)),0,1),1)</f>
        <v>0</v>
      </c>
      <c r="G63" s="9">
        <f t="shared" si="0"/>
        <v>0</v>
      </c>
      <c r="H63" s="9" t="str">
        <f t="shared" si="1"/>
        <v>-</v>
      </c>
    </row>
    <row r="64" spans="1:8" x14ac:dyDescent="0.3">
      <c r="A64" s="3" t="str">
        <f>新!E63</f>
        <v>CRC32:51631CE3</v>
      </c>
      <c r="B64" s="3" t="str">
        <f>新!A63</f>
        <v>Powersaves</v>
      </c>
      <c r="C64" s="3" t="str">
        <f>新!B63</f>
        <v>[MSS] 56 - Boo (Soccer) [Unlocked Superstar].bin</v>
      </c>
      <c r="D64" s="2" t="str">
        <f>IFERROR(INDEX(旧!A:A,MATCH(测试!A64,旧!E:E,0)),0)</f>
        <v>Powersaves\Mario\Mario Sports Superstars</v>
      </c>
      <c r="E64" s="2" t="str">
        <f>IFERROR(INDEX(旧!B:B,MATCH(测试!A64,旧!E:E,0)),0)</f>
        <v>[MSS] 56 - Boo (Soccer) [Unlocked Superstar].bin</v>
      </c>
      <c r="F64" s="9">
        <f>IFERROR(IF(B64=INDEX(转换!B:B,MATCH(D64,转换!A:A,0)),0,1),1)</f>
        <v>0</v>
      </c>
      <c r="G64" s="9">
        <f t="shared" si="0"/>
        <v>0</v>
      </c>
      <c r="H64" s="9" t="str">
        <f t="shared" si="1"/>
        <v>-</v>
      </c>
    </row>
    <row r="65" spans="1:8" x14ac:dyDescent="0.3">
      <c r="A65" s="3" t="str">
        <f>新!E64</f>
        <v>CRC32:A7509C89</v>
      </c>
      <c r="B65" s="3" t="str">
        <f>新!A64</f>
        <v>Powersaves</v>
      </c>
      <c r="C65" s="3" t="str">
        <f>新!B64</f>
        <v>[MSS] 57 - Boo (Baseball) [Unlocked Superstar].bin</v>
      </c>
      <c r="D65" s="2" t="str">
        <f>IFERROR(INDEX(旧!A:A,MATCH(测试!A65,旧!E:E,0)),0)</f>
        <v>Powersaves\Mario\Mario Sports Superstars</v>
      </c>
      <c r="E65" s="2" t="str">
        <f>IFERROR(INDEX(旧!B:B,MATCH(测试!A65,旧!E:E,0)),0)</f>
        <v>[MSS] 57 - Boo (Baseball) [Unlocked Superstar].bin</v>
      </c>
      <c r="F65" s="9">
        <f>IFERROR(IF(B65=INDEX(转换!B:B,MATCH(D65,转换!A:A,0)),0,1),1)</f>
        <v>0</v>
      </c>
      <c r="G65" s="9">
        <f t="shared" si="0"/>
        <v>0</v>
      </c>
      <c r="H65" s="9" t="str">
        <f t="shared" si="1"/>
        <v>-</v>
      </c>
    </row>
    <row r="66" spans="1:8" x14ac:dyDescent="0.3">
      <c r="A66" s="3" t="str">
        <f>新!E65</f>
        <v>CRC32:2910F439</v>
      </c>
      <c r="B66" s="3" t="str">
        <f>新!A65</f>
        <v>Powersaves</v>
      </c>
      <c r="C66" s="3" t="str">
        <f>新!B65</f>
        <v>[MSS] 58 - Boo (Tennis) [Unlocked Superstar].bin</v>
      </c>
      <c r="D66" s="2" t="str">
        <f>IFERROR(INDEX(旧!A:A,MATCH(测试!A66,旧!E:E,0)),0)</f>
        <v>Powersaves\Mario\Mario Sports Superstars</v>
      </c>
      <c r="E66" s="2" t="str">
        <f>IFERROR(INDEX(旧!B:B,MATCH(测试!A66,旧!E:E,0)),0)</f>
        <v>[MSS] 58 - Boo (Tennis) [Unlocked Superstar].bin</v>
      </c>
      <c r="F66" s="9">
        <f>IFERROR(IF(B66=INDEX(转换!B:B,MATCH(D66,转换!A:A,0)),0,1),1)</f>
        <v>0</v>
      </c>
      <c r="G66" s="9">
        <f t="shared" si="0"/>
        <v>0</v>
      </c>
      <c r="H66" s="9" t="str">
        <f t="shared" si="1"/>
        <v>-</v>
      </c>
    </row>
    <row r="67" spans="1:8" x14ac:dyDescent="0.3">
      <c r="A67" s="3" t="str">
        <f>新!E66</f>
        <v>CRC32:320E7E66</v>
      </c>
      <c r="B67" s="3" t="str">
        <f>新!A66</f>
        <v>Powersaves</v>
      </c>
      <c r="C67" s="3" t="str">
        <f>新!B66</f>
        <v>[MSS] 59 - Boo (Golf) [Unlocked Superstar].bin</v>
      </c>
      <c r="D67" s="2" t="str">
        <f>IFERROR(INDEX(旧!A:A,MATCH(测试!A67,旧!E:E,0)),0)</f>
        <v>Powersaves\Mario\Mario Sports Superstars</v>
      </c>
      <c r="E67" s="2" t="str">
        <f>IFERROR(INDEX(旧!B:B,MATCH(测试!A67,旧!E:E,0)),0)</f>
        <v>[MSS] 59 - Boo (Golf) [Unlocked Superstar].bin</v>
      </c>
      <c r="F67" s="9">
        <f>IFERROR(IF(B67=INDEX(转换!B:B,MATCH(D67,转换!A:A,0)),0,1),1)</f>
        <v>0</v>
      </c>
      <c r="G67" s="9">
        <f t="shared" si="0"/>
        <v>0</v>
      </c>
      <c r="H67" s="9" t="str">
        <f t="shared" si="1"/>
        <v>-</v>
      </c>
    </row>
    <row r="68" spans="1:8" x14ac:dyDescent="0.3">
      <c r="A68" s="3" t="str">
        <f>新!E67</f>
        <v>CRC32:A50EF852</v>
      </c>
      <c r="B68" s="3" t="str">
        <f>新!A67</f>
        <v>Powersaves</v>
      </c>
      <c r="C68" s="3" t="str">
        <f>新!B67</f>
        <v>[MSS] 60 - Boo (Horse Racing) [Unlocked Superstar].bin</v>
      </c>
      <c r="D68" s="2" t="str">
        <f>IFERROR(INDEX(旧!A:A,MATCH(测试!A68,旧!E:E,0)),0)</f>
        <v>Powersaves\Mario\Mario Sports Superstars</v>
      </c>
      <c r="E68" s="2" t="str">
        <f>IFERROR(INDEX(旧!B:B,MATCH(测试!A68,旧!E:E,0)),0)</f>
        <v>[MSS] 60 - Boo (Horse Racing) [Unlocked Superstar].bin</v>
      </c>
      <c r="F68" s="9">
        <f>IFERROR(IF(B68=INDEX(转换!B:B,MATCH(D68,转换!A:A,0)),0,1),1)</f>
        <v>0</v>
      </c>
      <c r="G68" s="9">
        <f t="shared" ref="G68:G107" si="2">IF(E68=C68,0,1)</f>
        <v>0</v>
      </c>
      <c r="H68" s="9" t="str">
        <f t="shared" ref="H68:H131" si="3">_xlfn.IFS(F68+G68=0,"-",F68+G68=1,"文件名错误",F68+G68=2,"无此文件")</f>
        <v>-</v>
      </c>
    </row>
    <row r="69" spans="1:8" x14ac:dyDescent="0.3">
      <c r="A69" s="3" t="str">
        <f>新!E68</f>
        <v>CRC32:110A55FA</v>
      </c>
      <c r="B69" s="3" t="str">
        <f>新!A68</f>
        <v>Powersaves</v>
      </c>
      <c r="C69" s="3" t="str">
        <f>新!B68</f>
        <v>[MSS] 61 - Baby Mario (Soccer) [Unlocked Superstar].bin</v>
      </c>
      <c r="D69" s="2" t="str">
        <f>IFERROR(INDEX(旧!A:A,MATCH(测试!A69,旧!E:E,0)),0)</f>
        <v>Powersaves\Mario\Mario Sports Superstars</v>
      </c>
      <c r="E69" s="2" t="str">
        <f>IFERROR(INDEX(旧!B:B,MATCH(测试!A69,旧!E:E,0)),0)</f>
        <v>[MSS] 61 - Baby Mario (Soccer) [Unlocked Superstar].bin</v>
      </c>
      <c r="F69" s="9">
        <f>IFERROR(IF(B69=INDEX(转换!B:B,MATCH(D69,转换!A:A,0)),0,1),1)</f>
        <v>0</v>
      </c>
      <c r="G69" s="9">
        <f t="shared" si="2"/>
        <v>0</v>
      </c>
      <c r="H69" s="9" t="str">
        <f t="shared" si="3"/>
        <v>-</v>
      </c>
    </row>
    <row r="70" spans="1:8" x14ac:dyDescent="0.3">
      <c r="A70" s="3" t="str">
        <f>新!E69</f>
        <v>CRC32:DDF2AD55</v>
      </c>
      <c r="B70" s="3" t="str">
        <f>新!A69</f>
        <v>Powersaves</v>
      </c>
      <c r="C70" s="3" t="str">
        <f>新!B69</f>
        <v>[MSS] 62 - Baby Mario (Baseball) [Unlocked Superstar].bin</v>
      </c>
      <c r="D70" s="2" t="str">
        <f>IFERROR(INDEX(旧!A:A,MATCH(测试!A70,旧!E:E,0)),0)</f>
        <v>Powersaves\Mario\Mario Sports Superstars</v>
      </c>
      <c r="E70" s="2" t="str">
        <f>IFERROR(INDEX(旧!B:B,MATCH(测试!A70,旧!E:E,0)),0)</f>
        <v>[MSS] 62 - Baby Mario (Baseball) [Unlocked Superstar].bin</v>
      </c>
      <c r="F70" s="9">
        <f>IFERROR(IF(B70=INDEX(转换!B:B,MATCH(D70,转换!A:A,0)),0,1),1)</f>
        <v>0</v>
      </c>
      <c r="G70" s="9">
        <f t="shared" si="2"/>
        <v>0</v>
      </c>
      <c r="H70" s="9" t="str">
        <f t="shared" si="3"/>
        <v>-</v>
      </c>
    </row>
    <row r="71" spans="1:8" x14ac:dyDescent="0.3">
      <c r="A71" s="3" t="str">
        <f>新!E70</f>
        <v>CRC32:88AC6427</v>
      </c>
      <c r="B71" s="3" t="str">
        <f>新!A70</f>
        <v>Powersaves</v>
      </c>
      <c r="C71" s="3" t="str">
        <f>新!B70</f>
        <v>[MSS] 63 - Baby Mario (Tennis) [Unlocked Superstar].bin</v>
      </c>
      <c r="D71" s="2" t="str">
        <f>IFERROR(INDEX(旧!A:A,MATCH(测试!A71,旧!E:E,0)),0)</f>
        <v>Powersaves\Mario\Mario Sports Superstars</v>
      </c>
      <c r="E71" s="2" t="str">
        <f>IFERROR(INDEX(旧!B:B,MATCH(测试!A71,旧!E:E,0)),0)</f>
        <v>[MSS] 63 - Baby Mario (Tennis) [Unlocked Superstar].bin</v>
      </c>
      <c r="F71" s="9">
        <f>IFERROR(IF(B71=INDEX(转换!B:B,MATCH(D71,转换!A:A,0)),0,1),1)</f>
        <v>0</v>
      </c>
      <c r="G71" s="9">
        <f t="shared" si="2"/>
        <v>0</v>
      </c>
      <c r="H71" s="9" t="str">
        <f t="shared" si="3"/>
        <v>-</v>
      </c>
    </row>
    <row r="72" spans="1:8" x14ac:dyDescent="0.3">
      <c r="A72" s="3" t="str">
        <f>新!E71</f>
        <v>CRC32:E86D98C5</v>
      </c>
      <c r="B72" s="3" t="str">
        <f>新!A71</f>
        <v>Powersaves</v>
      </c>
      <c r="C72" s="3" t="str">
        <f>新!B71</f>
        <v>[MSS] 64 - Baby Mario (Golf) [Unlocked Superstar].bin</v>
      </c>
      <c r="D72" s="2" t="str">
        <f>IFERROR(INDEX(旧!A:A,MATCH(测试!A72,旧!E:E,0)),0)</f>
        <v>Powersaves\Mario\Mario Sports Superstars</v>
      </c>
      <c r="E72" s="2" t="str">
        <f>IFERROR(INDEX(旧!B:B,MATCH(测试!A72,旧!E:E,0)),0)</f>
        <v>[MSS] 64 - Baby Mario (Golf) [Unlocked Superstar].bin</v>
      </c>
      <c r="F72" s="9">
        <f>IFERROR(IF(B72=INDEX(转换!B:B,MATCH(D72,转换!A:A,0)),0,1),1)</f>
        <v>0</v>
      </c>
      <c r="G72" s="9">
        <f t="shared" si="2"/>
        <v>0</v>
      </c>
      <c r="H72" s="9" t="str">
        <f t="shared" si="3"/>
        <v>-</v>
      </c>
    </row>
    <row r="73" spans="1:8" x14ac:dyDescent="0.3">
      <c r="A73" s="3" t="str">
        <f>新!E72</f>
        <v>CRC32:3263E885</v>
      </c>
      <c r="B73" s="3" t="str">
        <f>新!A72</f>
        <v>Powersaves</v>
      </c>
      <c r="C73" s="3" t="str">
        <f>新!B72</f>
        <v>[MSS] 65 - Baby Mario (Horse Racing) [Unlocked Superstar].bin</v>
      </c>
      <c r="D73" s="2" t="str">
        <f>IFERROR(INDEX(旧!A:A,MATCH(测试!A73,旧!E:E,0)),0)</f>
        <v>Powersaves\Mario\Mario Sports Superstars</v>
      </c>
      <c r="E73" s="2" t="str">
        <f>IFERROR(INDEX(旧!B:B,MATCH(测试!A73,旧!E:E,0)),0)</f>
        <v>[MSS] 65 - Baby Mario (Horse Racing) [Unlocked Superstar].bin</v>
      </c>
      <c r="F73" s="9">
        <f>IFERROR(IF(B73=INDEX(转换!B:B,MATCH(D73,转换!A:A,0)),0,1),1)</f>
        <v>0</v>
      </c>
      <c r="G73" s="9">
        <f t="shared" si="2"/>
        <v>0</v>
      </c>
      <c r="H73" s="9" t="str">
        <f t="shared" si="3"/>
        <v>-</v>
      </c>
    </row>
    <row r="74" spans="1:8" x14ac:dyDescent="0.3">
      <c r="A74" s="3" t="str">
        <f>新!E73</f>
        <v>CRC32:7F95C06C</v>
      </c>
      <c r="B74" s="3" t="str">
        <f>新!A73</f>
        <v>Powersaves</v>
      </c>
      <c r="C74" s="3" t="str">
        <f>新!B73</f>
        <v>[MSS] 66 - Baby Luigi (Soccer) [Unlocked Superstar].bin</v>
      </c>
      <c r="D74" s="2" t="str">
        <f>IFERROR(INDEX(旧!A:A,MATCH(测试!A74,旧!E:E,0)),0)</f>
        <v>Powersaves\Mario\Mario Sports Superstars</v>
      </c>
      <c r="E74" s="2" t="str">
        <f>IFERROR(INDEX(旧!B:B,MATCH(测试!A74,旧!E:E,0)),0)</f>
        <v>[MSS] 66 - Baby Luigi (Soccer) [Unlocked Superstar].bin</v>
      </c>
      <c r="F74" s="9">
        <f>IFERROR(IF(B74=INDEX(转换!B:B,MATCH(D74,转换!A:A,0)),0,1),1)</f>
        <v>0</v>
      </c>
      <c r="G74" s="9">
        <f t="shared" si="2"/>
        <v>0</v>
      </c>
      <c r="H74" s="9" t="str">
        <f t="shared" si="3"/>
        <v>-</v>
      </c>
    </row>
    <row r="75" spans="1:8" x14ac:dyDescent="0.3">
      <c r="A75" s="3" t="str">
        <f>新!E74</f>
        <v>CRC32:6D380FAE</v>
      </c>
      <c r="B75" s="3" t="str">
        <f>新!A74</f>
        <v>Powersaves</v>
      </c>
      <c r="C75" s="3" t="str">
        <f>新!B74</f>
        <v>[MSS] 67 - Baby Luigi (Baseball) [Unlocked Superstar].bin</v>
      </c>
      <c r="D75" s="2" t="str">
        <f>IFERROR(INDEX(旧!A:A,MATCH(测试!A75,旧!E:E,0)),0)</f>
        <v>Powersaves\Mario\Mario Sports Superstars</v>
      </c>
      <c r="E75" s="2" t="str">
        <f>IFERROR(INDEX(旧!B:B,MATCH(测试!A75,旧!E:E,0)),0)</f>
        <v>[MSS] 67 - Baby Luigi (Baseball) [Unlocked Superstar].bin</v>
      </c>
      <c r="F75" s="9">
        <f>IFERROR(IF(B75=INDEX(转换!B:B,MATCH(D75,转换!A:A,0)),0,1),1)</f>
        <v>0</v>
      </c>
      <c r="G75" s="9">
        <f t="shared" si="2"/>
        <v>0</v>
      </c>
      <c r="H75" s="9" t="str">
        <f t="shared" si="3"/>
        <v>-</v>
      </c>
    </row>
    <row r="76" spans="1:8" x14ac:dyDescent="0.3">
      <c r="A76" s="3" t="str">
        <f>新!E75</f>
        <v>CRC32:D4463CB3</v>
      </c>
      <c r="B76" s="3" t="str">
        <f>新!A75</f>
        <v>Powersaves</v>
      </c>
      <c r="C76" s="3" t="str">
        <f>新!B75</f>
        <v>[MSS] 68 - Baby Luigi (Tennis) [Unlocked Superstar].bin</v>
      </c>
      <c r="D76" s="2" t="str">
        <f>IFERROR(INDEX(旧!A:A,MATCH(测试!A76,旧!E:E,0)),0)</f>
        <v>Powersaves\Mario\Mario Sports Superstars</v>
      </c>
      <c r="E76" s="2" t="str">
        <f>IFERROR(INDEX(旧!B:B,MATCH(测试!A76,旧!E:E,0)),0)</f>
        <v>[MSS] 68 - Baby Luigi (Tennis) [Unlocked Superstar].bin</v>
      </c>
      <c r="F76" s="9">
        <f>IFERROR(IF(B76=INDEX(转换!B:B,MATCH(D76,转换!A:A,0)),0,1),1)</f>
        <v>0</v>
      </c>
      <c r="G76" s="9">
        <f t="shared" si="2"/>
        <v>0</v>
      </c>
      <c r="H76" s="9" t="str">
        <f t="shared" si="3"/>
        <v>-</v>
      </c>
    </row>
    <row r="77" spans="1:8" x14ac:dyDescent="0.3">
      <c r="A77" s="3" t="str">
        <f>新!E76</f>
        <v>CRC32:DB6AF0EF</v>
      </c>
      <c r="B77" s="3" t="str">
        <f>新!A76</f>
        <v>Powersaves</v>
      </c>
      <c r="C77" s="3" t="str">
        <f>新!B76</f>
        <v>[MSS] 69 - Baby Luigi (Golf) [Unlocked Superstar].bin</v>
      </c>
      <c r="D77" s="2" t="str">
        <f>IFERROR(INDEX(旧!A:A,MATCH(测试!A77,旧!E:E,0)),0)</f>
        <v>Powersaves\Mario\Mario Sports Superstars</v>
      </c>
      <c r="E77" s="2" t="str">
        <f>IFERROR(INDEX(旧!B:B,MATCH(测试!A77,旧!E:E,0)),0)</f>
        <v>[MSS] 69 - Baby Luigi (Golf) [Unlocked Superstar].bin</v>
      </c>
      <c r="F77" s="9">
        <f>IFERROR(IF(B77=INDEX(转换!B:B,MATCH(D77,转换!A:A,0)),0,1),1)</f>
        <v>0</v>
      </c>
      <c r="G77" s="9">
        <f t="shared" si="2"/>
        <v>0</v>
      </c>
      <c r="H77" s="9" t="str">
        <f t="shared" si="3"/>
        <v>-</v>
      </c>
    </row>
    <row r="78" spans="1:8" x14ac:dyDescent="0.3">
      <c r="A78" s="3" t="str">
        <f>新!E77</f>
        <v>CRC32:53DF6E1E</v>
      </c>
      <c r="B78" s="3" t="str">
        <f>新!A77</f>
        <v>Powersaves</v>
      </c>
      <c r="C78" s="3" t="str">
        <f>新!B77</f>
        <v>[MSS] 70 - Baby Luigi (Horse Racing) [Unlocked Superstar].bin</v>
      </c>
      <c r="D78" s="2" t="str">
        <f>IFERROR(INDEX(旧!A:A,MATCH(测试!A78,旧!E:E,0)),0)</f>
        <v>Powersaves\Mario\Mario Sports Superstars</v>
      </c>
      <c r="E78" s="2" t="str">
        <f>IFERROR(INDEX(旧!B:B,MATCH(测试!A78,旧!E:E,0)),0)</f>
        <v>[MSS] 70 - Baby Luigi (Horse Racing) [Unlocked Superstar].bin</v>
      </c>
      <c r="F78" s="9">
        <f>IFERROR(IF(B78=INDEX(转换!B:B,MATCH(D78,转换!A:A,0)),0,1),1)</f>
        <v>0</v>
      </c>
      <c r="G78" s="9">
        <f t="shared" si="2"/>
        <v>0</v>
      </c>
      <c r="H78" s="9" t="str">
        <f t="shared" si="3"/>
        <v>-</v>
      </c>
    </row>
    <row r="79" spans="1:8" x14ac:dyDescent="0.3">
      <c r="A79" s="3" t="str">
        <f>新!E78</f>
        <v>CRC32:1377093B</v>
      </c>
      <c r="B79" s="3" t="str">
        <f>新!A78</f>
        <v>Powersaves</v>
      </c>
      <c r="C79" s="3" t="str">
        <f>新!B78</f>
        <v>[MSS] 71 - Birdo (Soccer) [Unlocked Superstar].bin</v>
      </c>
      <c r="D79" s="2" t="str">
        <f>IFERROR(INDEX(旧!A:A,MATCH(测试!A79,旧!E:E,0)),0)</f>
        <v>Powersaves\Mario\Mario Sports Superstars</v>
      </c>
      <c r="E79" s="2" t="str">
        <f>IFERROR(INDEX(旧!B:B,MATCH(测试!A79,旧!E:E,0)),0)</f>
        <v>[MSS] 71 - Birdo (Soccer) [Unlocked Superstar].bin</v>
      </c>
      <c r="F79" s="9">
        <f>IFERROR(IF(B79=INDEX(转换!B:B,MATCH(D79,转换!A:A,0)),0,1),1)</f>
        <v>0</v>
      </c>
      <c r="G79" s="9">
        <f t="shared" si="2"/>
        <v>0</v>
      </c>
      <c r="H79" s="9" t="str">
        <f t="shared" si="3"/>
        <v>-</v>
      </c>
    </row>
    <row r="80" spans="1:8" x14ac:dyDescent="0.3">
      <c r="A80" s="3" t="str">
        <f>新!E79</f>
        <v>CRC32:7795D93E</v>
      </c>
      <c r="B80" s="3" t="str">
        <f>新!A79</f>
        <v>Powersaves</v>
      </c>
      <c r="C80" s="3" t="str">
        <f>新!B79</f>
        <v>[MSS] 72 - Birdo (Baseball) [Unlocked Superstar].bin</v>
      </c>
      <c r="D80" s="2" t="str">
        <f>IFERROR(INDEX(旧!A:A,MATCH(测试!A80,旧!E:E,0)),0)</f>
        <v>Powersaves\Mario\Mario Sports Superstars</v>
      </c>
      <c r="E80" s="2" t="str">
        <f>IFERROR(INDEX(旧!B:B,MATCH(测试!A80,旧!E:E,0)),0)</f>
        <v>[MSS] 72 - Birdo (Baseball) [Unlocked Superstar].bin</v>
      </c>
      <c r="F80" s="9">
        <f>IFERROR(IF(B80=INDEX(转换!B:B,MATCH(D80,转换!A:A,0)),0,1),1)</f>
        <v>0</v>
      </c>
      <c r="G80" s="9">
        <f t="shared" si="2"/>
        <v>0</v>
      </c>
      <c r="H80" s="9" t="str">
        <f t="shared" si="3"/>
        <v>-</v>
      </c>
    </row>
    <row r="81" spans="1:8" x14ac:dyDescent="0.3">
      <c r="A81" s="3" t="str">
        <f>新!E80</f>
        <v>CRC32:1ADB2DFD</v>
      </c>
      <c r="B81" s="3" t="str">
        <f>新!A80</f>
        <v>Powersaves</v>
      </c>
      <c r="C81" s="3" t="str">
        <f>新!B80</f>
        <v>[MSS] 73 - Birdo (Tennis) [Unlocked Superstar].bin</v>
      </c>
      <c r="D81" s="2" t="str">
        <f>IFERROR(INDEX(旧!A:A,MATCH(测试!A81,旧!E:E,0)),0)</f>
        <v>Powersaves\Mario\Mario Sports Superstars</v>
      </c>
      <c r="E81" s="2" t="str">
        <f>IFERROR(INDEX(旧!B:B,MATCH(测试!A81,旧!E:E,0)),0)</f>
        <v>[MSS] 73 - Birdo (Tennis) [Unlocked Superstar].bin</v>
      </c>
      <c r="F81" s="9">
        <f>IFERROR(IF(B81=INDEX(转换!B:B,MATCH(D81,转换!A:A,0)),0,1),1)</f>
        <v>0</v>
      </c>
      <c r="G81" s="9">
        <f t="shared" si="2"/>
        <v>0</v>
      </c>
      <c r="H81" s="9" t="str">
        <f t="shared" si="3"/>
        <v>-</v>
      </c>
    </row>
    <row r="82" spans="1:8" x14ac:dyDescent="0.3">
      <c r="A82" s="3" t="str">
        <f>新!E81</f>
        <v>CRC32:1BB6276D</v>
      </c>
      <c r="B82" s="3" t="str">
        <f>新!A81</f>
        <v>Powersaves</v>
      </c>
      <c r="C82" s="3" t="str">
        <f>新!B81</f>
        <v>[MSS] 74 - Birdo (Golf) [Unlocked Superstar].bin</v>
      </c>
      <c r="D82" s="2" t="str">
        <f>IFERROR(INDEX(旧!A:A,MATCH(测试!A82,旧!E:E,0)),0)</f>
        <v>Powersaves\Mario\Mario Sports Superstars</v>
      </c>
      <c r="E82" s="2" t="str">
        <f>IFERROR(INDEX(旧!B:B,MATCH(测试!A82,旧!E:E,0)),0)</f>
        <v>[MSS] 74 - Birdo (Golf) [Unlocked Superstar].bin</v>
      </c>
      <c r="F82" s="9">
        <f>IFERROR(IF(B82=INDEX(转换!B:B,MATCH(D82,转换!A:A,0)),0,1),1)</f>
        <v>0</v>
      </c>
      <c r="G82" s="9">
        <f t="shared" si="2"/>
        <v>0</v>
      </c>
      <c r="H82" s="9" t="str">
        <f t="shared" si="3"/>
        <v>-</v>
      </c>
    </row>
    <row r="83" spans="1:8" x14ac:dyDescent="0.3">
      <c r="A83" s="3" t="str">
        <f>新!E82</f>
        <v>CRC32:18A32555</v>
      </c>
      <c r="B83" s="3" t="str">
        <f>新!A82</f>
        <v>Powersaves</v>
      </c>
      <c r="C83" s="3" t="str">
        <f>新!B82</f>
        <v>[MSS] 75 - Birdo (Horse Racing) [Unlocked Superstar].bin</v>
      </c>
      <c r="D83" s="2" t="str">
        <f>IFERROR(INDEX(旧!A:A,MATCH(测试!A83,旧!E:E,0)),0)</f>
        <v>Powersaves\Mario\Mario Sports Superstars</v>
      </c>
      <c r="E83" s="2" t="str">
        <f>IFERROR(INDEX(旧!B:B,MATCH(测试!A83,旧!E:E,0)),0)</f>
        <v>[MSS] 75 - Birdo (Horse Racing) [Unlocked Superstar].bin</v>
      </c>
      <c r="F83" s="9">
        <f>IFERROR(IF(B83=INDEX(转换!B:B,MATCH(D83,转换!A:A,0)),0,1),1)</f>
        <v>0</v>
      </c>
      <c r="G83" s="9">
        <f t="shared" si="2"/>
        <v>0</v>
      </c>
      <c r="H83" s="9" t="str">
        <f t="shared" si="3"/>
        <v>-</v>
      </c>
    </row>
    <row r="84" spans="1:8" x14ac:dyDescent="0.3">
      <c r="A84" s="3" t="str">
        <f>新!E83</f>
        <v>CRC32:1B73F7CA</v>
      </c>
      <c r="B84" s="3" t="str">
        <f>新!A83</f>
        <v>Powersaves</v>
      </c>
      <c r="C84" s="3" t="str">
        <f>新!B83</f>
        <v>[MSS] 76 - Rosalina (Soccer) [Unlocked Superstar].bin</v>
      </c>
      <c r="D84" s="2" t="str">
        <f>IFERROR(INDEX(旧!A:A,MATCH(测试!A84,旧!E:E,0)),0)</f>
        <v>Powersaves\Mario\Mario Sports Superstars</v>
      </c>
      <c r="E84" s="2" t="str">
        <f>IFERROR(INDEX(旧!B:B,MATCH(测试!A84,旧!E:E,0)),0)</f>
        <v>[MSS] 76 - Rosalina (Soccer) [Unlocked Superstar].bin</v>
      </c>
      <c r="F84" s="9">
        <f>IFERROR(IF(B84=INDEX(转换!B:B,MATCH(D84,转换!A:A,0)),0,1),1)</f>
        <v>0</v>
      </c>
      <c r="G84" s="9">
        <f t="shared" si="2"/>
        <v>0</v>
      </c>
      <c r="H84" s="9" t="str">
        <f t="shared" si="3"/>
        <v>-</v>
      </c>
    </row>
    <row r="85" spans="1:8" x14ac:dyDescent="0.3">
      <c r="A85" s="3" t="str">
        <f>新!E84</f>
        <v>CRC32:A6CF15A2</v>
      </c>
      <c r="B85" s="3" t="str">
        <f>新!A84</f>
        <v>Powersaves</v>
      </c>
      <c r="C85" s="3" t="str">
        <f>新!B84</f>
        <v>[MSS] 77 - Rosalina (Baseball) [Unlocked Superstar].bin</v>
      </c>
      <c r="D85" s="2" t="str">
        <f>IFERROR(INDEX(旧!A:A,MATCH(测试!A85,旧!E:E,0)),0)</f>
        <v>Powersaves\Mario\Mario Sports Superstars</v>
      </c>
      <c r="E85" s="2" t="str">
        <f>IFERROR(INDEX(旧!B:B,MATCH(测试!A85,旧!E:E,0)),0)</f>
        <v>[MSS] 77 - Rosalina (Baseball) [Unlocked Superstar].bin</v>
      </c>
      <c r="F85" s="9">
        <f>IFERROR(IF(B85=INDEX(转换!B:B,MATCH(D85,转换!A:A,0)),0,1),1)</f>
        <v>0</v>
      </c>
      <c r="G85" s="9">
        <f t="shared" si="2"/>
        <v>0</v>
      </c>
      <c r="H85" s="9" t="str">
        <f t="shared" si="3"/>
        <v>-</v>
      </c>
    </row>
    <row r="86" spans="1:8" x14ac:dyDescent="0.3">
      <c r="A86" s="3" t="str">
        <f>新!E85</f>
        <v>CRC32:B0DE77D8</v>
      </c>
      <c r="B86" s="3" t="str">
        <f>新!A85</f>
        <v>Powersaves</v>
      </c>
      <c r="C86" s="3" t="str">
        <f>新!B85</f>
        <v>[MSS] 78 - Rosalina (Tennis) [Unlocked Superstar].bin</v>
      </c>
      <c r="D86" s="2" t="str">
        <f>IFERROR(INDEX(旧!A:A,MATCH(测试!A86,旧!E:E,0)),0)</f>
        <v>Powersaves\Mario\Mario Sports Superstars</v>
      </c>
      <c r="E86" s="2" t="str">
        <f>IFERROR(INDEX(旧!B:B,MATCH(测试!A86,旧!E:E,0)),0)</f>
        <v>[MSS] 78 - Rosalina (Tennis) [Unlocked Superstar].bin</v>
      </c>
      <c r="F86" s="9">
        <f>IFERROR(IF(B86=INDEX(转换!B:B,MATCH(D86,转换!A:A,0)),0,1),1)</f>
        <v>0</v>
      </c>
      <c r="G86" s="9">
        <f t="shared" si="2"/>
        <v>0</v>
      </c>
      <c r="H86" s="9" t="str">
        <f t="shared" si="3"/>
        <v>-</v>
      </c>
    </row>
    <row r="87" spans="1:8" x14ac:dyDescent="0.3">
      <c r="A87" s="3" t="str">
        <f>新!E86</f>
        <v>CRC32:2ED63630</v>
      </c>
      <c r="B87" s="3" t="str">
        <f>新!A86</f>
        <v>Powersaves</v>
      </c>
      <c r="C87" s="3" t="str">
        <f>新!B86</f>
        <v>[MSS] 79 - Rosalina (Golf) [Unlocked Superstar].bin</v>
      </c>
      <c r="D87" s="2" t="str">
        <f>IFERROR(INDEX(旧!A:A,MATCH(测试!A87,旧!E:E,0)),0)</f>
        <v>Powersaves\Mario\Mario Sports Superstars</v>
      </c>
      <c r="E87" s="2" t="str">
        <f>IFERROR(INDEX(旧!B:B,MATCH(测试!A87,旧!E:E,0)),0)</f>
        <v>[MSS] 79 - Rosalina (Golf) [Unlocked Superstar].bin</v>
      </c>
      <c r="F87" s="9">
        <f>IFERROR(IF(B87=INDEX(转换!B:B,MATCH(D87,转换!A:A,0)),0,1),1)</f>
        <v>0</v>
      </c>
      <c r="G87" s="9">
        <f t="shared" si="2"/>
        <v>0</v>
      </c>
      <c r="H87" s="9" t="str">
        <f t="shared" si="3"/>
        <v>-</v>
      </c>
    </row>
    <row r="88" spans="1:8" x14ac:dyDescent="0.3">
      <c r="A88" s="3" t="str">
        <f>新!E87</f>
        <v>CRC32:A76A1B87</v>
      </c>
      <c r="B88" s="3" t="str">
        <f>新!A87</f>
        <v>Powersaves</v>
      </c>
      <c r="C88" s="3" t="str">
        <f>新!B87</f>
        <v>[MSS] 80 - Rosalina (Horse Racing) [Unlocked Superstar].bin</v>
      </c>
      <c r="D88" s="2" t="str">
        <f>IFERROR(INDEX(旧!A:A,MATCH(测试!A88,旧!E:E,0)),0)</f>
        <v>Powersaves\Mario\Mario Sports Superstars</v>
      </c>
      <c r="E88" s="2" t="str">
        <f>IFERROR(INDEX(旧!B:B,MATCH(测试!A88,旧!E:E,0)),0)</f>
        <v>[MSS] 80 - Rosalina (Horse Racing) [Unlocked Superstar].bin</v>
      </c>
      <c r="F88" s="9">
        <f>IFERROR(IF(B88=INDEX(转换!B:B,MATCH(D88,转换!A:A,0)),0,1),1)</f>
        <v>0</v>
      </c>
      <c r="G88" s="9">
        <f t="shared" si="2"/>
        <v>0</v>
      </c>
      <c r="H88" s="9" t="str">
        <f t="shared" si="3"/>
        <v>-</v>
      </c>
    </row>
    <row r="89" spans="1:8" x14ac:dyDescent="0.3">
      <c r="A89" s="3" t="str">
        <f>新!E88</f>
        <v>CRC32:B23B4D22</v>
      </c>
      <c r="B89" s="3" t="str">
        <f>新!A88</f>
        <v>Powersaves</v>
      </c>
      <c r="C89" s="3" t="str">
        <f>新!B88</f>
        <v>[MSS] 81 - Metal Mario (Soccer) [Unlocked Superstar].bin</v>
      </c>
      <c r="D89" s="2" t="str">
        <f>IFERROR(INDEX(旧!A:A,MATCH(测试!A89,旧!E:E,0)),0)</f>
        <v>Powersaves\Mario\Mario Sports Superstars</v>
      </c>
      <c r="E89" s="2" t="str">
        <f>IFERROR(INDEX(旧!B:B,MATCH(测试!A89,旧!E:E,0)),0)</f>
        <v>[MSS] 81 - Metal Mario (Soccer) [Unlocked Superstar].bin</v>
      </c>
      <c r="F89" s="9">
        <f>IFERROR(IF(B89=INDEX(转换!B:B,MATCH(D89,转换!A:A,0)),0,1),1)</f>
        <v>0</v>
      </c>
      <c r="G89" s="9">
        <f t="shared" si="2"/>
        <v>0</v>
      </c>
      <c r="H89" s="9" t="str">
        <f t="shared" si="3"/>
        <v>-</v>
      </c>
    </row>
    <row r="90" spans="1:8" x14ac:dyDescent="0.3">
      <c r="A90" s="3" t="str">
        <f>新!E89</f>
        <v>CRC32:753E6924</v>
      </c>
      <c r="B90" s="3" t="str">
        <f>新!A89</f>
        <v>Powersaves</v>
      </c>
      <c r="C90" s="3" t="str">
        <f>新!B89</f>
        <v>[MSS] 82 - Metal Mario (Baseball) [Unlocked Superstar].bin</v>
      </c>
      <c r="D90" s="2" t="str">
        <f>IFERROR(INDEX(旧!A:A,MATCH(测试!A90,旧!E:E,0)),0)</f>
        <v>Powersaves\Mario\Mario Sports Superstars</v>
      </c>
      <c r="E90" s="2" t="str">
        <f>IFERROR(INDEX(旧!B:B,MATCH(测试!A90,旧!E:E,0)),0)</f>
        <v>[MSS] 82 - Metal Mario (Baseball) [Unlocked Superstar].bin</v>
      </c>
      <c r="F90" s="9">
        <f>IFERROR(IF(B90=INDEX(转换!B:B,MATCH(D90,转换!A:A,0)),0,1),1)</f>
        <v>0</v>
      </c>
      <c r="G90" s="9">
        <f t="shared" si="2"/>
        <v>0</v>
      </c>
      <c r="H90" s="9" t="str">
        <f t="shared" si="3"/>
        <v>-</v>
      </c>
    </row>
    <row r="91" spans="1:8" x14ac:dyDescent="0.3">
      <c r="A91" s="3" t="str">
        <f>新!E90</f>
        <v>CRC32:44DBD65B</v>
      </c>
      <c r="B91" s="3" t="str">
        <f>新!A90</f>
        <v>Powersaves</v>
      </c>
      <c r="C91" s="3" t="str">
        <f>新!B90</f>
        <v>[MSS] 83 - Metal Mario (Tennis) [Unlocked Superstar].bin</v>
      </c>
      <c r="D91" s="2" t="str">
        <f>IFERROR(INDEX(旧!A:A,MATCH(测试!A91,旧!E:E,0)),0)</f>
        <v>Powersaves\Mario\Mario Sports Superstars</v>
      </c>
      <c r="E91" s="2" t="str">
        <f>IFERROR(INDEX(旧!B:B,MATCH(测试!A91,旧!E:E,0)),0)</f>
        <v>[MSS] 83 - Metal Mario (Tennis) [Unlocked Superstar].bin</v>
      </c>
      <c r="F91" s="9">
        <f>IFERROR(IF(B91=INDEX(转换!B:B,MATCH(D91,转换!A:A,0)),0,1),1)</f>
        <v>0</v>
      </c>
      <c r="G91" s="9">
        <f t="shared" si="2"/>
        <v>0</v>
      </c>
      <c r="H91" s="9" t="str">
        <f t="shared" si="3"/>
        <v>-</v>
      </c>
    </row>
    <row r="92" spans="1:8" x14ac:dyDescent="0.3">
      <c r="A92" s="3" t="str">
        <f>新!E91</f>
        <v>CRC32:7CE394A6</v>
      </c>
      <c r="B92" s="3" t="str">
        <f>新!A91</f>
        <v>Powersaves</v>
      </c>
      <c r="C92" s="3" t="str">
        <f>新!B91</f>
        <v>[MSS] 84 - Metal Mario (Golf) [Unlocked Superstar].bin</v>
      </c>
      <c r="D92" s="2" t="str">
        <f>IFERROR(INDEX(旧!A:A,MATCH(测试!A92,旧!E:E,0)),0)</f>
        <v>Powersaves\Mario\Mario Sports Superstars</v>
      </c>
      <c r="E92" s="2" t="str">
        <f>IFERROR(INDEX(旧!B:B,MATCH(测试!A92,旧!E:E,0)),0)</f>
        <v>[MSS] 84 - Metal Mario (Golf) [Unlocked Superstar].bin</v>
      </c>
      <c r="F92" s="9">
        <f>IFERROR(IF(B92=INDEX(转换!B:B,MATCH(D92,转换!A:A,0)),0,1),1)</f>
        <v>0</v>
      </c>
      <c r="G92" s="9">
        <f t="shared" si="2"/>
        <v>0</v>
      </c>
      <c r="H92" s="9" t="str">
        <f t="shared" si="3"/>
        <v>-</v>
      </c>
    </row>
    <row r="93" spans="1:8" x14ac:dyDescent="0.3">
      <c r="A93" s="3" t="str">
        <f>新!E92</f>
        <v>CRC32:7E6E4655</v>
      </c>
      <c r="B93" s="3" t="str">
        <f>新!A92</f>
        <v>Powersaves</v>
      </c>
      <c r="C93" s="3" t="str">
        <f>新!B92</f>
        <v>[MSS] 85 - Metal Mario (Horse Racing) [Unlocked Superstar].bin</v>
      </c>
      <c r="D93" s="2" t="str">
        <f>IFERROR(INDEX(旧!A:A,MATCH(测试!A93,旧!E:E,0)),0)</f>
        <v>Powersaves\Mario\Mario Sports Superstars</v>
      </c>
      <c r="E93" s="2" t="str">
        <f>IFERROR(INDEX(旧!B:B,MATCH(测试!A93,旧!E:E,0)),0)</f>
        <v>[MSS] 85 - Metal Mario (Horse Racing) [Unlocked Superstar].bin</v>
      </c>
      <c r="F93" s="9">
        <f>IFERROR(IF(B93=INDEX(转换!B:B,MATCH(D93,转换!A:A,0)),0,1),1)</f>
        <v>0</v>
      </c>
      <c r="G93" s="9">
        <f t="shared" si="2"/>
        <v>0</v>
      </c>
      <c r="H93" s="9" t="str">
        <f t="shared" si="3"/>
        <v>-</v>
      </c>
    </row>
    <row r="94" spans="1:8" x14ac:dyDescent="0.3">
      <c r="A94" s="3" t="str">
        <f>新!E93</f>
        <v>CRC32:C8E5B2CD</v>
      </c>
      <c r="B94" s="3" t="str">
        <f>新!A93</f>
        <v>Powersaves</v>
      </c>
      <c r="C94" s="3" t="str">
        <f>新!B93</f>
        <v>[MSS] 86 - Pink Gold Peach (Soccer) [Unlocked Superstar].bin</v>
      </c>
      <c r="D94" s="2" t="str">
        <f>IFERROR(INDEX(旧!A:A,MATCH(测试!A94,旧!E:E,0)),0)</f>
        <v>Powersaves\Mario\Mario Sports Superstars</v>
      </c>
      <c r="E94" s="2" t="str">
        <f>IFERROR(INDEX(旧!B:B,MATCH(测试!A94,旧!E:E,0)),0)</f>
        <v>[MSS] 86 - Pink Gold Peach (Soccer) [Unlocked Superstar].bin</v>
      </c>
      <c r="F94" s="9">
        <f>IFERROR(IF(B94=INDEX(转换!B:B,MATCH(D94,转换!A:A,0)),0,1),1)</f>
        <v>0</v>
      </c>
      <c r="G94" s="9">
        <f t="shared" si="2"/>
        <v>0</v>
      </c>
      <c r="H94" s="9" t="str">
        <f t="shared" si="3"/>
        <v>-</v>
      </c>
    </row>
    <row r="95" spans="1:8" x14ac:dyDescent="0.3">
      <c r="A95" s="3" t="str">
        <f>新!E94</f>
        <v>CRC32:78EDE1A7</v>
      </c>
      <c r="B95" s="3" t="str">
        <f>新!A94</f>
        <v>Powersaves</v>
      </c>
      <c r="C95" s="3" t="str">
        <f>新!B94</f>
        <v>[MSS] 87 - Pink Gold Peach (Baseball) [Unlocked Superstar].bin</v>
      </c>
      <c r="D95" s="2" t="str">
        <f>IFERROR(INDEX(旧!A:A,MATCH(测试!A95,旧!E:E,0)),0)</f>
        <v>Powersaves\Mario\Mario Sports Superstars</v>
      </c>
      <c r="E95" s="2" t="str">
        <f>IFERROR(INDEX(旧!B:B,MATCH(测试!A95,旧!E:E,0)),0)</f>
        <v>[MSS] 87 - Pink Gold Peach (Baseball) [Unlocked Superstar].bin</v>
      </c>
      <c r="F95" s="9">
        <f>IFERROR(IF(B95=INDEX(转换!B:B,MATCH(D95,转换!A:A,0)),0,1),1)</f>
        <v>0</v>
      </c>
      <c r="G95" s="9">
        <f t="shared" si="2"/>
        <v>0</v>
      </c>
      <c r="H95" s="9" t="str">
        <f t="shared" si="3"/>
        <v>-</v>
      </c>
    </row>
    <row r="96" spans="1:8" x14ac:dyDescent="0.3">
      <c r="A96" s="3" t="str">
        <f>新!E95</f>
        <v>CRC32:3A989D5B</v>
      </c>
      <c r="B96" s="3" t="str">
        <f>新!A95</f>
        <v>Powersaves</v>
      </c>
      <c r="C96" s="3" t="str">
        <f>新!B95</f>
        <v>[MSS] 88 - Pink Gold Peach (Tennis) [Unlocked Superstar].bin</v>
      </c>
      <c r="D96" s="2" t="str">
        <f>IFERROR(INDEX(旧!A:A,MATCH(测试!A96,旧!E:E,0)),0)</f>
        <v>Powersaves\Mario\Mario Sports Superstars</v>
      </c>
      <c r="E96" s="2" t="str">
        <f>IFERROR(INDEX(旧!B:B,MATCH(测试!A96,旧!E:E,0)),0)</f>
        <v>[MSS] 88 - Pink Gold Peach (Tennis) [Unlocked Superstar].bin</v>
      </c>
      <c r="F96" s="9">
        <f>IFERROR(IF(B96=INDEX(转换!B:B,MATCH(D96,转换!A:A,0)),0,1),1)</f>
        <v>0</v>
      </c>
      <c r="G96" s="9">
        <f t="shared" si="2"/>
        <v>0</v>
      </c>
      <c r="H96" s="9" t="str">
        <f t="shared" si="3"/>
        <v>-</v>
      </c>
    </row>
    <row r="97" spans="1:8" x14ac:dyDescent="0.3">
      <c r="A97" s="3" t="str">
        <f>新!E96</f>
        <v>CRC32:8C9B6F82</v>
      </c>
      <c r="B97" s="3" t="str">
        <f>新!A96</f>
        <v>Powersaves</v>
      </c>
      <c r="C97" s="3" t="str">
        <f>新!B96</f>
        <v>[MSS] 89 - Pink Gold Peach (Golf) [Unlocked Superstar].bin</v>
      </c>
      <c r="D97" s="2" t="str">
        <f>IFERROR(INDEX(旧!A:A,MATCH(测试!A97,旧!E:E,0)),0)</f>
        <v>Powersaves\Mario\Mario Sports Superstars</v>
      </c>
      <c r="E97" s="2" t="str">
        <f>IFERROR(INDEX(旧!B:B,MATCH(测试!A97,旧!E:E,0)),0)</f>
        <v>[MSS] 89 - Pink Gold Peach (Golf) [Unlocked Superstar].bin</v>
      </c>
      <c r="F97" s="9">
        <f>IFERROR(IF(B97=INDEX(转换!B:B,MATCH(D97,转换!A:A,0)),0,1),1)</f>
        <v>0</v>
      </c>
      <c r="G97" s="9">
        <f t="shared" si="2"/>
        <v>0</v>
      </c>
      <c r="H97" s="9" t="str">
        <f t="shared" si="3"/>
        <v>-</v>
      </c>
    </row>
    <row r="98" spans="1:8" x14ac:dyDescent="0.3">
      <c r="A98" s="3" t="str">
        <f>新!E97</f>
        <v>CRC32:DD1F450A</v>
      </c>
      <c r="B98" s="3" t="str">
        <f>新!A97</f>
        <v>Powersaves</v>
      </c>
      <c r="C98" s="3" t="str">
        <f>新!B97</f>
        <v>[MSS] 90 - Pink Gold Peach (Horse Racing) [Unlocked Superstar].bin</v>
      </c>
      <c r="D98" s="2" t="str">
        <f>IFERROR(INDEX(旧!A:A,MATCH(测试!A98,旧!E:E,0)),0)</f>
        <v>Powersaves\Mario\Mario Sports Superstars</v>
      </c>
      <c r="E98" s="2" t="str">
        <f>IFERROR(INDEX(旧!B:B,MATCH(测试!A98,旧!E:E,0)),0)</f>
        <v>[MSS] 90 - Pink Gold Peach (Horse Racing) [Unlocked Superstar].bin</v>
      </c>
      <c r="F98" s="9">
        <f>IFERROR(IF(B98=INDEX(转换!B:B,MATCH(D98,转换!A:A,0)),0,1),1)</f>
        <v>0</v>
      </c>
      <c r="G98" s="9">
        <f t="shared" si="2"/>
        <v>0</v>
      </c>
      <c r="H98" s="9" t="str">
        <f t="shared" si="3"/>
        <v>-</v>
      </c>
    </row>
    <row r="99" spans="1:8" x14ac:dyDescent="0.3">
      <c r="A99" s="3" t="str">
        <f>新!E98</f>
        <v>CRC32:83CE0E87</v>
      </c>
      <c r="B99" s="3" t="str">
        <f>新!A98</f>
        <v>Powersaves</v>
      </c>
      <c r="C99" s="3" t="str">
        <f>新!B98</f>
        <v>[SM] 01 - Mario [Loaded with Mario Party 10 Special Data].bin</v>
      </c>
      <c r="D99" s="2" t="str">
        <f>IFERROR(INDEX(旧!A:A,MATCH(测试!A99,旧!E:E,0)),0)</f>
        <v>Powersaves\Mario\Super Mario Figures</v>
      </c>
      <c r="E99" s="2" t="str">
        <f>IFERROR(INDEX(旧!B:B,MATCH(测试!A99,旧!E:E,0)),0)</f>
        <v>[SM] 01 - Mario [Loaded with Mario Party 10 Special Data].bin</v>
      </c>
      <c r="F99" s="9">
        <f>IFERROR(IF(B99=INDEX(转换!B:B,MATCH(D99,转换!A:A,0)),0,1),1)</f>
        <v>0</v>
      </c>
      <c r="G99" s="9">
        <f t="shared" si="2"/>
        <v>0</v>
      </c>
      <c r="H99" s="9" t="str">
        <f t="shared" si="3"/>
        <v>-</v>
      </c>
    </row>
    <row r="100" spans="1:8" x14ac:dyDescent="0.3">
      <c r="A100" s="3" t="str">
        <f>新!E99</f>
        <v>CRC32:FD9F18E6</v>
      </c>
      <c r="B100" s="3" t="str">
        <f>新!A99</f>
        <v>Powersaves</v>
      </c>
      <c r="C100" s="3" t="str">
        <f>新!B99</f>
        <v>[SM] 02 - Peach [Loaded with Mario Party 10 Special Data].bin</v>
      </c>
      <c r="D100" s="2" t="str">
        <f>IFERROR(INDEX(旧!A:A,MATCH(测试!A100,旧!E:E,0)),0)</f>
        <v>Powersaves\Mario\Super Mario Figures</v>
      </c>
      <c r="E100" s="2" t="str">
        <f>IFERROR(INDEX(旧!B:B,MATCH(测试!A100,旧!E:E,0)),0)</f>
        <v>[SM] 02 - Peach [Loaded with Mario Party 10 Special Data].bin</v>
      </c>
      <c r="F100" s="9">
        <f>IFERROR(IF(B100=INDEX(转换!B:B,MATCH(D100,转换!A:A,0)),0,1),1)</f>
        <v>0</v>
      </c>
      <c r="G100" s="9">
        <f t="shared" si="2"/>
        <v>0</v>
      </c>
      <c r="H100" s="9" t="str">
        <f t="shared" si="3"/>
        <v>-</v>
      </c>
    </row>
    <row r="101" spans="1:8" x14ac:dyDescent="0.3">
      <c r="A101" s="3" t="str">
        <f>新!E100</f>
        <v>CRC32:73C1D16D</v>
      </c>
      <c r="B101" s="3" t="str">
        <f>新!A100</f>
        <v>Powersaves</v>
      </c>
      <c r="C101" s="3" t="str">
        <f>新!B100</f>
        <v>[SM] 03 - Toad [Loaded with Mario Party 10 Special Data].bin</v>
      </c>
      <c r="D101" s="2" t="str">
        <f>IFERROR(INDEX(旧!A:A,MATCH(测试!A101,旧!E:E,0)),0)</f>
        <v>Powersaves\Mario\Super Mario Figures</v>
      </c>
      <c r="E101" s="2" t="str">
        <f>IFERROR(INDEX(旧!B:B,MATCH(测试!A101,旧!E:E,0)),0)</f>
        <v>[SM] 03 - Toad [Loaded with Mario Party 10 Special Data].bin</v>
      </c>
      <c r="F101" s="9">
        <f>IFERROR(IF(B101=INDEX(转换!B:B,MATCH(D101,转换!A:A,0)),0,1),1)</f>
        <v>0</v>
      </c>
      <c r="G101" s="9">
        <f t="shared" si="2"/>
        <v>0</v>
      </c>
      <c r="H101" s="9" t="str">
        <f t="shared" si="3"/>
        <v>-</v>
      </c>
    </row>
    <row r="102" spans="1:8" x14ac:dyDescent="0.3">
      <c r="A102" s="3" t="str">
        <f>新!E101</f>
        <v>CRC32:7C10F500</v>
      </c>
      <c r="B102" s="3" t="str">
        <f>新!A101</f>
        <v>Powersaves</v>
      </c>
      <c r="C102" s="3" t="str">
        <f>新!B101</f>
        <v>[SM] 04 - Luigi [Loaded with Mario Party 10 Special Data].bin</v>
      </c>
      <c r="D102" s="2" t="str">
        <f>IFERROR(INDEX(旧!A:A,MATCH(测试!A102,旧!E:E,0)),0)</f>
        <v>Powersaves\Mario\Super Mario Figures</v>
      </c>
      <c r="E102" s="2" t="str">
        <f>IFERROR(INDEX(旧!B:B,MATCH(测试!A102,旧!E:E,0)),0)</f>
        <v>[SM] 04 - Luigi [Loaded with Mario Party 10 Special Data].bin</v>
      </c>
      <c r="F102" s="9">
        <f>IFERROR(IF(B102=INDEX(转换!B:B,MATCH(D102,转换!A:A,0)),0,1),1)</f>
        <v>0</v>
      </c>
      <c r="G102" s="9">
        <f t="shared" si="2"/>
        <v>0</v>
      </c>
      <c r="H102" s="9" t="str">
        <f t="shared" si="3"/>
        <v>-</v>
      </c>
    </row>
    <row r="103" spans="1:8" x14ac:dyDescent="0.3">
      <c r="A103" s="3" t="str">
        <f>新!E102</f>
        <v>CRC32:13224713</v>
      </c>
      <c r="B103" s="3" t="str">
        <f>新!A102</f>
        <v>Powersaves</v>
      </c>
      <c r="C103" s="3" t="str">
        <f>新!B102</f>
        <v>[SM] 05 - Yoshi [Loaded with Mario Party 10 Special Data].bin</v>
      </c>
      <c r="D103" s="2" t="str">
        <f>IFERROR(INDEX(旧!A:A,MATCH(测试!A103,旧!E:E,0)),0)</f>
        <v>Powersaves\Mario\Super Mario Figures</v>
      </c>
      <c r="E103" s="2" t="str">
        <f>IFERROR(INDEX(旧!B:B,MATCH(测试!A103,旧!E:E,0)),0)</f>
        <v>[SM] 05 - Yoshi [Loaded with Mario Party 10 Special Data].bin</v>
      </c>
      <c r="F103" s="9">
        <f>IFERROR(IF(B103=INDEX(转换!B:B,MATCH(D103,转换!A:A,0)),0,1),1)</f>
        <v>0</v>
      </c>
      <c r="G103" s="9">
        <f t="shared" si="2"/>
        <v>0</v>
      </c>
      <c r="H103" s="9" t="str">
        <f t="shared" si="3"/>
        <v>-</v>
      </c>
    </row>
    <row r="104" spans="1:8" x14ac:dyDescent="0.3">
      <c r="A104" s="3" t="str">
        <f>新!E103</f>
        <v>CRC32:FDACC31D</v>
      </c>
      <c r="B104" s="3" t="str">
        <f>新!A103</f>
        <v>Powersaves</v>
      </c>
      <c r="C104" s="3" t="str">
        <f>新!B103</f>
        <v>[SM] 06 - Bowser [Loaded with Mario Party 10 Special Data].bin</v>
      </c>
      <c r="D104" s="2" t="str">
        <f>IFERROR(INDEX(旧!A:A,MATCH(测试!A104,旧!E:E,0)),0)</f>
        <v>Powersaves\Mario\Super Mario Figures</v>
      </c>
      <c r="E104" s="2" t="str">
        <f>IFERROR(INDEX(旧!B:B,MATCH(测试!A104,旧!E:E,0)),0)</f>
        <v>[SM] 06 - Bowser [Loaded with Mario Party 10 Special Data].bin</v>
      </c>
      <c r="F104" s="9">
        <f>IFERROR(IF(B104=INDEX(转换!B:B,MATCH(D104,转换!A:A,0)),0,1),1)</f>
        <v>0</v>
      </c>
      <c r="G104" s="9">
        <f t="shared" si="2"/>
        <v>0</v>
      </c>
      <c r="H104" s="9" t="str">
        <f t="shared" si="3"/>
        <v>-</v>
      </c>
    </row>
    <row r="105" spans="1:8" x14ac:dyDescent="0.3">
      <c r="A105" s="3" t="str">
        <f>新!E104</f>
        <v>CRC32:596AA38B</v>
      </c>
      <c r="B105" s="3" t="str">
        <f>新!A104</f>
        <v>Powersaves</v>
      </c>
      <c r="C105" s="3" t="str">
        <f>新!B104</f>
        <v>[SM] 07 - Mario (Gold Edition) [Loaded with Mario Party 10 Special Data].bin</v>
      </c>
      <c r="D105" s="2" t="str">
        <f>IFERROR(INDEX(旧!A:A,MATCH(测试!A105,旧!E:E,0)),0)</f>
        <v>Powersaves\Mario\Super Mario Figures</v>
      </c>
      <c r="E105" s="2" t="str">
        <f>IFERROR(INDEX(旧!B:B,MATCH(测试!A105,旧!E:E,0)),0)</f>
        <v>[SM] 07 - Mario (Gold Edition) [Loaded with Mario Party 10 Special Data].bin</v>
      </c>
      <c r="F105" s="9">
        <f>IFERROR(IF(B105=INDEX(转换!B:B,MATCH(D105,转换!A:A,0)),0,1),1)</f>
        <v>0</v>
      </c>
      <c r="G105" s="9">
        <f t="shared" si="2"/>
        <v>0</v>
      </c>
      <c r="H105" s="9" t="str">
        <f t="shared" si="3"/>
        <v>-</v>
      </c>
    </row>
    <row r="106" spans="1:8" x14ac:dyDescent="0.3">
      <c r="A106" s="3" t="str">
        <f>新!E105</f>
        <v>CRC32:E19F8EAC</v>
      </c>
      <c r="B106" s="3" t="str">
        <f>新!A105</f>
        <v>Powersaves</v>
      </c>
      <c r="C106" s="3" t="str">
        <f>新!B105</f>
        <v>[SM] 08 - Mario (Silver Edition) [Loaded with Mario Party 10 Special Data].bin</v>
      </c>
      <c r="D106" s="2" t="str">
        <f>IFERROR(INDEX(旧!A:A,MATCH(测试!A106,旧!E:E,0)),0)</f>
        <v>Powersaves\Mario\Super Mario Figures</v>
      </c>
      <c r="E106" s="2" t="str">
        <f>IFERROR(INDEX(旧!B:B,MATCH(测试!A106,旧!E:E,0)),0)</f>
        <v>[SM] 08 - Mario (Silver Edition) [Loaded with Mario Party 10 Special Data].bin</v>
      </c>
      <c r="F106" s="9">
        <f>IFERROR(IF(B106=INDEX(转换!B:B,MATCH(D106,转换!A:A,0)),0,1),1)</f>
        <v>0</v>
      </c>
      <c r="G106" s="9">
        <f t="shared" si="2"/>
        <v>0</v>
      </c>
      <c r="H106" s="9" t="str">
        <f t="shared" si="3"/>
        <v>-</v>
      </c>
    </row>
    <row r="107" spans="1:8" x14ac:dyDescent="0.3">
      <c r="A107" s="3" t="str">
        <f>新!E106</f>
        <v>CRC32:BE3CCF00</v>
      </c>
      <c r="B107" s="3" t="str">
        <f>新!A106</f>
        <v>Powersaves</v>
      </c>
      <c r="C107" s="3" t="str">
        <f>新!B106</f>
        <v>[ZTP] 01 - Wolf Link [Max Hearts].bin</v>
      </c>
      <c r="D107" s="2" t="str">
        <f>IFERROR(INDEX(旧!A:A,MATCH(测试!A107,旧!E:E,0)),0)</f>
        <v>Powersaves\The Legend of Zelda\The Legend of Zelda Twilight Princess</v>
      </c>
      <c r="E107" s="2" t="str">
        <f>IFERROR(INDEX(旧!B:B,MATCH(测试!A107,旧!E:E,0)),0)</f>
        <v>[ZTP] 01 - Wolf Link [Max Hearts].bin</v>
      </c>
      <c r="F107" s="9">
        <f>IFERROR(IF(B107=INDEX(转换!B:B,MATCH(D107,转换!A:A,0)),0,1),1)</f>
        <v>0</v>
      </c>
      <c r="G107" s="9">
        <f t="shared" si="2"/>
        <v>0</v>
      </c>
      <c r="H107" s="9" t="str">
        <f t="shared" si="3"/>
        <v>-</v>
      </c>
    </row>
    <row r="108" spans="1:8" x14ac:dyDescent="0.3">
      <c r="A108" s="3" t="str">
        <f>新!E107</f>
        <v>CRC32:6F8F134D</v>
      </c>
      <c r="B108" s="3" t="str">
        <f>新!A107</f>
        <v>Animal Crossing\Cards\Animal Crossing x Sanrio Series</v>
      </c>
      <c r="C108" s="3" t="str">
        <f>新!B107</f>
        <v>[AC] XS1 - Rilla.bin</v>
      </c>
      <c r="D108" s="2" t="str">
        <f>IFERROR(INDEX(旧!A:A,MATCH(测试!A108,旧!E:E,0)),0)</f>
        <v>Animal Crossing\Cards - Animal Crossing x Sanrio Series</v>
      </c>
      <c r="E108" s="2" t="str">
        <f>IFERROR(INDEX(旧!B:B,MATCH(测试!A108,旧!E:E,0)),0)</f>
        <v>[AC] XS1 - Rilla.bin</v>
      </c>
      <c r="F108" s="9">
        <f>IFERROR(IF(B108=INDEX(转换!B:B,MATCH(D108,转换!A:A,0)),0,1),1)</f>
        <v>0</v>
      </c>
      <c r="G108" s="9">
        <f t="shared" ref="G108:G171" si="4">IF(E108=C108,0,1)</f>
        <v>0</v>
      </c>
      <c r="H108" s="9" t="str">
        <f t="shared" si="3"/>
        <v>-</v>
      </c>
    </row>
    <row r="109" spans="1:8" x14ac:dyDescent="0.3">
      <c r="A109" s="3" t="str">
        <f>新!E108</f>
        <v>CRC32:CB78A418</v>
      </c>
      <c r="B109" s="3" t="str">
        <f>新!A108</f>
        <v>Animal Crossing\Cards\Animal Crossing x Sanrio Series</v>
      </c>
      <c r="C109" s="3" t="str">
        <f>新!B108</f>
        <v>[AC] XS2 - Marty.bin</v>
      </c>
      <c r="D109" s="2" t="str">
        <f>IFERROR(INDEX(旧!A:A,MATCH(测试!A109,旧!E:E,0)),0)</f>
        <v>Animal Crossing\Cards - Animal Crossing x Sanrio Series</v>
      </c>
      <c r="E109" s="2" t="str">
        <f>IFERROR(INDEX(旧!B:B,MATCH(测试!A109,旧!E:E,0)),0)</f>
        <v>[AC] XS2 - Marty.bin</v>
      </c>
      <c r="F109" s="9">
        <f>IFERROR(IF(B109=INDEX(转换!B:B,MATCH(D109,转换!A:A,0)),0,1),1)</f>
        <v>0</v>
      </c>
      <c r="G109" s="9">
        <f t="shared" si="4"/>
        <v>0</v>
      </c>
      <c r="H109" s="9" t="str">
        <f t="shared" si="3"/>
        <v>-</v>
      </c>
    </row>
    <row r="110" spans="1:8" x14ac:dyDescent="0.3">
      <c r="A110" s="3" t="str">
        <f>新!E109</f>
        <v>CRC32:369BAF01</v>
      </c>
      <c r="B110" s="3" t="str">
        <f>新!A109</f>
        <v>Animal Crossing\Cards\Animal Crossing x Sanrio Series</v>
      </c>
      <c r="C110" s="3" t="str">
        <f>新!B109</f>
        <v>[AC] XS3 - Étoile.bin</v>
      </c>
      <c r="D110" s="2" t="str">
        <f>IFERROR(INDEX(旧!A:A,MATCH(测试!A110,旧!E:E,0)),0)</f>
        <v>Animal Crossing\Cards - Animal Crossing x Sanrio Series</v>
      </c>
      <c r="E110" s="2" t="str">
        <f>IFERROR(INDEX(旧!B:B,MATCH(测试!A110,旧!E:E,0)),0)</f>
        <v>[AC] XS3 - Étoile.bin</v>
      </c>
      <c r="F110" s="9">
        <f>IFERROR(IF(B110=INDEX(转换!B:B,MATCH(D110,转换!A:A,0)),0,1),1)</f>
        <v>0</v>
      </c>
      <c r="G110" s="9">
        <f t="shared" si="4"/>
        <v>0</v>
      </c>
      <c r="H110" s="9" t="str">
        <f t="shared" si="3"/>
        <v>-</v>
      </c>
    </row>
    <row r="111" spans="1:8" x14ac:dyDescent="0.3">
      <c r="A111" s="3" t="str">
        <f>新!E110</f>
        <v>CRC32:77853474</v>
      </c>
      <c r="B111" s="3" t="str">
        <f>新!A110</f>
        <v>Animal Crossing\Cards\Animal Crossing x Sanrio Series</v>
      </c>
      <c r="C111" s="3" t="str">
        <f>新!B110</f>
        <v>[AC] XS4 - Chai.bin</v>
      </c>
      <c r="D111" s="2" t="str">
        <f>IFERROR(INDEX(旧!A:A,MATCH(测试!A111,旧!E:E,0)),0)</f>
        <v>Animal Crossing\Cards - Animal Crossing x Sanrio Series</v>
      </c>
      <c r="E111" s="2" t="str">
        <f>IFERROR(INDEX(旧!B:B,MATCH(测试!A111,旧!E:E,0)),0)</f>
        <v>[AC] XS4 - Chai.bin</v>
      </c>
      <c r="F111" s="9">
        <f>IFERROR(IF(B111=INDEX(转换!B:B,MATCH(D111,转换!A:A,0)),0,1),1)</f>
        <v>0</v>
      </c>
      <c r="G111" s="9">
        <f t="shared" si="4"/>
        <v>0</v>
      </c>
      <c r="H111" s="9" t="str">
        <f t="shared" si="3"/>
        <v>-</v>
      </c>
    </row>
    <row r="112" spans="1:8" x14ac:dyDescent="0.3">
      <c r="A112" s="3" t="str">
        <f>新!E111</f>
        <v>CRC32:402815D3</v>
      </c>
      <c r="B112" s="3" t="str">
        <f>新!A111</f>
        <v>Animal Crossing\Cards\Animal Crossing x Sanrio Series</v>
      </c>
      <c r="C112" s="3" t="str">
        <f>新!B111</f>
        <v>[AC] XS5 - Chelsea.bin</v>
      </c>
      <c r="D112" s="2" t="str">
        <f>IFERROR(INDEX(旧!A:A,MATCH(测试!A112,旧!E:E,0)),0)</f>
        <v>Animal Crossing\Cards - Animal Crossing x Sanrio Series</v>
      </c>
      <c r="E112" s="2" t="str">
        <f>IFERROR(INDEX(旧!B:B,MATCH(测试!A112,旧!E:E,0)),0)</f>
        <v>[AC] XS5 - Chelsea.bin</v>
      </c>
      <c r="F112" s="9">
        <f>IFERROR(IF(B112=INDEX(转换!B:B,MATCH(D112,转换!A:A,0)),0,1),1)</f>
        <v>0</v>
      </c>
      <c r="G112" s="9">
        <f t="shared" si="4"/>
        <v>0</v>
      </c>
      <c r="H112" s="9" t="str">
        <f t="shared" si="3"/>
        <v>-</v>
      </c>
    </row>
    <row r="113" spans="1:8" x14ac:dyDescent="0.3">
      <c r="A113" s="3" t="str">
        <f>新!E112</f>
        <v>CRC32:691B0111</v>
      </c>
      <c r="B113" s="3" t="str">
        <f>新!A112</f>
        <v>Animal Crossing\Cards\Animal Crossing x Sanrio Series</v>
      </c>
      <c r="C113" s="3" t="str">
        <f>新!B112</f>
        <v>[AC] XS6 - Toby.bin</v>
      </c>
      <c r="D113" s="2" t="str">
        <f>IFERROR(INDEX(旧!A:A,MATCH(测试!A113,旧!E:E,0)),0)</f>
        <v>Animal Crossing\Cards - Animal Crossing x Sanrio Series</v>
      </c>
      <c r="E113" s="2" t="str">
        <f>IFERROR(INDEX(旧!B:B,MATCH(测试!A113,旧!E:E,0)),0)</f>
        <v>[AC] XS6 - Toby.bin</v>
      </c>
      <c r="F113" s="9">
        <f>IFERROR(IF(B113=INDEX(转换!B:B,MATCH(D113,转换!A:A,0)),0,1),1)</f>
        <v>0</v>
      </c>
      <c r="G113" s="9">
        <f t="shared" si="4"/>
        <v>0</v>
      </c>
      <c r="H113" s="9" t="str">
        <f t="shared" si="3"/>
        <v>-</v>
      </c>
    </row>
    <row r="114" spans="1:8" x14ac:dyDescent="0.3">
      <c r="A114" s="3" t="str">
        <f>新!E113</f>
        <v>CRC32:3FDD5E34</v>
      </c>
      <c r="B114" s="3" t="str">
        <f>新!A113</f>
        <v>Animal Crossing\Cards\Promo</v>
      </c>
      <c r="C114" s="3" t="str">
        <f>新!B113</f>
        <v>[AC] AF1 - Stitches (amiibo Festival).bin</v>
      </c>
      <c r="D114" s="2" t="str">
        <f>IFERROR(INDEX(旧!A:A,MATCH(测试!A114,旧!E:E,0)),0)</f>
        <v>Animal Crossing\Cards - Promo - Amiibo Festival</v>
      </c>
      <c r="E114" s="2" t="str">
        <f>IFERROR(INDEX(旧!B:B,MATCH(测试!A114,旧!E:E,0)),0)</f>
        <v>[AC] AF1 - Stitches.bin</v>
      </c>
      <c r="F114" s="9">
        <f>IFERROR(IF(B114=INDEX(转换!B:B,MATCH(D114,转换!A:A,0)),0,1),1)</f>
        <v>0</v>
      </c>
      <c r="G114" s="9">
        <f t="shared" si="4"/>
        <v>1</v>
      </c>
      <c r="H114" s="9" t="str">
        <f t="shared" si="3"/>
        <v>文件名错误</v>
      </c>
    </row>
    <row r="115" spans="1:8" x14ac:dyDescent="0.3">
      <c r="A115" s="3" t="str">
        <f>新!E114</f>
        <v>CRC32:E5D93B4C</v>
      </c>
      <c r="B115" s="3" t="str">
        <f>新!A114</f>
        <v>Animal Crossing\Cards\Promo</v>
      </c>
      <c r="C115" s="3" t="str">
        <f>新!B114</f>
        <v>[AC] AF2 - Rosie (amiibo Festival).bin</v>
      </c>
      <c r="D115" s="2" t="str">
        <f>IFERROR(INDEX(旧!A:A,MATCH(测试!A115,旧!E:E,0)),0)</f>
        <v>Animal Crossing\Cards - Promo - Amiibo Festival</v>
      </c>
      <c r="E115" s="2" t="str">
        <f>IFERROR(INDEX(旧!B:B,MATCH(测试!A115,旧!E:E,0)),0)</f>
        <v>[AC] AF2 - Rosie.bin</v>
      </c>
      <c r="F115" s="9">
        <f>IFERROR(IF(B115=INDEX(转换!B:B,MATCH(D115,转换!A:A,0)),0,1),1)</f>
        <v>0</v>
      </c>
      <c r="G115" s="9">
        <f t="shared" si="4"/>
        <v>1</v>
      </c>
      <c r="H115" s="9" t="str">
        <f t="shared" si="3"/>
        <v>文件名错误</v>
      </c>
    </row>
    <row r="116" spans="1:8" x14ac:dyDescent="0.3">
      <c r="A116" s="3" t="str">
        <f>新!E115</f>
        <v>CRC32:14B6B226</v>
      </c>
      <c r="B116" s="3" t="str">
        <f>新!A115</f>
        <v>Animal Crossing\Cards\Promo</v>
      </c>
      <c r="C116" s="3" t="str">
        <f>新!B115</f>
        <v>[AC] AF3 - Goldie (amiibo Festival).bin</v>
      </c>
      <c r="D116" s="2" t="str">
        <f>IFERROR(INDEX(旧!A:A,MATCH(测试!A116,旧!E:E,0)),0)</f>
        <v>Animal Crossing\Cards - Promo - Amiibo Festival</v>
      </c>
      <c r="E116" s="2" t="str">
        <f>IFERROR(INDEX(旧!B:B,MATCH(测试!A116,旧!E:E,0)),0)</f>
        <v>[AC] AF3 - Goldie.bin</v>
      </c>
      <c r="F116" s="9">
        <f>IFERROR(IF(B116=INDEX(转换!B:B,MATCH(D116,转换!A:A,0)),0,1),1)</f>
        <v>0</v>
      </c>
      <c r="G116" s="9">
        <f t="shared" si="4"/>
        <v>1</v>
      </c>
      <c r="H116" s="9" t="str">
        <f t="shared" si="3"/>
        <v>文件名错误</v>
      </c>
    </row>
    <row r="117" spans="1:8" x14ac:dyDescent="0.3">
      <c r="A117" s="3" t="str">
        <f>新!E116</f>
        <v>CRC32:F880D6C2</v>
      </c>
      <c r="B117" s="3" t="str">
        <f>新!A116</f>
        <v>Animal Crossing\Cards\Promo</v>
      </c>
      <c r="C117" s="3" t="str">
        <f>新!B116</f>
        <v>[AC] CP1 - Isabelle (Character Parfait).bin</v>
      </c>
      <c r="D117" s="2" t="str">
        <f>IFERROR(INDEX(旧!A:A,MATCH(测试!A117,旧!E:E,0)),0)</f>
        <v>Animal Crossing\Cards - Promo - Character Parfait</v>
      </c>
      <c r="E117" s="2" t="str">
        <f>IFERROR(INDEX(旧!B:B,MATCH(测试!A117,旧!E:E,0)),0)</f>
        <v>[AC] CP1 - Isabelle.bin</v>
      </c>
      <c r="F117" s="9">
        <f>IFERROR(IF(B117=INDEX(转换!B:B,MATCH(D117,转换!A:A,0)),0,1),1)</f>
        <v>0</v>
      </c>
      <c r="G117" s="9">
        <f t="shared" si="4"/>
        <v>1</v>
      </c>
      <c r="H117" s="9" t="str">
        <f t="shared" si="3"/>
        <v>文件名错误</v>
      </c>
    </row>
    <row r="118" spans="1:8" x14ac:dyDescent="0.3">
      <c r="A118" s="3" t="str">
        <f>新!E117</f>
        <v>CRC32:8F34FB80</v>
      </c>
      <c r="B118" s="3" t="str">
        <f>新!A117</f>
        <v>Animal Crossing\Cards\Promo</v>
      </c>
      <c r="C118" s="3" t="str">
        <f>新!B117</f>
        <v>[AC] CP2 - K.K. Slider (Pikopuri).bin</v>
      </c>
      <c r="D118" s="2" t="str">
        <f>IFERROR(INDEX(旧!A:A,MATCH(测试!A118,旧!E:E,0)),0)</f>
        <v>Animal Crossing\Cards - Promo - Character Parfait</v>
      </c>
      <c r="E118" s="2" t="str">
        <f>IFERROR(INDEX(旧!B:B,MATCH(测试!A118,旧!E:E,0)),0)</f>
        <v>[AC] CP2 - K.K. Slider.bin</v>
      </c>
      <c r="F118" s="9">
        <f>IFERROR(IF(B118=INDEX(转换!B:B,MATCH(D118,转换!A:A,0)),0,1),1)</f>
        <v>0</v>
      </c>
      <c r="G118" s="9">
        <f t="shared" si="4"/>
        <v>1</v>
      </c>
      <c r="H118" s="9" t="str">
        <f t="shared" si="3"/>
        <v>文件名错误</v>
      </c>
    </row>
    <row r="119" spans="1:8" x14ac:dyDescent="0.3">
      <c r="A119" s="3" t="str">
        <f>新!E118</f>
        <v>CRC32:2BDAAB9D</v>
      </c>
      <c r="B119" s="3" t="str">
        <f>新!A118</f>
        <v>Animal Crossing\Cards\Series 1</v>
      </c>
      <c r="C119" s="3" t="str">
        <f>新!B118</f>
        <v>[AC] 001 - Isabelle.bin</v>
      </c>
      <c r="D119" s="2" t="str">
        <f>IFERROR(INDEX(旧!A:A,MATCH(测试!A119,旧!E:E,0)),0)</f>
        <v>Animal Crossing\Cards - Series 1</v>
      </c>
      <c r="E119" s="2" t="str">
        <f>IFERROR(INDEX(旧!B:B,MATCH(测试!A119,旧!E:E,0)),0)</f>
        <v>[AC] 001 - Isabelle.bin</v>
      </c>
      <c r="F119" s="9">
        <f>IFERROR(IF(B119=INDEX(转换!B:B,MATCH(D119,转换!A:A,0)),0,1),1)</f>
        <v>0</v>
      </c>
      <c r="G119" s="9">
        <f t="shared" si="4"/>
        <v>0</v>
      </c>
      <c r="H119" s="9" t="str">
        <f t="shared" si="3"/>
        <v>-</v>
      </c>
    </row>
    <row r="120" spans="1:8" x14ac:dyDescent="0.3">
      <c r="A120" s="3" t="str">
        <f>新!E119</f>
        <v>CRC32:C1F36D5A</v>
      </c>
      <c r="B120" s="3" t="str">
        <f>新!A119</f>
        <v>Animal Crossing\Cards\Series 1</v>
      </c>
      <c r="C120" s="3" t="str">
        <f>新!B119</f>
        <v>[AC] 002 - Tom Nook.bin</v>
      </c>
      <c r="D120" s="2" t="str">
        <f>IFERROR(INDEX(旧!A:A,MATCH(测试!A120,旧!E:E,0)),0)</f>
        <v>Animal Crossing\Cards - Series 1</v>
      </c>
      <c r="E120" s="2" t="str">
        <f>IFERROR(INDEX(旧!B:B,MATCH(测试!A120,旧!E:E,0)),0)</f>
        <v>[AC] 002 - Tom Nook.bin</v>
      </c>
      <c r="F120" s="9">
        <f>IFERROR(IF(B120=INDEX(转换!B:B,MATCH(D120,转换!A:A,0)),0,1),1)</f>
        <v>0</v>
      </c>
      <c r="G120" s="9">
        <f t="shared" si="4"/>
        <v>0</v>
      </c>
      <c r="H120" s="9" t="str">
        <f t="shared" si="3"/>
        <v>-</v>
      </c>
    </row>
    <row r="121" spans="1:8" x14ac:dyDescent="0.3">
      <c r="A121" s="3" t="str">
        <f>新!E120</f>
        <v>CRC32:0D3AB56E</v>
      </c>
      <c r="B121" s="3" t="str">
        <f>新!A120</f>
        <v>Animal Crossing\Cards\Series 1</v>
      </c>
      <c r="C121" s="3" t="str">
        <f>新!B120</f>
        <v>[AC] 003 - DJ KK.bin</v>
      </c>
      <c r="D121" s="2" t="str">
        <f>IFERROR(INDEX(旧!A:A,MATCH(测试!A121,旧!E:E,0)),0)</f>
        <v>Animal Crossing\Cards - Series 1</v>
      </c>
      <c r="E121" s="2" t="str">
        <f>IFERROR(INDEX(旧!B:B,MATCH(测试!A121,旧!E:E,0)),0)</f>
        <v>[AC] 003 - DJ KK.bin</v>
      </c>
      <c r="F121" s="9">
        <f>IFERROR(IF(B121=INDEX(转换!B:B,MATCH(D121,转换!A:A,0)),0,1),1)</f>
        <v>0</v>
      </c>
      <c r="G121" s="9">
        <f t="shared" si="4"/>
        <v>0</v>
      </c>
      <c r="H121" s="9" t="str">
        <f t="shared" si="3"/>
        <v>-</v>
      </c>
    </row>
    <row r="122" spans="1:8" x14ac:dyDescent="0.3">
      <c r="A122" s="3" t="str">
        <f>新!E121</f>
        <v>CRC32:F8A35AF7</v>
      </c>
      <c r="B122" s="3" t="str">
        <f>新!A121</f>
        <v>Animal Crossing\Cards\Series 1</v>
      </c>
      <c r="C122" s="3" t="str">
        <f>新!B121</f>
        <v>[AC] 004 - Sable.bin</v>
      </c>
      <c r="D122" s="2" t="str">
        <f>IFERROR(INDEX(旧!A:A,MATCH(测试!A122,旧!E:E,0)),0)</f>
        <v>Animal Crossing\Cards - Series 1</v>
      </c>
      <c r="E122" s="2" t="str">
        <f>IFERROR(INDEX(旧!B:B,MATCH(测试!A122,旧!E:E,0)),0)</f>
        <v>[AC] 004 - Sable.bin</v>
      </c>
      <c r="F122" s="9">
        <f>IFERROR(IF(B122=INDEX(转换!B:B,MATCH(D122,转换!A:A,0)),0,1),1)</f>
        <v>0</v>
      </c>
      <c r="G122" s="9">
        <f t="shared" si="4"/>
        <v>0</v>
      </c>
      <c r="H122" s="9" t="str">
        <f t="shared" si="3"/>
        <v>-</v>
      </c>
    </row>
    <row r="123" spans="1:8" x14ac:dyDescent="0.3">
      <c r="A123" s="3" t="str">
        <f>新!E122</f>
        <v>CRC32:E94CD68A</v>
      </c>
      <c r="B123" s="3" t="str">
        <f>新!A122</f>
        <v>Animal Crossing\Cards\Series 1</v>
      </c>
      <c r="C123" s="3" t="str">
        <f>新!B122</f>
        <v>[AC] 005 - Kapp'n.bin</v>
      </c>
      <c r="D123" s="2" t="str">
        <f>IFERROR(INDEX(旧!A:A,MATCH(测试!A123,旧!E:E,0)),0)</f>
        <v>Animal Crossing\Cards - Series 1</v>
      </c>
      <c r="E123" s="2" t="str">
        <f>IFERROR(INDEX(旧!B:B,MATCH(测试!A123,旧!E:E,0)),0)</f>
        <v>[AC] 005 - Kapp'n.bin</v>
      </c>
      <c r="F123" s="9">
        <f>IFERROR(IF(B123=INDEX(转换!B:B,MATCH(D123,转换!A:A,0)),0,1),1)</f>
        <v>0</v>
      </c>
      <c r="G123" s="9">
        <f t="shared" si="4"/>
        <v>0</v>
      </c>
      <c r="H123" s="9" t="str">
        <f t="shared" si="3"/>
        <v>-</v>
      </c>
    </row>
    <row r="124" spans="1:8" x14ac:dyDescent="0.3">
      <c r="A124" s="3" t="str">
        <f>新!E123</f>
        <v>CRC32:25F7927F</v>
      </c>
      <c r="B124" s="3" t="str">
        <f>新!A123</f>
        <v>Animal Crossing\Cards\Series 1</v>
      </c>
      <c r="C124" s="3" t="str">
        <f>新!B123</f>
        <v>[AC] 006 - Resetti.bin</v>
      </c>
      <c r="D124" s="2" t="str">
        <f>IFERROR(INDEX(旧!A:A,MATCH(测试!A124,旧!E:E,0)),0)</f>
        <v>Animal Crossing\Cards - Series 1</v>
      </c>
      <c r="E124" s="2" t="str">
        <f>IFERROR(INDEX(旧!B:B,MATCH(测试!A124,旧!E:E,0)),0)</f>
        <v>[AC] 006 - Resetti.bin</v>
      </c>
      <c r="F124" s="9">
        <f>IFERROR(IF(B124=INDEX(转换!B:B,MATCH(D124,转换!A:A,0)),0,1),1)</f>
        <v>0</v>
      </c>
      <c r="G124" s="9">
        <f t="shared" si="4"/>
        <v>0</v>
      </c>
      <c r="H124" s="9" t="str">
        <f t="shared" si="3"/>
        <v>-</v>
      </c>
    </row>
    <row r="125" spans="1:8" x14ac:dyDescent="0.3">
      <c r="A125" s="3" t="str">
        <f>新!E124</f>
        <v>CRC32:BF2B400A</v>
      </c>
      <c r="B125" s="3" t="str">
        <f>新!A124</f>
        <v>Animal Crossing\Cards\Series 1</v>
      </c>
      <c r="C125" s="3" t="str">
        <f>新!B124</f>
        <v>[AC] 007 - Joan.bin</v>
      </c>
      <c r="D125" s="2" t="str">
        <f>IFERROR(INDEX(旧!A:A,MATCH(测试!A125,旧!E:E,0)),0)</f>
        <v>Animal Crossing\Cards - Series 1</v>
      </c>
      <c r="E125" s="2" t="str">
        <f>IFERROR(INDEX(旧!B:B,MATCH(测试!A125,旧!E:E,0)),0)</f>
        <v>[AC] 007 - Joan.bin</v>
      </c>
      <c r="F125" s="9">
        <f>IFERROR(IF(B125=INDEX(转换!B:B,MATCH(D125,转换!A:A,0)),0,1),1)</f>
        <v>0</v>
      </c>
      <c r="G125" s="9">
        <f t="shared" si="4"/>
        <v>0</v>
      </c>
      <c r="H125" s="9" t="str">
        <f t="shared" si="3"/>
        <v>-</v>
      </c>
    </row>
    <row r="126" spans="1:8" x14ac:dyDescent="0.3">
      <c r="A126" s="3" t="str">
        <f>新!E125</f>
        <v>CRC32:4D845F95</v>
      </c>
      <c r="B126" s="3" t="str">
        <f>新!A125</f>
        <v>Animal Crossing\Cards\Series 1</v>
      </c>
      <c r="C126" s="3" t="str">
        <f>新!B125</f>
        <v>[AC] 008 - Timmy.bin</v>
      </c>
      <c r="D126" s="2" t="str">
        <f>IFERROR(INDEX(旧!A:A,MATCH(测试!A126,旧!E:E,0)),0)</f>
        <v>Animal Crossing\Cards - Series 1</v>
      </c>
      <c r="E126" s="2" t="str">
        <f>IFERROR(INDEX(旧!B:B,MATCH(测试!A126,旧!E:E,0)),0)</f>
        <v>[AC] 008 - Timmy.bin</v>
      </c>
      <c r="F126" s="9">
        <f>IFERROR(IF(B126=INDEX(转换!B:B,MATCH(D126,转换!A:A,0)),0,1),1)</f>
        <v>0</v>
      </c>
      <c r="G126" s="9">
        <f t="shared" si="4"/>
        <v>0</v>
      </c>
      <c r="H126" s="9" t="str">
        <f t="shared" si="3"/>
        <v>-</v>
      </c>
    </row>
    <row r="127" spans="1:8" x14ac:dyDescent="0.3">
      <c r="A127" s="3" t="str">
        <f>新!E126</f>
        <v>CRC32:29166DCD</v>
      </c>
      <c r="B127" s="3" t="str">
        <f>新!A126</f>
        <v>Animal Crossing\Cards\Series 1</v>
      </c>
      <c r="C127" s="3" t="str">
        <f>新!B126</f>
        <v>[AC] 009 - Digby.bin</v>
      </c>
      <c r="D127" s="2" t="str">
        <f>IFERROR(INDEX(旧!A:A,MATCH(测试!A127,旧!E:E,0)),0)</f>
        <v>Animal Crossing\Cards - Series 1</v>
      </c>
      <c r="E127" s="2" t="str">
        <f>IFERROR(INDEX(旧!B:B,MATCH(测试!A127,旧!E:E,0)),0)</f>
        <v>[AC] 009 - Digby.bin</v>
      </c>
      <c r="F127" s="9">
        <f>IFERROR(IF(B127=INDEX(转换!B:B,MATCH(D127,转换!A:A,0)),0,1),1)</f>
        <v>0</v>
      </c>
      <c r="G127" s="9">
        <f t="shared" si="4"/>
        <v>0</v>
      </c>
      <c r="H127" s="9" t="str">
        <f t="shared" si="3"/>
        <v>-</v>
      </c>
    </row>
    <row r="128" spans="1:8" x14ac:dyDescent="0.3">
      <c r="A128" s="3" t="str">
        <f>新!E127</f>
        <v>CRC32:3C5B6BAB</v>
      </c>
      <c r="B128" s="3" t="str">
        <f>新!A127</f>
        <v>Animal Crossing\Cards\Series 1</v>
      </c>
      <c r="C128" s="3" t="str">
        <f>新!B127</f>
        <v>[AC] 010 - Pascal.bin</v>
      </c>
      <c r="D128" s="2" t="str">
        <f>IFERROR(INDEX(旧!A:A,MATCH(测试!A128,旧!E:E,0)),0)</f>
        <v>Animal Crossing\Cards - Series 1</v>
      </c>
      <c r="E128" s="2" t="str">
        <f>IFERROR(INDEX(旧!B:B,MATCH(测试!A128,旧!E:E,0)),0)</f>
        <v>[AC] 010 - Pascal.bin</v>
      </c>
      <c r="F128" s="9">
        <f>IFERROR(IF(B128=INDEX(转换!B:B,MATCH(D128,转换!A:A,0)),0,1),1)</f>
        <v>0</v>
      </c>
      <c r="G128" s="9">
        <f t="shared" si="4"/>
        <v>0</v>
      </c>
      <c r="H128" s="9" t="str">
        <f t="shared" si="3"/>
        <v>-</v>
      </c>
    </row>
    <row r="129" spans="1:8" x14ac:dyDescent="0.3">
      <c r="A129" s="3" t="str">
        <f>新!E128</f>
        <v>CRC32:BC422D48</v>
      </c>
      <c r="B129" s="3" t="str">
        <f>新!A128</f>
        <v>Animal Crossing\Cards\Series 1</v>
      </c>
      <c r="C129" s="3" t="str">
        <f>新!B128</f>
        <v>[AC] 011 - Harriet.bin</v>
      </c>
      <c r="D129" s="2" t="str">
        <f>IFERROR(INDEX(旧!A:A,MATCH(测试!A129,旧!E:E,0)),0)</f>
        <v>Animal Crossing\Cards - Series 1</v>
      </c>
      <c r="E129" s="2" t="str">
        <f>IFERROR(INDEX(旧!B:B,MATCH(测试!A129,旧!E:E,0)),0)</f>
        <v>[AC] 011 - Harriet.bin</v>
      </c>
      <c r="F129" s="9">
        <f>IFERROR(IF(B129=INDEX(转换!B:B,MATCH(D129,转换!A:A,0)),0,1),1)</f>
        <v>0</v>
      </c>
      <c r="G129" s="9">
        <f t="shared" si="4"/>
        <v>0</v>
      </c>
      <c r="H129" s="9" t="str">
        <f t="shared" si="3"/>
        <v>-</v>
      </c>
    </row>
    <row r="130" spans="1:8" x14ac:dyDescent="0.3">
      <c r="A130" s="3" t="str">
        <f>新!E129</f>
        <v>CRC32:FB20F015</v>
      </c>
      <c r="B130" s="3" t="str">
        <f>新!A129</f>
        <v>Animal Crossing\Cards\Series 1</v>
      </c>
      <c r="C130" s="3" t="str">
        <f>新!B129</f>
        <v>[AC] 012 - Redd.bin</v>
      </c>
      <c r="D130" s="2" t="str">
        <f>IFERROR(INDEX(旧!A:A,MATCH(测试!A130,旧!E:E,0)),0)</f>
        <v>Animal Crossing\Cards - Series 1</v>
      </c>
      <c r="E130" s="2" t="str">
        <f>IFERROR(INDEX(旧!B:B,MATCH(测试!A130,旧!E:E,0)),0)</f>
        <v>[AC] 012 - Redd.bin</v>
      </c>
      <c r="F130" s="9">
        <f>IFERROR(IF(B130=INDEX(转换!B:B,MATCH(D130,转换!A:A,0)),0,1),1)</f>
        <v>0</v>
      </c>
      <c r="G130" s="9">
        <f t="shared" si="4"/>
        <v>0</v>
      </c>
      <c r="H130" s="9" t="str">
        <f t="shared" si="3"/>
        <v>-</v>
      </c>
    </row>
    <row r="131" spans="1:8" x14ac:dyDescent="0.3">
      <c r="A131" s="3" t="str">
        <f>新!E130</f>
        <v>CRC32:063DDDCF</v>
      </c>
      <c r="B131" s="3" t="str">
        <f>新!A130</f>
        <v>Animal Crossing\Cards\Series 1</v>
      </c>
      <c r="C131" s="3" t="str">
        <f>新!B130</f>
        <v>[AC] 013 - Saharah.bin</v>
      </c>
      <c r="D131" s="2" t="str">
        <f>IFERROR(INDEX(旧!A:A,MATCH(测试!A131,旧!E:E,0)),0)</f>
        <v>Animal Crossing\Cards - Series 1</v>
      </c>
      <c r="E131" s="2" t="str">
        <f>IFERROR(INDEX(旧!B:B,MATCH(测试!A131,旧!E:E,0)),0)</f>
        <v>[AC] 013 - Saharah.bin</v>
      </c>
      <c r="F131" s="9">
        <f>IFERROR(IF(B131=INDEX(转换!B:B,MATCH(D131,转换!A:A,0)),0,1),1)</f>
        <v>0</v>
      </c>
      <c r="G131" s="9">
        <f t="shared" si="4"/>
        <v>0</v>
      </c>
      <c r="H131" s="9" t="str">
        <f t="shared" si="3"/>
        <v>-</v>
      </c>
    </row>
    <row r="132" spans="1:8" x14ac:dyDescent="0.3">
      <c r="A132" s="3" t="str">
        <f>新!E131</f>
        <v>CRC32:76306784</v>
      </c>
      <c r="B132" s="3" t="str">
        <f>新!A131</f>
        <v>Animal Crossing\Cards\Series 1</v>
      </c>
      <c r="C132" s="3" t="str">
        <f>新!B131</f>
        <v>[AC] 014 - Luna.bin</v>
      </c>
      <c r="D132" s="2" t="str">
        <f>IFERROR(INDEX(旧!A:A,MATCH(测试!A132,旧!E:E,0)),0)</f>
        <v>Animal Crossing\Cards - Series 1</v>
      </c>
      <c r="E132" s="2" t="str">
        <f>IFERROR(INDEX(旧!B:B,MATCH(测试!A132,旧!E:E,0)),0)</f>
        <v>[AC] 014 - Luna.bin</v>
      </c>
      <c r="F132" s="9">
        <f>IFERROR(IF(B132=INDEX(转换!B:B,MATCH(D132,转换!A:A,0)),0,1),1)</f>
        <v>0</v>
      </c>
      <c r="G132" s="9">
        <f t="shared" si="4"/>
        <v>0</v>
      </c>
      <c r="H132" s="9" t="str">
        <f t="shared" ref="H132:H195" si="5">_xlfn.IFS(F132+G132=0,"-",F132+G132=1,"文件名错误",F132+G132=2,"无此文件")</f>
        <v>-</v>
      </c>
    </row>
    <row r="133" spans="1:8" x14ac:dyDescent="0.3">
      <c r="A133" s="3" t="str">
        <f>新!E132</f>
        <v>CRC32:040CF16D</v>
      </c>
      <c r="B133" s="3" t="str">
        <f>新!A132</f>
        <v>Animal Crossing\Cards\Series 1</v>
      </c>
      <c r="C133" s="3" t="str">
        <f>新!B132</f>
        <v>[AC] 015 - Tortimer.bin</v>
      </c>
      <c r="D133" s="2" t="str">
        <f>IFERROR(INDEX(旧!A:A,MATCH(测试!A133,旧!E:E,0)),0)</f>
        <v>Animal Crossing\Cards - Series 1</v>
      </c>
      <c r="E133" s="2" t="str">
        <f>IFERROR(INDEX(旧!B:B,MATCH(测试!A133,旧!E:E,0)),0)</f>
        <v>[AC] 015 - Tortimer.bin</v>
      </c>
      <c r="F133" s="9">
        <f>IFERROR(IF(B133=INDEX(转换!B:B,MATCH(D133,转换!A:A,0)),0,1),1)</f>
        <v>0</v>
      </c>
      <c r="G133" s="9">
        <f t="shared" si="4"/>
        <v>0</v>
      </c>
      <c r="H133" s="9" t="str">
        <f t="shared" si="5"/>
        <v>-</v>
      </c>
    </row>
    <row r="134" spans="1:8" x14ac:dyDescent="0.3">
      <c r="A134" s="3" t="str">
        <f>新!E133</f>
        <v>CRC32:6C60EC88</v>
      </c>
      <c r="B134" s="3" t="str">
        <f>新!A133</f>
        <v>Animal Crossing\Cards\Series 1</v>
      </c>
      <c r="C134" s="3" t="str">
        <f>新!B133</f>
        <v>[AC] 016 - Lyle.bin</v>
      </c>
      <c r="D134" s="2" t="str">
        <f>IFERROR(INDEX(旧!A:A,MATCH(测试!A134,旧!E:E,0)),0)</f>
        <v>Animal Crossing\Cards - Series 1</v>
      </c>
      <c r="E134" s="2" t="str">
        <f>IFERROR(INDEX(旧!B:B,MATCH(测试!A134,旧!E:E,0)),0)</f>
        <v>[AC] 016 - Lyle.bin</v>
      </c>
      <c r="F134" s="9">
        <f>IFERROR(IF(B134=INDEX(转换!B:B,MATCH(D134,转换!A:A,0)),0,1),1)</f>
        <v>0</v>
      </c>
      <c r="G134" s="9">
        <f t="shared" si="4"/>
        <v>0</v>
      </c>
      <c r="H134" s="9" t="str">
        <f t="shared" si="5"/>
        <v>-</v>
      </c>
    </row>
    <row r="135" spans="1:8" x14ac:dyDescent="0.3">
      <c r="A135" s="3" t="str">
        <f>新!E134</f>
        <v>CRC32:45DFDD83</v>
      </c>
      <c r="B135" s="3" t="str">
        <f>新!A134</f>
        <v>Animal Crossing\Cards\Series 1</v>
      </c>
      <c r="C135" s="3" t="str">
        <f>新!B134</f>
        <v>[AC] 017 - Lottie.bin</v>
      </c>
      <c r="D135" s="2" t="str">
        <f>IFERROR(INDEX(旧!A:A,MATCH(测试!A135,旧!E:E,0)),0)</f>
        <v>Animal Crossing\Cards - Series 1</v>
      </c>
      <c r="E135" s="2" t="str">
        <f>IFERROR(INDEX(旧!B:B,MATCH(测试!A135,旧!E:E,0)),0)</f>
        <v>[AC] 017 - Lottie.bin</v>
      </c>
      <c r="F135" s="9">
        <f>IFERROR(IF(B135=INDEX(转换!B:B,MATCH(D135,转换!A:A,0)),0,1),1)</f>
        <v>0</v>
      </c>
      <c r="G135" s="9">
        <f t="shared" si="4"/>
        <v>0</v>
      </c>
      <c r="H135" s="9" t="str">
        <f t="shared" si="5"/>
        <v>-</v>
      </c>
    </row>
    <row r="136" spans="1:8" x14ac:dyDescent="0.3">
      <c r="A136" s="3" t="str">
        <f>新!E135</f>
        <v>CRC32:8078E351</v>
      </c>
      <c r="B136" s="3" t="str">
        <f>新!A135</f>
        <v>Animal Crossing\Cards\Series 1</v>
      </c>
      <c r="C136" s="3" t="str">
        <f>新!B135</f>
        <v>[AC] 018 - Bob.bin</v>
      </c>
      <c r="D136" s="2" t="str">
        <f>IFERROR(INDEX(旧!A:A,MATCH(测试!A136,旧!E:E,0)),0)</f>
        <v>Animal Crossing\Cards - Series 1</v>
      </c>
      <c r="E136" s="2" t="str">
        <f>IFERROR(INDEX(旧!B:B,MATCH(测试!A136,旧!E:E,0)),0)</f>
        <v>[AC] 018 - Bob.bin</v>
      </c>
      <c r="F136" s="9">
        <f>IFERROR(IF(B136=INDEX(转换!B:B,MATCH(D136,转换!A:A,0)),0,1),1)</f>
        <v>0</v>
      </c>
      <c r="G136" s="9">
        <f t="shared" si="4"/>
        <v>0</v>
      </c>
      <c r="H136" s="9" t="str">
        <f t="shared" si="5"/>
        <v>-</v>
      </c>
    </row>
    <row r="137" spans="1:8" x14ac:dyDescent="0.3">
      <c r="A137" s="3" t="str">
        <f>新!E136</f>
        <v>CRC32:114463BE</v>
      </c>
      <c r="B137" s="3" t="str">
        <f>新!A136</f>
        <v>Animal Crossing\Cards\Series 1</v>
      </c>
      <c r="C137" s="3" t="str">
        <f>新!B136</f>
        <v>[AC] 019 - Fauna.bin</v>
      </c>
      <c r="D137" s="2" t="str">
        <f>IFERROR(INDEX(旧!A:A,MATCH(测试!A137,旧!E:E,0)),0)</f>
        <v>Animal Crossing\Cards - Series 1</v>
      </c>
      <c r="E137" s="2" t="str">
        <f>IFERROR(INDEX(旧!B:B,MATCH(测试!A137,旧!E:E,0)),0)</f>
        <v>[AC] 019 - Fauna.bin</v>
      </c>
      <c r="F137" s="9">
        <f>IFERROR(IF(B137=INDEX(转换!B:B,MATCH(D137,转换!A:A,0)),0,1),1)</f>
        <v>0</v>
      </c>
      <c r="G137" s="9">
        <f t="shared" si="4"/>
        <v>0</v>
      </c>
      <c r="H137" s="9" t="str">
        <f t="shared" si="5"/>
        <v>-</v>
      </c>
    </row>
    <row r="138" spans="1:8" x14ac:dyDescent="0.3">
      <c r="A138" s="3" t="str">
        <f>新!E137</f>
        <v>CRC32:DE3651C4</v>
      </c>
      <c r="B138" s="3" t="str">
        <f>新!A137</f>
        <v>Animal Crossing\Cards\Series 1</v>
      </c>
      <c r="C138" s="3" t="str">
        <f>新!B137</f>
        <v>[AC] 020 - Curt.bin</v>
      </c>
      <c r="D138" s="2" t="str">
        <f>IFERROR(INDEX(旧!A:A,MATCH(测试!A138,旧!E:E,0)),0)</f>
        <v>Animal Crossing\Cards - Series 1</v>
      </c>
      <c r="E138" s="2" t="str">
        <f>IFERROR(INDEX(旧!B:B,MATCH(测试!A138,旧!E:E,0)),0)</f>
        <v>[AC] 020 - Curt.bin</v>
      </c>
      <c r="F138" s="9">
        <f>IFERROR(IF(B138=INDEX(转换!B:B,MATCH(D138,转换!A:A,0)),0,1),1)</f>
        <v>0</v>
      </c>
      <c r="G138" s="9">
        <f t="shared" si="4"/>
        <v>0</v>
      </c>
      <c r="H138" s="9" t="str">
        <f t="shared" si="5"/>
        <v>-</v>
      </c>
    </row>
    <row r="139" spans="1:8" x14ac:dyDescent="0.3">
      <c r="A139" s="3" t="str">
        <f>新!E138</f>
        <v>CRC32:A50DE921</v>
      </c>
      <c r="B139" s="3" t="str">
        <f>新!A138</f>
        <v>Animal Crossing\Cards\Series 1</v>
      </c>
      <c r="C139" s="3" t="str">
        <f>新!B138</f>
        <v>[AC] 021 - Portia.bin</v>
      </c>
      <c r="D139" s="2" t="str">
        <f>IFERROR(INDEX(旧!A:A,MATCH(测试!A139,旧!E:E,0)),0)</f>
        <v>Animal Crossing\Cards - Series 1</v>
      </c>
      <c r="E139" s="2" t="str">
        <f>IFERROR(INDEX(旧!B:B,MATCH(测试!A139,旧!E:E,0)),0)</f>
        <v>[AC] 021 - Portia.bin</v>
      </c>
      <c r="F139" s="9">
        <f>IFERROR(IF(B139=INDEX(转换!B:B,MATCH(D139,转换!A:A,0)),0,1),1)</f>
        <v>0</v>
      </c>
      <c r="G139" s="9">
        <f t="shared" si="4"/>
        <v>0</v>
      </c>
      <c r="H139" s="9" t="str">
        <f t="shared" si="5"/>
        <v>-</v>
      </c>
    </row>
    <row r="140" spans="1:8" x14ac:dyDescent="0.3">
      <c r="A140" s="3" t="str">
        <f>新!E139</f>
        <v>CRC32:70307BE2</v>
      </c>
      <c r="B140" s="3" t="str">
        <f>新!A139</f>
        <v>Animal Crossing\Cards\Series 1</v>
      </c>
      <c r="C140" s="3" t="str">
        <f>新!B139</f>
        <v>[AC] 022 - Leonardo.bin</v>
      </c>
      <c r="D140" s="2" t="str">
        <f>IFERROR(INDEX(旧!A:A,MATCH(测试!A140,旧!E:E,0)),0)</f>
        <v>Animal Crossing\Cards - Series 1</v>
      </c>
      <c r="E140" s="2" t="str">
        <f>IFERROR(INDEX(旧!B:B,MATCH(测试!A140,旧!E:E,0)),0)</f>
        <v>[AC] 022 - Leonardo.bin</v>
      </c>
      <c r="F140" s="9">
        <f>IFERROR(IF(B140=INDEX(转换!B:B,MATCH(D140,转换!A:A,0)),0,1),1)</f>
        <v>0</v>
      </c>
      <c r="G140" s="9">
        <f t="shared" si="4"/>
        <v>0</v>
      </c>
      <c r="H140" s="9" t="str">
        <f t="shared" si="5"/>
        <v>-</v>
      </c>
    </row>
    <row r="141" spans="1:8" x14ac:dyDescent="0.3">
      <c r="A141" s="3" t="str">
        <f>新!E140</f>
        <v>CRC32:4180F689</v>
      </c>
      <c r="B141" s="3" t="str">
        <f>新!A140</f>
        <v>Animal Crossing\Cards\Series 1</v>
      </c>
      <c r="C141" s="3" t="str">
        <f>新!B140</f>
        <v>[AC] 023 - Cheri.bin</v>
      </c>
      <c r="D141" s="2" t="str">
        <f>IFERROR(INDEX(旧!A:A,MATCH(测试!A141,旧!E:E,0)),0)</f>
        <v>Animal Crossing\Cards - Series 1</v>
      </c>
      <c r="E141" s="2" t="str">
        <f>IFERROR(INDEX(旧!B:B,MATCH(测试!A141,旧!E:E,0)),0)</f>
        <v>[AC] 023 - Cheri.bin</v>
      </c>
      <c r="F141" s="9">
        <f>IFERROR(IF(B141=INDEX(转换!B:B,MATCH(D141,转换!A:A,0)),0,1),1)</f>
        <v>0</v>
      </c>
      <c r="G141" s="9">
        <f t="shared" si="4"/>
        <v>0</v>
      </c>
      <c r="H141" s="9" t="str">
        <f t="shared" si="5"/>
        <v>-</v>
      </c>
    </row>
    <row r="142" spans="1:8" x14ac:dyDescent="0.3">
      <c r="A142" s="3" t="str">
        <f>新!E141</f>
        <v>CRC32:6D903DE1</v>
      </c>
      <c r="B142" s="3" t="str">
        <f>新!A141</f>
        <v>Animal Crossing\Cards\Series 1</v>
      </c>
      <c r="C142" s="3" t="str">
        <f>新!B141</f>
        <v>[AC] 024 - Kyle.bin</v>
      </c>
      <c r="D142" s="2" t="str">
        <f>IFERROR(INDEX(旧!A:A,MATCH(测试!A142,旧!E:E,0)),0)</f>
        <v>Animal Crossing\Cards - Series 1</v>
      </c>
      <c r="E142" s="2" t="str">
        <f>IFERROR(INDEX(旧!B:B,MATCH(测试!A142,旧!E:E,0)),0)</f>
        <v>[AC] 024 - Kyle.bin</v>
      </c>
      <c r="F142" s="9">
        <f>IFERROR(IF(B142=INDEX(转换!B:B,MATCH(D142,转换!A:A,0)),0,1),1)</f>
        <v>0</v>
      </c>
      <c r="G142" s="9">
        <f t="shared" si="4"/>
        <v>0</v>
      </c>
      <c r="H142" s="9" t="str">
        <f t="shared" si="5"/>
        <v>-</v>
      </c>
    </row>
    <row r="143" spans="1:8" x14ac:dyDescent="0.3">
      <c r="A143" s="3" t="str">
        <f>新!E142</f>
        <v>CRC32:9CA527C4</v>
      </c>
      <c r="B143" s="3" t="str">
        <f>新!A142</f>
        <v>Animal Crossing\Cards\Series 1</v>
      </c>
      <c r="C143" s="3" t="str">
        <f>新!B142</f>
        <v>[AC] 025 - Al.bin</v>
      </c>
      <c r="D143" s="2" t="str">
        <f>IFERROR(INDEX(旧!A:A,MATCH(测试!A143,旧!E:E,0)),0)</f>
        <v>Animal Crossing\Cards - Series 1</v>
      </c>
      <c r="E143" s="2" t="str">
        <f>IFERROR(INDEX(旧!B:B,MATCH(测试!A143,旧!E:E,0)),0)</f>
        <v>[AC] 025 - Al.bin</v>
      </c>
      <c r="F143" s="9">
        <f>IFERROR(IF(B143=INDEX(转换!B:B,MATCH(D143,转换!A:A,0)),0,1),1)</f>
        <v>0</v>
      </c>
      <c r="G143" s="9">
        <f t="shared" si="4"/>
        <v>0</v>
      </c>
      <c r="H143" s="9" t="str">
        <f t="shared" si="5"/>
        <v>-</v>
      </c>
    </row>
    <row r="144" spans="1:8" x14ac:dyDescent="0.3">
      <c r="A144" s="3" t="str">
        <f>新!E143</f>
        <v>CRC32:CFA3A338</v>
      </c>
      <c r="B144" s="3" t="str">
        <f>新!A143</f>
        <v>Animal Crossing\Cards\Series 1</v>
      </c>
      <c r="C144" s="3" t="str">
        <f>新!B143</f>
        <v>[AC] 026 - Renée.bin</v>
      </c>
      <c r="D144" s="2" t="str">
        <f>IFERROR(INDEX(旧!A:A,MATCH(测试!A144,旧!E:E,0)),0)</f>
        <v>Animal Crossing\Cards - Series 1</v>
      </c>
      <c r="E144" s="2" t="str">
        <f>IFERROR(INDEX(旧!B:B,MATCH(测试!A144,旧!E:E,0)),0)</f>
        <v>[AC] 026 - Renee.bin</v>
      </c>
      <c r="F144" s="9">
        <f>IFERROR(IF(B144=INDEX(转换!B:B,MATCH(D144,转换!A:A,0)),0,1),1)</f>
        <v>0</v>
      </c>
      <c r="G144" s="9">
        <f t="shared" si="4"/>
        <v>1</v>
      </c>
      <c r="H144" s="9" t="str">
        <f t="shared" si="5"/>
        <v>文件名错误</v>
      </c>
    </row>
    <row r="145" spans="1:8" x14ac:dyDescent="0.3">
      <c r="A145" s="3" t="str">
        <f>新!E144</f>
        <v>CRC32:3DF36839</v>
      </c>
      <c r="B145" s="3" t="str">
        <f>新!A144</f>
        <v>Animal Crossing\Cards\Series 1</v>
      </c>
      <c r="C145" s="3" t="str">
        <f>新!B144</f>
        <v>[AC] 027 - Lopez.bin</v>
      </c>
      <c r="D145" s="2" t="str">
        <f>IFERROR(INDEX(旧!A:A,MATCH(测试!A145,旧!E:E,0)),0)</f>
        <v>Animal Crossing\Cards - Series 1</v>
      </c>
      <c r="E145" s="2" t="str">
        <f>IFERROR(INDEX(旧!B:B,MATCH(测试!A145,旧!E:E,0)),0)</f>
        <v>[AC] 027 - Lopez.bin</v>
      </c>
      <c r="F145" s="9">
        <f>IFERROR(IF(B145=INDEX(转换!B:B,MATCH(D145,转换!A:A,0)),0,1),1)</f>
        <v>0</v>
      </c>
      <c r="G145" s="9">
        <f t="shared" si="4"/>
        <v>0</v>
      </c>
      <c r="H145" s="9" t="str">
        <f t="shared" si="5"/>
        <v>-</v>
      </c>
    </row>
    <row r="146" spans="1:8" x14ac:dyDescent="0.3">
      <c r="A146" s="3" t="str">
        <f>新!E145</f>
        <v>CRC32:DDAF0E03</v>
      </c>
      <c r="B146" s="3" t="str">
        <f>新!A145</f>
        <v>Animal Crossing\Cards\Series 1</v>
      </c>
      <c r="C146" s="3" t="str">
        <f>新!B145</f>
        <v>[AC] 028 - Jambette.bin</v>
      </c>
      <c r="D146" s="2" t="str">
        <f>IFERROR(INDEX(旧!A:A,MATCH(测试!A146,旧!E:E,0)),0)</f>
        <v>Animal Crossing\Cards - Series 1</v>
      </c>
      <c r="E146" s="2" t="str">
        <f>IFERROR(INDEX(旧!B:B,MATCH(测试!A146,旧!E:E,0)),0)</f>
        <v>[AC] 028 - Jambette.bin</v>
      </c>
      <c r="F146" s="9">
        <f>IFERROR(IF(B146=INDEX(转换!B:B,MATCH(D146,转换!A:A,0)),0,1),1)</f>
        <v>0</v>
      </c>
      <c r="G146" s="9">
        <f t="shared" si="4"/>
        <v>0</v>
      </c>
      <c r="H146" s="9" t="str">
        <f t="shared" si="5"/>
        <v>-</v>
      </c>
    </row>
    <row r="147" spans="1:8" x14ac:dyDescent="0.3">
      <c r="A147" s="3" t="str">
        <f>新!E146</f>
        <v>CRC32:C9D5DBE2</v>
      </c>
      <c r="B147" s="3" t="str">
        <f>新!A146</f>
        <v>Animal Crossing\Cards\Series 1</v>
      </c>
      <c r="C147" s="3" t="str">
        <f>新!B146</f>
        <v>[AC] 029 - Rasher.bin</v>
      </c>
      <c r="D147" s="2" t="str">
        <f>IFERROR(INDEX(旧!A:A,MATCH(测试!A147,旧!E:E,0)),0)</f>
        <v>Animal Crossing\Cards - Series 1</v>
      </c>
      <c r="E147" s="2" t="str">
        <f>IFERROR(INDEX(旧!B:B,MATCH(测试!A147,旧!E:E,0)),0)</f>
        <v>[AC] 029 - Rasher.bin</v>
      </c>
      <c r="F147" s="9">
        <f>IFERROR(IF(B147=INDEX(转换!B:B,MATCH(D147,转换!A:A,0)),0,1),1)</f>
        <v>0</v>
      </c>
      <c r="G147" s="9">
        <f t="shared" si="4"/>
        <v>0</v>
      </c>
      <c r="H147" s="9" t="str">
        <f t="shared" si="5"/>
        <v>-</v>
      </c>
    </row>
    <row r="148" spans="1:8" x14ac:dyDescent="0.3">
      <c r="A148" s="3" t="str">
        <f>新!E147</f>
        <v>CRC32:C17F6788</v>
      </c>
      <c r="B148" s="3" t="str">
        <f>新!A147</f>
        <v>Animal Crossing\Cards\Series 1</v>
      </c>
      <c r="C148" s="3" t="str">
        <f>新!B147</f>
        <v>[AC] 030 - Tiffany.bin</v>
      </c>
      <c r="D148" s="2" t="str">
        <f>IFERROR(INDEX(旧!A:A,MATCH(测试!A148,旧!E:E,0)),0)</f>
        <v>Animal Crossing\Cards - Series 1</v>
      </c>
      <c r="E148" s="2" t="str">
        <f>IFERROR(INDEX(旧!B:B,MATCH(测试!A148,旧!E:E,0)),0)</f>
        <v>[AC] 030 - Tiffany.bin</v>
      </c>
      <c r="F148" s="9">
        <f>IFERROR(IF(B148=INDEX(转换!B:B,MATCH(D148,转换!A:A,0)),0,1),1)</f>
        <v>0</v>
      </c>
      <c r="G148" s="9">
        <f t="shared" si="4"/>
        <v>0</v>
      </c>
      <c r="H148" s="9" t="str">
        <f t="shared" si="5"/>
        <v>-</v>
      </c>
    </row>
    <row r="149" spans="1:8" x14ac:dyDescent="0.3">
      <c r="A149" s="3" t="str">
        <f>新!E148</f>
        <v>CRC32:4E9563A2</v>
      </c>
      <c r="B149" s="3" t="str">
        <f>新!A148</f>
        <v>Animal Crossing\Cards\Series 1</v>
      </c>
      <c r="C149" s="3" t="str">
        <f>新!B148</f>
        <v>[AC] 031 - Sheldon.bin</v>
      </c>
      <c r="D149" s="2" t="str">
        <f>IFERROR(INDEX(旧!A:A,MATCH(测试!A149,旧!E:E,0)),0)</f>
        <v>Animal Crossing\Cards - Series 1</v>
      </c>
      <c r="E149" s="2" t="str">
        <f>IFERROR(INDEX(旧!B:B,MATCH(测试!A149,旧!E:E,0)),0)</f>
        <v>[AC] 031 - Sheldon.bin</v>
      </c>
      <c r="F149" s="9">
        <f>IFERROR(IF(B149=INDEX(转换!B:B,MATCH(D149,转换!A:A,0)),0,1),1)</f>
        <v>0</v>
      </c>
      <c r="G149" s="9">
        <f t="shared" si="4"/>
        <v>0</v>
      </c>
      <c r="H149" s="9" t="str">
        <f t="shared" si="5"/>
        <v>-</v>
      </c>
    </row>
    <row r="150" spans="1:8" x14ac:dyDescent="0.3">
      <c r="A150" s="3" t="str">
        <f>新!E149</f>
        <v>CRC32:28C7BA57</v>
      </c>
      <c r="B150" s="3" t="str">
        <f>新!A149</f>
        <v>Animal Crossing\Cards\Series 1</v>
      </c>
      <c r="C150" s="3" t="str">
        <f>新!B149</f>
        <v>[AC] 032 - Bluebear.bin</v>
      </c>
      <c r="D150" s="2" t="str">
        <f>IFERROR(INDEX(旧!A:A,MATCH(测试!A150,旧!E:E,0)),0)</f>
        <v>Animal Crossing\Cards - Series 1</v>
      </c>
      <c r="E150" s="2" t="str">
        <f>IFERROR(INDEX(旧!B:B,MATCH(测试!A150,旧!E:E,0)),0)</f>
        <v>[AC] 032 - Bluebear.bin</v>
      </c>
      <c r="F150" s="9">
        <f>IFERROR(IF(B150=INDEX(转换!B:B,MATCH(D150,转换!A:A,0)),0,1),1)</f>
        <v>0</v>
      </c>
      <c r="G150" s="9">
        <f t="shared" si="4"/>
        <v>0</v>
      </c>
      <c r="H150" s="9" t="str">
        <f t="shared" si="5"/>
        <v>-</v>
      </c>
    </row>
    <row r="151" spans="1:8" x14ac:dyDescent="0.3">
      <c r="A151" s="3" t="str">
        <f>新!E150</f>
        <v>CRC32:A9C2A281</v>
      </c>
      <c r="B151" s="3" t="str">
        <f>新!A150</f>
        <v>Animal Crossing\Cards\Series 1</v>
      </c>
      <c r="C151" s="3" t="str">
        <f>新!B150</f>
        <v>[AC] 033 - Bill.bin</v>
      </c>
      <c r="D151" s="2" t="str">
        <f>IFERROR(INDEX(旧!A:A,MATCH(测试!A151,旧!E:E,0)),0)</f>
        <v>Animal Crossing\Cards - Series 1</v>
      </c>
      <c r="E151" s="2" t="str">
        <f>IFERROR(INDEX(旧!B:B,MATCH(测试!A151,旧!E:E,0)),0)</f>
        <v>[AC] 033 - Bill.bin</v>
      </c>
      <c r="F151" s="9">
        <f>IFERROR(IF(B151=INDEX(转换!B:B,MATCH(D151,转换!A:A,0)),0,1),1)</f>
        <v>0</v>
      </c>
      <c r="G151" s="9">
        <f t="shared" si="4"/>
        <v>0</v>
      </c>
      <c r="H151" s="9" t="str">
        <f t="shared" si="5"/>
        <v>-</v>
      </c>
    </row>
    <row r="152" spans="1:8" x14ac:dyDescent="0.3">
      <c r="A152" s="3" t="str">
        <f>新!E151</f>
        <v>CRC32:60F5241D</v>
      </c>
      <c r="B152" s="3" t="str">
        <f>新!A151</f>
        <v>Animal Crossing\Cards\Series 1</v>
      </c>
      <c r="C152" s="3" t="str">
        <f>新!B151</f>
        <v>[AC] 034 - Kiki.bin</v>
      </c>
      <c r="D152" s="2" t="str">
        <f>IFERROR(INDEX(旧!A:A,MATCH(测试!A152,旧!E:E,0)),0)</f>
        <v>Animal Crossing\Cards - Series 1</v>
      </c>
      <c r="E152" s="2" t="str">
        <f>IFERROR(INDEX(旧!B:B,MATCH(测试!A152,旧!E:E,0)),0)</f>
        <v>[AC] 034 - Kiki.bin</v>
      </c>
      <c r="F152" s="9">
        <f>IFERROR(IF(B152=INDEX(转换!B:B,MATCH(D152,转换!A:A,0)),0,1),1)</f>
        <v>0</v>
      </c>
      <c r="G152" s="9">
        <f t="shared" si="4"/>
        <v>0</v>
      </c>
      <c r="H152" s="9" t="str">
        <f t="shared" si="5"/>
        <v>-</v>
      </c>
    </row>
    <row r="153" spans="1:8" x14ac:dyDescent="0.3">
      <c r="A153" s="3" t="str">
        <f>新!E152</f>
        <v>CRC32:F2116976</v>
      </c>
      <c r="B153" s="3" t="str">
        <f>新!A152</f>
        <v>Animal Crossing\Cards\Series 1</v>
      </c>
      <c r="C153" s="3" t="str">
        <f>新!B152</f>
        <v>[AC] 035 - Deli.bin</v>
      </c>
      <c r="D153" s="2" t="str">
        <f>IFERROR(INDEX(旧!A:A,MATCH(测试!A153,旧!E:E,0)),0)</f>
        <v>Animal Crossing\Cards - Series 1</v>
      </c>
      <c r="E153" s="2" t="str">
        <f>IFERROR(INDEX(旧!B:B,MATCH(测试!A153,旧!E:E,0)),0)</f>
        <v>[AC] 035 - Deli.bin</v>
      </c>
      <c r="F153" s="9">
        <f>IFERROR(IF(B153=INDEX(转换!B:B,MATCH(D153,转换!A:A,0)),0,1),1)</f>
        <v>0</v>
      </c>
      <c r="G153" s="9">
        <f t="shared" si="4"/>
        <v>0</v>
      </c>
      <c r="H153" s="9" t="str">
        <f t="shared" si="5"/>
        <v>-</v>
      </c>
    </row>
    <row r="154" spans="1:8" x14ac:dyDescent="0.3">
      <c r="A154" s="3" t="str">
        <f>新!E153</f>
        <v>CRC32:654B3A7D</v>
      </c>
      <c r="B154" s="3" t="str">
        <f>新!A153</f>
        <v>Animal Crossing\Cards\Series 1</v>
      </c>
      <c r="C154" s="3" t="str">
        <f>新!B153</f>
        <v>[AC] 036 - Alli.bin</v>
      </c>
      <c r="D154" s="2" t="str">
        <f>IFERROR(INDEX(旧!A:A,MATCH(测试!A154,旧!E:E,0)),0)</f>
        <v>Animal Crossing\Cards - Series 1</v>
      </c>
      <c r="E154" s="2" t="str">
        <f>IFERROR(INDEX(旧!B:B,MATCH(测试!A154,旧!E:E,0)),0)</f>
        <v>[AC] 036 - Alli.bin</v>
      </c>
      <c r="F154" s="9">
        <f>IFERROR(IF(B154=INDEX(转换!B:B,MATCH(D154,转换!A:A,0)),0,1),1)</f>
        <v>0</v>
      </c>
      <c r="G154" s="9">
        <f t="shared" si="4"/>
        <v>0</v>
      </c>
      <c r="H154" s="9" t="str">
        <f t="shared" si="5"/>
        <v>-</v>
      </c>
    </row>
    <row r="155" spans="1:8" x14ac:dyDescent="0.3">
      <c r="A155" s="3" t="str">
        <f>新!E154</f>
        <v>CRC32:BA971528</v>
      </c>
      <c r="B155" s="3" t="str">
        <f>新!A154</f>
        <v>Animal Crossing\Cards\Series 1</v>
      </c>
      <c r="C155" s="3" t="str">
        <f>新!B154</f>
        <v>[AC] 037 - Kabuki.bin</v>
      </c>
      <c r="D155" s="2" t="str">
        <f>IFERROR(INDEX(旧!A:A,MATCH(测试!A155,旧!E:E,0)),0)</f>
        <v>Animal Crossing\Cards - Series 1</v>
      </c>
      <c r="E155" s="2" t="str">
        <f>IFERROR(INDEX(旧!B:B,MATCH(测试!A155,旧!E:E,0)),0)</f>
        <v>[AC] 037 - Kabuki.bin</v>
      </c>
      <c r="F155" s="9">
        <f>IFERROR(IF(B155=INDEX(转换!B:B,MATCH(D155,转换!A:A,0)),0,1),1)</f>
        <v>0</v>
      </c>
      <c r="G155" s="9">
        <f t="shared" si="4"/>
        <v>0</v>
      </c>
      <c r="H155" s="9" t="str">
        <f t="shared" si="5"/>
        <v>-</v>
      </c>
    </row>
    <row r="156" spans="1:8" x14ac:dyDescent="0.3">
      <c r="A156" s="3" t="str">
        <f>新!E155</f>
        <v>CRC32:100A9796</v>
      </c>
      <c r="B156" s="3" t="str">
        <f>新!A155</f>
        <v>Animal Crossing\Cards\Series 1</v>
      </c>
      <c r="C156" s="3" t="str">
        <f>新!B155</f>
        <v>[AC] 038 - Patty.bin</v>
      </c>
      <c r="D156" s="2" t="str">
        <f>IFERROR(INDEX(旧!A:A,MATCH(测试!A156,旧!E:E,0)),0)</f>
        <v>Animal Crossing\Cards - Series 1</v>
      </c>
      <c r="E156" s="2" t="str">
        <f>IFERROR(INDEX(旧!B:B,MATCH(测试!A156,旧!E:E,0)),0)</f>
        <v>[AC] 038 - Patty.bin</v>
      </c>
      <c r="F156" s="9">
        <f>IFERROR(IF(B156=INDEX(转换!B:B,MATCH(D156,转换!A:A,0)),0,1),1)</f>
        <v>0</v>
      </c>
      <c r="G156" s="9">
        <f t="shared" si="4"/>
        <v>0</v>
      </c>
      <c r="H156" s="9" t="str">
        <f t="shared" si="5"/>
        <v>-</v>
      </c>
    </row>
    <row r="157" spans="1:8" x14ac:dyDescent="0.3">
      <c r="A157" s="3" t="str">
        <f>新!E156</f>
        <v>CRC32:E3609A47</v>
      </c>
      <c r="B157" s="3" t="str">
        <f>新!A156</f>
        <v>Animal Crossing\Cards\Series 1</v>
      </c>
      <c r="C157" s="3" t="str">
        <f>新!B156</f>
        <v>[AC] 039 - Jitters.bin</v>
      </c>
      <c r="D157" s="2" t="str">
        <f>IFERROR(INDEX(旧!A:A,MATCH(测试!A157,旧!E:E,0)),0)</f>
        <v>Animal Crossing\Cards - Series 1</v>
      </c>
      <c r="E157" s="2" t="str">
        <f>IFERROR(INDEX(旧!B:B,MATCH(测试!A157,旧!E:E,0)),0)</f>
        <v>[AC] 039 - Jitters.bin</v>
      </c>
      <c r="F157" s="9">
        <f>IFERROR(IF(B157=INDEX(转换!B:B,MATCH(D157,转换!A:A,0)),0,1),1)</f>
        <v>0</v>
      </c>
      <c r="G157" s="9">
        <f t="shared" si="4"/>
        <v>0</v>
      </c>
      <c r="H157" s="9" t="str">
        <f t="shared" si="5"/>
        <v>-</v>
      </c>
    </row>
    <row r="158" spans="1:8" x14ac:dyDescent="0.3">
      <c r="A158" s="3" t="str">
        <f>新!E157</f>
        <v>CRC32:D1E13E52</v>
      </c>
      <c r="B158" s="3" t="str">
        <f>新!A157</f>
        <v>Animal Crossing\Cards\Series 1</v>
      </c>
      <c r="C158" s="3" t="str">
        <f>新!B157</f>
        <v>[AC] 040 - Gigi.bin</v>
      </c>
      <c r="D158" s="2" t="str">
        <f>IFERROR(INDEX(旧!A:A,MATCH(测试!A158,旧!E:E,0)),0)</f>
        <v>Animal Crossing\Cards - Series 1</v>
      </c>
      <c r="E158" s="2" t="str">
        <f>IFERROR(INDEX(旧!B:B,MATCH(测试!A158,旧!E:E,0)),0)</f>
        <v>[AC] 040 - Gigi.bin</v>
      </c>
      <c r="F158" s="9">
        <f>IFERROR(IF(B158=INDEX(转换!B:B,MATCH(D158,转换!A:A,0)),0,1),1)</f>
        <v>0</v>
      </c>
      <c r="G158" s="9">
        <f t="shared" si="4"/>
        <v>0</v>
      </c>
      <c r="H158" s="9" t="str">
        <f t="shared" si="5"/>
        <v>-</v>
      </c>
    </row>
    <row r="159" spans="1:8" x14ac:dyDescent="0.3">
      <c r="A159" s="3" t="str">
        <f>新!E158</f>
        <v>CRC32:6A13CF05</v>
      </c>
      <c r="B159" s="3" t="str">
        <f>新!A158</f>
        <v>Animal Crossing\Cards\Series 1</v>
      </c>
      <c r="C159" s="3" t="str">
        <f>新!B158</f>
        <v>[AC] 041 - Quillson.bin</v>
      </c>
      <c r="D159" s="2" t="str">
        <f>IFERROR(INDEX(旧!A:A,MATCH(测试!A159,旧!E:E,0)),0)</f>
        <v>Animal Crossing\Cards - Series 1</v>
      </c>
      <c r="E159" s="2" t="str">
        <f>IFERROR(INDEX(旧!B:B,MATCH(测试!A159,旧!E:E,0)),0)</f>
        <v>[AC] 041 - Quillson.bin</v>
      </c>
      <c r="F159" s="9">
        <f>IFERROR(IF(B159=INDEX(转换!B:B,MATCH(D159,转换!A:A,0)),0,1),1)</f>
        <v>0</v>
      </c>
      <c r="G159" s="9">
        <f t="shared" si="4"/>
        <v>0</v>
      </c>
      <c r="H159" s="9" t="str">
        <f t="shared" si="5"/>
        <v>-</v>
      </c>
    </row>
    <row r="160" spans="1:8" x14ac:dyDescent="0.3">
      <c r="A160" s="3" t="str">
        <f>新!E159</f>
        <v>CRC32:EA467FB2</v>
      </c>
      <c r="B160" s="3" t="str">
        <f>新!A159</f>
        <v>Animal Crossing\Cards\Series 1</v>
      </c>
      <c r="C160" s="3" t="str">
        <f>新!B159</f>
        <v>[AC] 042 - Marcie.bin</v>
      </c>
      <c r="D160" s="2" t="str">
        <f>IFERROR(INDEX(旧!A:A,MATCH(测试!A160,旧!E:E,0)),0)</f>
        <v>Animal Crossing\Cards - Series 1</v>
      </c>
      <c r="E160" s="2" t="str">
        <f>IFERROR(INDEX(旧!B:B,MATCH(测试!A160,旧!E:E,0)),0)</f>
        <v>[AC] 042 - Marcie.bin</v>
      </c>
      <c r="F160" s="9">
        <f>IFERROR(IF(B160=INDEX(转换!B:B,MATCH(D160,转换!A:A,0)),0,1),1)</f>
        <v>0</v>
      </c>
      <c r="G160" s="9">
        <f t="shared" si="4"/>
        <v>0</v>
      </c>
      <c r="H160" s="9" t="str">
        <f t="shared" si="5"/>
        <v>-</v>
      </c>
    </row>
    <row r="161" spans="1:8" x14ac:dyDescent="0.3">
      <c r="A161" s="3" t="str">
        <f>新!E160</f>
        <v>CRC32:092E5FEF</v>
      </c>
      <c r="B161" s="3" t="str">
        <f>新!A160</f>
        <v>Animal Crossing\Cards\Series 1</v>
      </c>
      <c r="C161" s="3" t="str">
        <f>新!B160</f>
        <v>[AC] 043 - Puck.bin</v>
      </c>
      <c r="D161" s="2" t="str">
        <f>IFERROR(INDEX(旧!A:A,MATCH(测试!A161,旧!E:E,0)),0)</f>
        <v>Animal Crossing\Cards - Series 1</v>
      </c>
      <c r="E161" s="2" t="str">
        <f>IFERROR(INDEX(旧!B:B,MATCH(测试!A161,旧!E:E,0)),0)</f>
        <v>[AC] 043 - Puck.bin</v>
      </c>
      <c r="F161" s="9">
        <f>IFERROR(IF(B161=INDEX(转换!B:B,MATCH(D161,转换!A:A,0)),0,1),1)</f>
        <v>0</v>
      </c>
      <c r="G161" s="9">
        <f t="shared" si="4"/>
        <v>0</v>
      </c>
      <c r="H161" s="9" t="str">
        <f t="shared" si="5"/>
        <v>-</v>
      </c>
    </row>
    <row r="162" spans="1:8" x14ac:dyDescent="0.3">
      <c r="A162" s="3" t="str">
        <f>新!E161</f>
        <v>CRC32:DFF5481C</v>
      </c>
      <c r="B162" s="3" t="str">
        <f>新!A161</f>
        <v>Animal Crossing\Cards\Series 1</v>
      </c>
      <c r="C162" s="3" t="str">
        <f>新!B161</f>
        <v>[AC] 044 - Shari.bin</v>
      </c>
      <c r="D162" s="2" t="str">
        <f>IFERROR(INDEX(旧!A:A,MATCH(测试!A162,旧!E:E,0)),0)</f>
        <v>Animal Crossing\Cards - Series 1</v>
      </c>
      <c r="E162" s="2" t="str">
        <f>IFERROR(INDEX(旧!B:B,MATCH(测试!A162,旧!E:E,0)),0)</f>
        <v>[AC] 044 - Shari.bin</v>
      </c>
      <c r="F162" s="9">
        <f>IFERROR(IF(B162=INDEX(转换!B:B,MATCH(D162,转换!A:A,0)),0,1),1)</f>
        <v>0</v>
      </c>
      <c r="G162" s="9">
        <f t="shared" si="4"/>
        <v>0</v>
      </c>
      <c r="H162" s="9" t="str">
        <f t="shared" si="5"/>
        <v>-</v>
      </c>
    </row>
    <row r="163" spans="1:8" x14ac:dyDescent="0.3">
      <c r="A163" s="3" t="str">
        <f>新!E162</f>
        <v>CRC32:B22EAC8A</v>
      </c>
      <c r="B163" s="3" t="str">
        <f>新!A162</f>
        <v>Animal Crossing\Cards\Series 1</v>
      </c>
      <c r="C163" s="3" t="str">
        <f>新!B162</f>
        <v>[AC] 045 - Octavian.bin</v>
      </c>
      <c r="D163" s="2" t="str">
        <f>IFERROR(INDEX(旧!A:A,MATCH(测试!A163,旧!E:E,0)),0)</f>
        <v>Animal Crossing\Cards - Series 1</v>
      </c>
      <c r="E163" s="2" t="str">
        <f>IFERROR(INDEX(旧!B:B,MATCH(测试!A163,旧!E:E,0)),0)</f>
        <v>[AC] 045 - Octavian.bin</v>
      </c>
      <c r="F163" s="9">
        <f>IFERROR(IF(B163=INDEX(转换!B:B,MATCH(D163,转换!A:A,0)),0,1),1)</f>
        <v>0</v>
      </c>
      <c r="G163" s="9">
        <f t="shared" si="4"/>
        <v>0</v>
      </c>
      <c r="H163" s="9" t="str">
        <f t="shared" si="5"/>
        <v>-</v>
      </c>
    </row>
    <row r="164" spans="1:8" x14ac:dyDescent="0.3">
      <c r="A164" s="3" t="str">
        <f>新!E163</f>
        <v>CRC32:43A809C7</v>
      </c>
      <c r="B164" s="3" t="str">
        <f>新!A163</f>
        <v>Animal Crossing\Cards\Series 1</v>
      </c>
      <c r="C164" s="3" t="str">
        <f>新!B163</f>
        <v>[AC] 046 - Winnie.bin</v>
      </c>
      <c r="D164" s="2" t="str">
        <f>IFERROR(INDEX(旧!A:A,MATCH(测试!A164,旧!E:E,0)),0)</f>
        <v>Animal Crossing\Cards - Series 1</v>
      </c>
      <c r="E164" s="2" t="str">
        <f>IFERROR(INDEX(旧!B:B,MATCH(测试!A164,旧!E:E,0)),0)</f>
        <v>[AC] 046 - Winnie.bin</v>
      </c>
      <c r="F164" s="9">
        <f>IFERROR(IF(B164=INDEX(转换!B:B,MATCH(D164,转换!A:A,0)),0,1),1)</f>
        <v>0</v>
      </c>
      <c r="G164" s="9">
        <f t="shared" si="4"/>
        <v>0</v>
      </c>
      <c r="H164" s="9" t="str">
        <f t="shared" si="5"/>
        <v>-</v>
      </c>
    </row>
    <row r="165" spans="1:8" x14ac:dyDescent="0.3">
      <c r="A165" s="3" t="str">
        <f>新!E164</f>
        <v>CRC32:9522B1E8</v>
      </c>
      <c r="B165" s="3" t="str">
        <f>新!A164</f>
        <v>Animal Crossing\Cards\Series 1</v>
      </c>
      <c r="C165" s="3" t="str">
        <f>新!B164</f>
        <v>[AC] 047 - Knox.bin</v>
      </c>
      <c r="D165" s="2" t="str">
        <f>IFERROR(INDEX(旧!A:A,MATCH(测试!A165,旧!E:E,0)),0)</f>
        <v>Animal Crossing\Cards - Series 1</v>
      </c>
      <c r="E165" s="2" t="str">
        <f>IFERROR(INDEX(旧!B:B,MATCH(测试!A165,旧!E:E,0)),0)</f>
        <v>[AC] 047 - Knox.bin</v>
      </c>
      <c r="F165" s="9">
        <f>IFERROR(IF(B165=INDEX(转换!B:B,MATCH(D165,转换!A:A,0)),0,1),1)</f>
        <v>0</v>
      </c>
      <c r="G165" s="9">
        <f t="shared" si="4"/>
        <v>0</v>
      </c>
      <c r="H165" s="9" t="str">
        <f t="shared" si="5"/>
        <v>-</v>
      </c>
    </row>
    <row r="166" spans="1:8" x14ac:dyDescent="0.3">
      <c r="A166" s="3" t="str">
        <f>新!E165</f>
        <v>CRC32:ECAA14B8</v>
      </c>
      <c r="B166" s="3" t="str">
        <f>新!A165</f>
        <v>Animal Crossing\Cards\Series 1</v>
      </c>
      <c r="C166" s="3" t="str">
        <f>新!B165</f>
        <v>[AC] 048 - Sterling.bin</v>
      </c>
      <c r="D166" s="2" t="str">
        <f>IFERROR(INDEX(旧!A:A,MATCH(测试!A166,旧!E:E,0)),0)</f>
        <v>Animal Crossing\Cards - Series 1</v>
      </c>
      <c r="E166" s="2" t="str">
        <f>IFERROR(INDEX(旧!B:B,MATCH(测试!A166,旧!E:E,0)),0)</f>
        <v>[AC] 048 - Sterling.bin</v>
      </c>
      <c r="F166" s="9">
        <f>IFERROR(IF(B166=INDEX(转换!B:B,MATCH(D166,转换!A:A,0)),0,1),1)</f>
        <v>0</v>
      </c>
      <c r="G166" s="9">
        <f t="shared" si="4"/>
        <v>0</v>
      </c>
      <c r="H166" s="9" t="str">
        <f t="shared" si="5"/>
        <v>-</v>
      </c>
    </row>
    <row r="167" spans="1:8" x14ac:dyDescent="0.3">
      <c r="A167" s="3" t="str">
        <f>新!E166</f>
        <v>CRC32:E5D5800D</v>
      </c>
      <c r="B167" s="3" t="str">
        <f>新!A166</f>
        <v>Animal Crossing\Cards\Series 1</v>
      </c>
      <c r="C167" s="3" t="str">
        <f>新!B166</f>
        <v>[AC] 049 - Bonbon.bin</v>
      </c>
      <c r="D167" s="2" t="str">
        <f>IFERROR(INDEX(旧!A:A,MATCH(测试!A167,旧!E:E,0)),0)</f>
        <v>Animal Crossing\Cards - Series 1</v>
      </c>
      <c r="E167" s="2" t="str">
        <f>IFERROR(INDEX(旧!B:B,MATCH(测试!A167,旧!E:E,0)),0)</f>
        <v>[AC] 049 - Bonbon.bin</v>
      </c>
      <c r="F167" s="9">
        <f>IFERROR(IF(B167=INDEX(转换!B:B,MATCH(D167,转换!A:A,0)),0,1),1)</f>
        <v>0</v>
      </c>
      <c r="G167" s="9">
        <f t="shared" si="4"/>
        <v>0</v>
      </c>
      <c r="H167" s="9" t="str">
        <f t="shared" si="5"/>
        <v>-</v>
      </c>
    </row>
    <row r="168" spans="1:8" x14ac:dyDescent="0.3">
      <c r="A168" s="3" t="str">
        <f>新!E167</f>
        <v>CRC32:592AA351</v>
      </c>
      <c r="B168" s="3" t="str">
        <f>新!A167</f>
        <v>Animal Crossing\Cards\Series 1</v>
      </c>
      <c r="C168" s="3" t="str">
        <f>新!B167</f>
        <v>[AC] 050 - Punchy.bin</v>
      </c>
      <c r="D168" s="2" t="str">
        <f>IFERROR(INDEX(旧!A:A,MATCH(测试!A168,旧!E:E,0)),0)</f>
        <v>Animal Crossing\Cards - Series 1</v>
      </c>
      <c r="E168" s="2" t="str">
        <f>IFERROR(INDEX(旧!B:B,MATCH(测试!A168,旧!E:E,0)),0)</f>
        <v>[AC] 050 - Punchy.bin</v>
      </c>
      <c r="F168" s="9">
        <f>IFERROR(IF(B168=INDEX(转换!B:B,MATCH(D168,转换!A:A,0)),0,1),1)</f>
        <v>0</v>
      </c>
      <c r="G168" s="9">
        <f t="shared" si="4"/>
        <v>0</v>
      </c>
      <c r="H168" s="9" t="str">
        <f t="shared" si="5"/>
        <v>-</v>
      </c>
    </row>
    <row r="169" spans="1:8" x14ac:dyDescent="0.3">
      <c r="A169" s="3" t="str">
        <f>新!E168</f>
        <v>CRC32:E6B2F5AB</v>
      </c>
      <c r="B169" s="3" t="str">
        <f>新!A168</f>
        <v>Animal Crossing\Cards\Series 1</v>
      </c>
      <c r="C169" s="3" t="str">
        <f>新!B168</f>
        <v>[AC] 051 - Opal.bin</v>
      </c>
      <c r="D169" s="2" t="str">
        <f>IFERROR(INDEX(旧!A:A,MATCH(测试!A169,旧!E:E,0)),0)</f>
        <v>Animal Crossing\Cards - Series 1</v>
      </c>
      <c r="E169" s="2" t="str">
        <f>IFERROR(INDEX(旧!B:B,MATCH(测试!A169,旧!E:E,0)),0)</f>
        <v>[AC] 051 - Opal.bin</v>
      </c>
      <c r="F169" s="9">
        <f>IFERROR(IF(B169=INDEX(转换!B:B,MATCH(D169,转换!A:A,0)),0,1),1)</f>
        <v>0</v>
      </c>
      <c r="G169" s="9">
        <f t="shared" si="4"/>
        <v>0</v>
      </c>
      <c r="H169" s="9" t="str">
        <f t="shared" si="5"/>
        <v>-</v>
      </c>
    </row>
    <row r="170" spans="1:8" x14ac:dyDescent="0.3">
      <c r="A170" s="3" t="str">
        <f>新!E169</f>
        <v>CRC32:0BA504AD</v>
      </c>
      <c r="B170" s="3" t="str">
        <f>新!A169</f>
        <v>Animal Crossing\Cards\Series 1</v>
      </c>
      <c r="C170" s="3" t="str">
        <f>新!B169</f>
        <v>[AC] 052 - Poppy.bin</v>
      </c>
      <c r="D170" s="2" t="str">
        <f>IFERROR(INDEX(旧!A:A,MATCH(测试!A170,旧!E:E,0)),0)</f>
        <v>Animal Crossing\Cards - Series 1</v>
      </c>
      <c r="E170" s="2" t="str">
        <f>IFERROR(INDEX(旧!B:B,MATCH(测试!A170,旧!E:E,0)),0)</f>
        <v>[AC] 052 - Poppy.bin</v>
      </c>
      <c r="F170" s="9">
        <f>IFERROR(IF(B170=INDEX(转换!B:B,MATCH(D170,转换!A:A,0)),0,1),1)</f>
        <v>0</v>
      </c>
      <c r="G170" s="9">
        <f t="shared" si="4"/>
        <v>0</v>
      </c>
      <c r="H170" s="9" t="str">
        <f t="shared" si="5"/>
        <v>-</v>
      </c>
    </row>
    <row r="171" spans="1:8" x14ac:dyDescent="0.3">
      <c r="A171" s="3" t="str">
        <f>新!E170</f>
        <v>CRC32:2A3CF3CE</v>
      </c>
      <c r="B171" s="3" t="str">
        <f>新!A170</f>
        <v>Animal Crossing\Cards\Series 1</v>
      </c>
      <c r="C171" s="3" t="str">
        <f>新!B170</f>
        <v>[AC] 053 - Limberg.bin</v>
      </c>
      <c r="D171" s="2" t="str">
        <f>IFERROR(INDEX(旧!A:A,MATCH(测试!A171,旧!E:E,0)),0)</f>
        <v>Animal Crossing\Cards - Series 1</v>
      </c>
      <c r="E171" s="2" t="str">
        <f>IFERROR(INDEX(旧!B:B,MATCH(测试!A171,旧!E:E,0)),0)</f>
        <v>[AC] 053 - Limberg.bin</v>
      </c>
      <c r="F171" s="9">
        <f>IFERROR(IF(B171=INDEX(转换!B:B,MATCH(D171,转换!A:A,0)),0,1),1)</f>
        <v>0</v>
      </c>
      <c r="G171" s="9">
        <f t="shared" si="4"/>
        <v>0</v>
      </c>
      <c r="H171" s="9" t="str">
        <f t="shared" si="5"/>
        <v>-</v>
      </c>
    </row>
    <row r="172" spans="1:8" x14ac:dyDescent="0.3">
      <c r="A172" s="3" t="str">
        <f>新!E171</f>
        <v>CRC32:0F6685E3</v>
      </c>
      <c r="B172" s="3" t="str">
        <f>新!A171</f>
        <v>Animal Crossing\Cards\Series 1</v>
      </c>
      <c r="C172" s="3" t="str">
        <f>新!B171</f>
        <v>[AC] 054 - Deena.bin</v>
      </c>
      <c r="D172" s="2" t="str">
        <f>IFERROR(INDEX(旧!A:A,MATCH(测试!A172,旧!E:E,0)),0)</f>
        <v>Animal Crossing\Cards - Series 1</v>
      </c>
      <c r="E172" s="2" t="str">
        <f>IFERROR(INDEX(旧!B:B,MATCH(测试!A172,旧!E:E,0)),0)</f>
        <v>[AC] 054 - Deena.bin</v>
      </c>
      <c r="F172" s="9">
        <f>IFERROR(IF(B172=INDEX(转换!B:B,MATCH(D172,转换!A:A,0)),0,1),1)</f>
        <v>0</v>
      </c>
      <c r="G172" s="9">
        <f t="shared" ref="G172:G235" si="6">IF(E172=C172,0,1)</f>
        <v>0</v>
      </c>
      <c r="H172" s="9" t="str">
        <f t="shared" si="5"/>
        <v>-</v>
      </c>
    </row>
    <row r="173" spans="1:8" x14ac:dyDescent="0.3">
      <c r="A173" s="3" t="str">
        <f>新!E172</f>
        <v>CRC32:4F15684D</v>
      </c>
      <c r="B173" s="3" t="str">
        <f>新!A172</f>
        <v>Animal Crossing\Cards\Series 1</v>
      </c>
      <c r="C173" s="3" t="str">
        <f>新!B172</f>
        <v>[AC] 055 - Snake.bin</v>
      </c>
      <c r="D173" s="2" t="str">
        <f>IFERROR(INDEX(旧!A:A,MATCH(测试!A173,旧!E:E,0)),0)</f>
        <v>Animal Crossing\Cards - Series 1</v>
      </c>
      <c r="E173" s="2" t="str">
        <f>IFERROR(INDEX(旧!B:B,MATCH(测试!A173,旧!E:E,0)),0)</f>
        <v>[AC] 055 - Snake.bin</v>
      </c>
      <c r="F173" s="9">
        <f>IFERROR(IF(B173=INDEX(转换!B:B,MATCH(D173,转换!A:A,0)),0,1),1)</f>
        <v>0</v>
      </c>
      <c r="G173" s="9">
        <f t="shared" si="6"/>
        <v>0</v>
      </c>
      <c r="H173" s="9" t="str">
        <f t="shared" si="5"/>
        <v>-</v>
      </c>
    </row>
    <row r="174" spans="1:8" x14ac:dyDescent="0.3">
      <c r="A174" s="3" t="str">
        <f>新!E173</f>
        <v>CRC32:F66F7142</v>
      </c>
      <c r="B174" s="3" t="str">
        <f>新!A173</f>
        <v>Animal Crossing\Cards\Series 1</v>
      </c>
      <c r="C174" s="3" t="str">
        <f>新!B173</f>
        <v>[AC] 056 - Bangle.bin</v>
      </c>
      <c r="D174" s="2" t="str">
        <f>IFERROR(INDEX(旧!A:A,MATCH(测试!A174,旧!E:E,0)),0)</f>
        <v>Animal Crossing\Cards - Series 1</v>
      </c>
      <c r="E174" s="2" t="str">
        <f>IFERROR(INDEX(旧!B:B,MATCH(测试!A174,旧!E:E,0)),0)</f>
        <v>[AC] 056 - Bangle.bin</v>
      </c>
      <c r="F174" s="9">
        <f>IFERROR(IF(B174=INDEX(转换!B:B,MATCH(D174,转换!A:A,0)),0,1),1)</f>
        <v>0</v>
      </c>
      <c r="G174" s="9">
        <f t="shared" si="6"/>
        <v>0</v>
      </c>
      <c r="H174" s="9" t="str">
        <f t="shared" si="5"/>
        <v>-</v>
      </c>
    </row>
    <row r="175" spans="1:8" x14ac:dyDescent="0.3">
      <c r="A175" s="3" t="str">
        <f>新!E174</f>
        <v>CRC32:8B1A49C4</v>
      </c>
      <c r="B175" s="3" t="str">
        <f>新!A174</f>
        <v>Animal Crossing\Cards\Series 1</v>
      </c>
      <c r="C175" s="3" t="str">
        <f>新!B174</f>
        <v>[AC] 057 - Phil.bin</v>
      </c>
      <c r="D175" s="2" t="str">
        <f>IFERROR(INDEX(旧!A:A,MATCH(测试!A175,旧!E:E,0)),0)</f>
        <v>Animal Crossing\Cards - Series 1</v>
      </c>
      <c r="E175" s="2" t="str">
        <f>IFERROR(INDEX(旧!B:B,MATCH(测试!A175,旧!E:E,0)),0)</f>
        <v>[AC] 057 - Phil.bin</v>
      </c>
      <c r="F175" s="9">
        <f>IFERROR(IF(B175=INDEX(转换!B:B,MATCH(D175,转换!A:A,0)),0,1),1)</f>
        <v>0</v>
      </c>
      <c r="G175" s="9">
        <f t="shared" si="6"/>
        <v>0</v>
      </c>
      <c r="H175" s="9" t="str">
        <f t="shared" si="5"/>
        <v>-</v>
      </c>
    </row>
    <row r="176" spans="1:8" x14ac:dyDescent="0.3">
      <c r="A176" s="3" t="str">
        <f>新!E175</f>
        <v>CRC32:EFBA6CC1</v>
      </c>
      <c r="B176" s="3" t="str">
        <f>新!A175</f>
        <v>Animal Crossing\Cards\Series 1</v>
      </c>
      <c r="C176" s="3" t="str">
        <f>新!B175</f>
        <v>[AC] 058 - Monique.bin</v>
      </c>
      <c r="D176" s="2" t="str">
        <f>IFERROR(INDEX(旧!A:A,MATCH(测试!A176,旧!E:E,0)),0)</f>
        <v>Animal Crossing\Cards - Series 1</v>
      </c>
      <c r="E176" s="2" t="str">
        <f>IFERROR(INDEX(旧!B:B,MATCH(测试!A176,旧!E:E,0)),0)</f>
        <v>[AC] 058 - Monique.bin</v>
      </c>
      <c r="F176" s="9">
        <f>IFERROR(IF(B176=INDEX(转换!B:B,MATCH(D176,转换!A:A,0)),0,1),1)</f>
        <v>0</v>
      </c>
      <c r="G176" s="9">
        <f t="shared" si="6"/>
        <v>0</v>
      </c>
      <c r="H176" s="9" t="str">
        <f t="shared" si="5"/>
        <v>-</v>
      </c>
    </row>
    <row r="177" spans="1:8" x14ac:dyDescent="0.3">
      <c r="A177" s="3" t="str">
        <f>新!E176</f>
        <v>CRC32:EC212726</v>
      </c>
      <c r="B177" s="3" t="str">
        <f>新!A176</f>
        <v>Animal Crossing\Cards\Series 1</v>
      </c>
      <c r="C177" s="3" t="str">
        <f>新!B176</f>
        <v>[AC] 059 - Nate.bin</v>
      </c>
      <c r="D177" s="2" t="str">
        <f>IFERROR(INDEX(旧!A:A,MATCH(测试!A177,旧!E:E,0)),0)</f>
        <v>Animal Crossing\Cards - Series 1</v>
      </c>
      <c r="E177" s="2" t="str">
        <f>IFERROR(INDEX(旧!B:B,MATCH(测试!A177,旧!E:E,0)),0)</f>
        <v>[AC] 059 - Nate.bin</v>
      </c>
      <c r="F177" s="9">
        <f>IFERROR(IF(B177=INDEX(转换!B:B,MATCH(D177,转换!A:A,0)),0,1),1)</f>
        <v>0</v>
      </c>
      <c r="G177" s="9">
        <f t="shared" si="6"/>
        <v>0</v>
      </c>
      <c r="H177" s="9" t="str">
        <f t="shared" si="5"/>
        <v>-</v>
      </c>
    </row>
    <row r="178" spans="1:8" x14ac:dyDescent="0.3">
      <c r="A178" s="3" t="str">
        <f>新!E177</f>
        <v>CRC32:EA6AA827</v>
      </c>
      <c r="B178" s="3" t="str">
        <f>新!A177</f>
        <v>Animal Crossing\Cards\Series 1</v>
      </c>
      <c r="C178" s="3" t="str">
        <f>新!B177</f>
        <v>[AC] 060 - Samson.bin</v>
      </c>
      <c r="D178" s="2" t="str">
        <f>IFERROR(INDEX(旧!A:A,MATCH(测试!A178,旧!E:E,0)),0)</f>
        <v>Animal Crossing\Cards - Series 1</v>
      </c>
      <c r="E178" s="2" t="str">
        <f>IFERROR(INDEX(旧!B:B,MATCH(测试!A178,旧!E:E,0)),0)</f>
        <v>[AC] 060 - Samson.bin</v>
      </c>
      <c r="F178" s="9">
        <f>IFERROR(IF(B178=INDEX(转换!B:B,MATCH(D178,转换!A:A,0)),0,1),1)</f>
        <v>0</v>
      </c>
      <c r="G178" s="9">
        <f t="shared" si="6"/>
        <v>0</v>
      </c>
      <c r="H178" s="9" t="str">
        <f t="shared" si="5"/>
        <v>-</v>
      </c>
    </row>
    <row r="179" spans="1:8" x14ac:dyDescent="0.3">
      <c r="A179" s="3" t="str">
        <f>新!E178</f>
        <v>CRC32:81FF585A</v>
      </c>
      <c r="B179" s="3" t="str">
        <f>新!A178</f>
        <v>Animal Crossing\Cards\Series 1</v>
      </c>
      <c r="C179" s="3" t="str">
        <f>新!B178</f>
        <v>[AC] 061 - Tutu.bin</v>
      </c>
      <c r="D179" s="2" t="str">
        <f>IFERROR(INDEX(旧!A:A,MATCH(测试!A179,旧!E:E,0)),0)</f>
        <v>Animal Crossing\Cards - Series 1</v>
      </c>
      <c r="E179" s="2" t="str">
        <f>IFERROR(INDEX(旧!B:B,MATCH(测试!A179,旧!E:E,0)),0)</f>
        <v>[AC] 061 - Tutu.bin</v>
      </c>
      <c r="F179" s="9">
        <f>IFERROR(IF(B179=INDEX(转换!B:B,MATCH(D179,转换!A:A,0)),0,1),1)</f>
        <v>0</v>
      </c>
      <c r="G179" s="9">
        <f t="shared" si="6"/>
        <v>0</v>
      </c>
      <c r="H179" s="9" t="str">
        <f t="shared" si="5"/>
        <v>-</v>
      </c>
    </row>
    <row r="180" spans="1:8" x14ac:dyDescent="0.3">
      <c r="A180" s="3" t="str">
        <f>新!E179</f>
        <v>CRC32:26F17513</v>
      </c>
      <c r="B180" s="3" t="str">
        <f>新!A179</f>
        <v>Animal Crossing\Cards\Series 1</v>
      </c>
      <c r="C180" s="3" t="str">
        <f>新!B179</f>
        <v>[AC] 062 - T-Bone.bin</v>
      </c>
      <c r="D180" s="2" t="str">
        <f>IFERROR(INDEX(旧!A:A,MATCH(测试!A180,旧!E:E,0)),0)</f>
        <v>Animal Crossing\Cards - Series 1</v>
      </c>
      <c r="E180" s="2" t="str">
        <f>IFERROR(INDEX(旧!B:B,MATCH(测试!A180,旧!E:E,0)),0)</f>
        <v>[AC] 062 - T-Bone.bin</v>
      </c>
      <c r="F180" s="9">
        <f>IFERROR(IF(B180=INDEX(转换!B:B,MATCH(D180,转换!A:A,0)),0,1),1)</f>
        <v>0</v>
      </c>
      <c r="G180" s="9">
        <f t="shared" si="6"/>
        <v>0</v>
      </c>
      <c r="H180" s="9" t="str">
        <f t="shared" si="5"/>
        <v>-</v>
      </c>
    </row>
    <row r="181" spans="1:8" x14ac:dyDescent="0.3">
      <c r="A181" s="3" t="str">
        <f>新!E180</f>
        <v>CRC32:E42B8935</v>
      </c>
      <c r="B181" s="3" t="str">
        <f>新!A180</f>
        <v>Animal Crossing\Cards\Series 1</v>
      </c>
      <c r="C181" s="3" t="str">
        <f>新!B180</f>
        <v>[AC] 063 - Mint.bin</v>
      </c>
      <c r="D181" s="2" t="str">
        <f>IFERROR(INDEX(旧!A:A,MATCH(测试!A181,旧!E:E,0)),0)</f>
        <v>Animal Crossing\Cards - Series 1</v>
      </c>
      <c r="E181" s="2" t="str">
        <f>IFERROR(INDEX(旧!B:B,MATCH(测试!A181,旧!E:E,0)),0)</f>
        <v>[AC] 063 - Mint.bin</v>
      </c>
      <c r="F181" s="9">
        <f>IFERROR(IF(B181=INDEX(转换!B:B,MATCH(D181,转换!A:A,0)),0,1),1)</f>
        <v>0</v>
      </c>
      <c r="G181" s="9">
        <f t="shared" si="6"/>
        <v>0</v>
      </c>
      <c r="H181" s="9" t="str">
        <f t="shared" si="5"/>
        <v>-</v>
      </c>
    </row>
    <row r="182" spans="1:8" x14ac:dyDescent="0.3">
      <c r="A182" s="3" t="str">
        <f>新!E181</f>
        <v>CRC32:375A0DA7</v>
      </c>
      <c r="B182" s="3" t="str">
        <f>新!A181</f>
        <v>Animal Crossing\Cards\Series 1</v>
      </c>
      <c r="C182" s="3" t="str">
        <f>新!B181</f>
        <v>[AC] 064 - Pudge.bin</v>
      </c>
      <c r="D182" s="2" t="str">
        <f>IFERROR(INDEX(旧!A:A,MATCH(测试!A182,旧!E:E,0)),0)</f>
        <v>Animal Crossing\Cards - Series 1</v>
      </c>
      <c r="E182" s="2" t="str">
        <f>IFERROR(INDEX(旧!B:B,MATCH(测试!A182,旧!E:E,0)),0)</f>
        <v>[AC] 064 - Pudge.bin</v>
      </c>
      <c r="F182" s="9">
        <f>IFERROR(IF(B182=INDEX(转换!B:B,MATCH(D182,转换!A:A,0)),0,1),1)</f>
        <v>0</v>
      </c>
      <c r="G182" s="9">
        <f t="shared" si="6"/>
        <v>0</v>
      </c>
      <c r="H182" s="9" t="str">
        <f t="shared" si="5"/>
        <v>-</v>
      </c>
    </row>
    <row r="183" spans="1:8" x14ac:dyDescent="0.3">
      <c r="A183" s="3" t="str">
        <f>新!E182</f>
        <v>CRC32:6A12847E</v>
      </c>
      <c r="B183" s="3" t="str">
        <f>新!A182</f>
        <v>Animal Crossing\Cards\Series 1</v>
      </c>
      <c r="C183" s="3" t="str">
        <f>新!B182</f>
        <v>[AC] 065 - Midge.bin</v>
      </c>
      <c r="D183" s="2" t="str">
        <f>IFERROR(INDEX(旧!A:A,MATCH(测试!A183,旧!E:E,0)),0)</f>
        <v>Animal Crossing\Cards - Series 1</v>
      </c>
      <c r="E183" s="2" t="str">
        <f>IFERROR(INDEX(旧!B:B,MATCH(测试!A183,旧!E:E,0)),0)</f>
        <v>[AC] 065 - Midge.bin</v>
      </c>
      <c r="F183" s="9">
        <f>IFERROR(IF(B183=INDEX(转换!B:B,MATCH(D183,转换!A:A,0)),0,1),1)</f>
        <v>0</v>
      </c>
      <c r="G183" s="9">
        <f t="shared" si="6"/>
        <v>0</v>
      </c>
      <c r="H183" s="9" t="str">
        <f t="shared" si="5"/>
        <v>-</v>
      </c>
    </row>
    <row r="184" spans="1:8" x14ac:dyDescent="0.3">
      <c r="A184" s="3" t="str">
        <f>新!E183</f>
        <v>CRC32:CDB2E742</v>
      </c>
      <c r="B184" s="3" t="str">
        <f>新!A183</f>
        <v>Animal Crossing\Cards\Series 1</v>
      </c>
      <c r="C184" s="3" t="str">
        <f>新!B183</f>
        <v>[AC] 066 - Gruff.bin</v>
      </c>
      <c r="D184" s="2" t="str">
        <f>IFERROR(INDEX(旧!A:A,MATCH(测试!A184,旧!E:E,0)),0)</f>
        <v>Animal Crossing\Cards - Series 1</v>
      </c>
      <c r="E184" s="2" t="str">
        <f>IFERROR(INDEX(旧!B:B,MATCH(测试!A184,旧!E:E,0)),0)</f>
        <v>[AC] 066 - Gruff.bin</v>
      </c>
      <c r="F184" s="9">
        <f>IFERROR(IF(B184=INDEX(转换!B:B,MATCH(D184,转换!A:A,0)),0,1),1)</f>
        <v>0</v>
      </c>
      <c r="G184" s="9">
        <f t="shared" si="6"/>
        <v>0</v>
      </c>
      <c r="H184" s="9" t="str">
        <f t="shared" si="5"/>
        <v>-</v>
      </c>
    </row>
    <row r="185" spans="1:8" x14ac:dyDescent="0.3">
      <c r="A185" s="3" t="str">
        <f>新!E184</f>
        <v>CRC32:2FC2FA8C</v>
      </c>
      <c r="B185" s="3" t="str">
        <f>新!A184</f>
        <v>Animal Crossing\Cards\Series 1</v>
      </c>
      <c r="C185" s="3" t="str">
        <f>新!B184</f>
        <v>[AC] 067 - Flurry.bin</v>
      </c>
      <c r="D185" s="2" t="str">
        <f>IFERROR(INDEX(旧!A:A,MATCH(测试!A185,旧!E:E,0)),0)</f>
        <v>Animal Crossing\Cards - Series 1</v>
      </c>
      <c r="E185" s="2" t="str">
        <f>IFERROR(INDEX(旧!B:B,MATCH(测试!A185,旧!E:E,0)),0)</f>
        <v>[AC] 067 - Flurry.bin</v>
      </c>
      <c r="F185" s="9">
        <f>IFERROR(IF(B185=INDEX(转换!B:B,MATCH(D185,转换!A:A,0)),0,1),1)</f>
        <v>0</v>
      </c>
      <c r="G185" s="9">
        <f t="shared" si="6"/>
        <v>0</v>
      </c>
      <c r="H185" s="9" t="str">
        <f t="shared" si="5"/>
        <v>-</v>
      </c>
    </row>
    <row r="186" spans="1:8" x14ac:dyDescent="0.3">
      <c r="A186" s="3" t="str">
        <f>新!E185</f>
        <v>CRC32:3EA39487</v>
      </c>
      <c r="B186" s="3" t="str">
        <f>新!A185</f>
        <v>Animal Crossing\Cards\Series 1</v>
      </c>
      <c r="C186" s="3" t="str">
        <f>新!B185</f>
        <v>[AC] 068 - Clyde.bin</v>
      </c>
      <c r="D186" s="2" t="str">
        <f>IFERROR(INDEX(旧!A:A,MATCH(测试!A186,旧!E:E,0)),0)</f>
        <v>Animal Crossing\Cards - Series 1</v>
      </c>
      <c r="E186" s="2" t="str">
        <f>IFERROR(INDEX(旧!B:B,MATCH(测试!A186,旧!E:E,0)),0)</f>
        <v>[AC] 068 - Clyde.bin</v>
      </c>
      <c r="F186" s="9">
        <f>IFERROR(IF(B186=INDEX(转换!B:B,MATCH(D186,转换!A:A,0)),0,1),1)</f>
        <v>0</v>
      </c>
      <c r="G186" s="9">
        <f t="shared" si="6"/>
        <v>0</v>
      </c>
      <c r="H186" s="9" t="str">
        <f t="shared" si="5"/>
        <v>-</v>
      </c>
    </row>
    <row r="187" spans="1:8" x14ac:dyDescent="0.3">
      <c r="A187" s="3" t="str">
        <f>新!E186</f>
        <v>CRC32:7FD4C079</v>
      </c>
      <c r="B187" s="3" t="str">
        <f>新!A186</f>
        <v>Animal Crossing\Cards\Series 1</v>
      </c>
      <c r="C187" s="3" t="str">
        <f>新!B186</f>
        <v>[AC] 069 - Bella.bin</v>
      </c>
      <c r="D187" s="2" t="str">
        <f>IFERROR(INDEX(旧!A:A,MATCH(测试!A187,旧!E:E,0)),0)</f>
        <v>Animal Crossing\Cards - Series 1</v>
      </c>
      <c r="E187" s="2" t="str">
        <f>IFERROR(INDEX(旧!B:B,MATCH(测试!A187,旧!E:E,0)),0)</f>
        <v>[AC] 069 - Bella.bin</v>
      </c>
      <c r="F187" s="9">
        <f>IFERROR(IF(B187=INDEX(转换!B:B,MATCH(D187,转换!A:A,0)),0,1),1)</f>
        <v>0</v>
      </c>
      <c r="G187" s="9">
        <f t="shared" si="6"/>
        <v>0</v>
      </c>
      <c r="H187" s="9" t="str">
        <f t="shared" si="5"/>
        <v>-</v>
      </c>
    </row>
    <row r="188" spans="1:8" x14ac:dyDescent="0.3">
      <c r="A188" s="3" t="str">
        <f>新!E187</f>
        <v>CRC32:F41DADDD</v>
      </c>
      <c r="B188" s="3" t="str">
        <f>新!A187</f>
        <v>Animal Crossing\Cards\Series 1</v>
      </c>
      <c r="C188" s="3" t="str">
        <f>新!B187</f>
        <v>[AC] 070 - Biff.bin</v>
      </c>
      <c r="D188" s="2" t="str">
        <f>IFERROR(INDEX(旧!A:A,MATCH(测试!A188,旧!E:E,0)),0)</f>
        <v>Animal Crossing\Cards - Series 1</v>
      </c>
      <c r="E188" s="2" t="str">
        <f>IFERROR(INDEX(旧!B:B,MATCH(测试!A188,旧!E:E,0)),0)</f>
        <v>[AC] 070 - Biff.bin</v>
      </c>
      <c r="F188" s="9">
        <f>IFERROR(IF(B188=INDEX(转换!B:B,MATCH(D188,转换!A:A,0)),0,1),1)</f>
        <v>0</v>
      </c>
      <c r="G188" s="9">
        <f t="shared" si="6"/>
        <v>0</v>
      </c>
      <c r="H188" s="9" t="str">
        <f t="shared" si="5"/>
        <v>-</v>
      </c>
    </row>
    <row r="189" spans="1:8" x14ac:dyDescent="0.3">
      <c r="A189" s="3" t="str">
        <f>新!E188</f>
        <v>CRC32:56CE1509</v>
      </c>
      <c r="B189" s="3" t="str">
        <f>新!A188</f>
        <v>Animal Crossing\Cards\Series 1</v>
      </c>
      <c r="C189" s="3" t="str">
        <f>新!B188</f>
        <v>[AC] 071 - Yuka.bin</v>
      </c>
      <c r="D189" s="2" t="str">
        <f>IFERROR(INDEX(旧!A:A,MATCH(测试!A189,旧!E:E,0)),0)</f>
        <v>Animal Crossing\Cards - Series 1</v>
      </c>
      <c r="E189" s="2" t="str">
        <f>IFERROR(INDEX(旧!B:B,MATCH(测试!A189,旧!E:E,0)),0)</f>
        <v>[AC] 071 - Yuka.bin</v>
      </c>
      <c r="F189" s="9">
        <f>IFERROR(IF(B189=INDEX(转换!B:B,MATCH(D189,转换!A:A,0)),0,1),1)</f>
        <v>0</v>
      </c>
      <c r="G189" s="9">
        <f t="shared" si="6"/>
        <v>0</v>
      </c>
      <c r="H189" s="9" t="str">
        <f t="shared" si="5"/>
        <v>-</v>
      </c>
    </row>
    <row r="190" spans="1:8" x14ac:dyDescent="0.3">
      <c r="A190" s="3" t="str">
        <f>新!E189</f>
        <v>CRC32:0C604125</v>
      </c>
      <c r="B190" s="3" t="str">
        <f>新!A189</f>
        <v>Animal Crossing\Cards\Series 1</v>
      </c>
      <c r="C190" s="3" t="str">
        <f>新!B189</f>
        <v>[AC] 072 - Lionel.bin</v>
      </c>
      <c r="D190" s="2" t="str">
        <f>IFERROR(INDEX(旧!A:A,MATCH(测试!A190,旧!E:E,0)),0)</f>
        <v>Animal Crossing\Cards - Series 1</v>
      </c>
      <c r="E190" s="2" t="str">
        <f>IFERROR(INDEX(旧!B:B,MATCH(测试!A190,旧!E:E,0)),0)</f>
        <v>[AC] 072 - Lionel.bin</v>
      </c>
      <c r="F190" s="9">
        <f>IFERROR(IF(B190=INDEX(转换!B:B,MATCH(D190,转换!A:A,0)),0,1),1)</f>
        <v>0</v>
      </c>
      <c r="G190" s="9">
        <f t="shared" si="6"/>
        <v>0</v>
      </c>
      <c r="H190" s="9" t="str">
        <f t="shared" si="5"/>
        <v>-</v>
      </c>
    </row>
    <row r="191" spans="1:8" x14ac:dyDescent="0.3">
      <c r="A191" s="3" t="str">
        <f>新!E190</f>
        <v>CRC32:EE9776B0</v>
      </c>
      <c r="B191" s="3" t="str">
        <f>新!A190</f>
        <v>Animal Crossing\Cards\Series 1</v>
      </c>
      <c r="C191" s="3" t="str">
        <f>新!B190</f>
        <v>[AC] 073 - Flo.bin</v>
      </c>
      <c r="D191" s="2" t="str">
        <f>IFERROR(INDEX(旧!A:A,MATCH(测试!A191,旧!E:E,0)),0)</f>
        <v>Animal Crossing\Cards - Series 1</v>
      </c>
      <c r="E191" s="2" t="str">
        <f>IFERROR(INDEX(旧!B:B,MATCH(测试!A191,旧!E:E,0)),0)</f>
        <v>[AC] 073 - Flo.bin</v>
      </c>
      <c r="F191" s="9">
        <f>IFERROR(IF(B191=INDEX(转换!B:B,MATCH(D191,转换!A:A,0)),0,1),1)</f>
        <v>0</v>
      </c>
      <c r="G191" s="9">
        <f t="shared" si="6"/>
        <v>0</v>
      </c>
      <c r="H191" s="9" t="str">
        <f t="shared" si="5"/>
        <v>-</v>
      </c>
    </row>
    <row r="192" spans="1:8" x14ac:dyDescent="0.3">
      <c r="A192" s="3" t="str">
        <f>新!E191</f>
        <v>CRC32:0D62C76A</v>
      </c>
      <c r="B192" s="3" t="str">
        <f>新!A191</f>
        <v>Animal Crossing\Cards\Series 1</v>
      </c>
      <c r="C192" s="3" t="str">
        <f>新!B191</f>
        <v>[AC] 074 - Cobb.bin</v>
      </c>
      <c r="D192" s="2" t="str">
        <f>IFERROR(INDEX(旧!A:A,MATCH(测试!A192,旧!E:E,0)),0)</f>
        <v>Animal Crossing\Cards - Series 1</v>
      </c>
      <c r="E192" s="2" t="str">
        <f>IFERROR(INDEX(旧!B:B,MATCH(测试!A192,旧!E:E,0)),0)</f>
        <v>[AC] 074 - Cobb.bin</v>
      </c>
      <c r="F192" s="9">
        <f>IFERROR(IF(B192=INDEX(转换!B:B,MATCH(D192,转换!A:A,0)),0,1),1)</f>
        <v>0</v>
      </c>
      <c r="G192" s="9">
        <f t="shared" si="6"/>
        <v>0</v>
      </c>
      <c r="H192" s="9" t="str">
        <f t="shared" si="5"/>
        <v>-</v>
      </c>
    </row>
    <row r="193" spans="1:8" x14ac:dyDescent="0.3">
      <c r="A193" s="3" t="str">
        <f>新!E192</f>
        <v>CRC32:69B74F70</v>
      </c>
      <c r="B193" s="3" t="str">
        <f>新!A192</f>
        <v>Animal Crossing\Cards\Series 1</v>
      </c>
      <c r="C193" s="3" t="str">
        <f>新!B192</f>
        <v>[AC] 075 - Amelia.bin</v>
      </c>
      <c r="D193" s="2" t="str">
        <f>IFERROR(INDEX(旧!A:A,MATCH(测试!A193,旧!E:E,0)),0)</f>
        <v>Animal Crossing\Cards - Series 1</v>
      </c>
      <c r="E193" s="2" t="str">
        <f>IFERROR(INDEX(旧!B:B,MATCH(测试!A193,旧!E:E,0)),0)</f>
        <v>[AC] 075 - Amelia.bin</v>
      </c>
      <c r="F193" s="9">
        <f>IFERROR(IF(B193=INDEX(转换!B:B,MATCH(D193,转换!A:A,0)),0,1),1)</f>
        <v>0</v>
      </c>
      <c r="G193" s="9">
        <f t="shared" si="6"/>
        <v>0</v>
      </c>
      <c r="H193" s="9" t="str">
        <f t="shared" si="5"/>
        <v>-</v>
      </c>
    </row>
    <row r="194" spans="1:8" x14ac:dyDescent="0.3">
      <c r="A194" s="3" t="str">
        <f>新!E193</f>
        <v>CRC32:774E3A75</v>
      </c>
      <c r="B194" s="3" t="str">
        <f>新!A193</f>
        <v>Animal Crossing\Cards\Series 1</v>
      </c>
      <c r="C194" s="3" t="str">
        <f>新!B193</f>
        <v>[AC] 076 - Jeramiah.bin</v>
      </c>
      <c r="D194" s="2" t="str">
        <f>IFERROR(INDEX(旧!A:A,MATCH(测试!A194,旧!E:E,0)),0)</f>
        <v>Animal Crossing\Cards - Series 1</v>
      </c>
      <c r="E194" s="2" t="str">
        <f>IFERROR(INDEX(旧!B:B,MATCH(测试!A194,旧!E:E,0)),0)</f>
        <v>[AC] 076 - Jeramiah.bin</v>
      </c>
      <c r="F194" s="9">
        <f>IFERROR(IF(B194=INDEX(转换!B:B,MATCH(D194,转换!A:A,0)),0,1),1)</f>
        <v>0</v>
      </c>
      <c r="G194" s="9">
        <f t="shared" si="6"/>
        <v>0</v>
      </c>
      <c r="H194" s="9" t="str">
        <f t="shared" si="5"/>
        <v>-</v>
      </c>
    </row>
    <row r="195" spans="1:8" x14ac:dyDescent="0.3">
      <c r="A195" s="3" t="str">
        <f>新!E194</f>
        <v>CRC32:2030C5BD</v>
      </c>
      <c r="B195" s="3" t="str">
        <f>新!A194</f>
        <v>Animal Crossing\Cards\Series 1</v>
      </c>
      <c r="C195" s="3" t="str">
        <f>新!B194</f>
        <v>[AC] 077 - Cherry.bin</v>
      </c>
      <c r="D195" s="2" t="str">
        <f>IFERROR(INDEX(旧!A:A,MATCH(测试!A195,旧!E:E,0)),0)</f>
        <v>Animal Crossing\Cards - Series 1</v>
      </c>
      <c r="E195" s="2" t="str">
        <f>IFERROR(INDEX(旧!B:B,MATCH(测试!A195,旧!E:E,0)),0)</f>
        <v>[AC] 077 - Cherry.bin</v>
      </c>
      <c r="F195" s="9">
        <f>IFERROR(IF(B195=INDEX(转换!B:B,MATCH(D195,转换!A:A,0)),0,1),1)</f>
        <v>0</v>
      </c>
      <c r="G195" s="9">
        <f t="shared" si="6"/>
        <v>0</v>
      </c>
      <c r="H195" s="9" t="str">
        <f t="shared" si="5"/>
        <v>-</v>
      </c>
    </row>
    <row r="196" spans="1:8" x14ac:dyDescent="0.3">
      <c r="A196" s="3" t="str">
        <f>新!E195</f>
        <v>CRC32:07E1EB77</v>
      </c>
      <c r="B196" s="3" t="str">
        <f>新!A195</f>
        <v>Animal Crossing\Cards\Series 1</v>
      </c>
      <c r="C196" s="3" t="str">
        <f>新!B195</f>
        <v>[AC] 078 - Roscoe.bin</v>
      </c>
      <c r="D196" s="2" t="str">
        <f>IFERROR(INDEX(旧!A:A,MATCH(测试!A196,旧!E:E,0)),0)</f>
        <v>Animal Crossing\Cards - Series 1</v>
      </c>
      <c r="E196" s="2" t="str">
        <f>IFERROR(INDEX(旧!B:B,MATCH(测试!A196,旧!E:E,0)),0)</f>
        <v>[AC] 078 - Roscoe.bin</v>
      </c>
      <c r="F196" s="9">
        <f>IFERROR(IF(B196=INDEX(转换!B:B,MATCH(D196,转换!A:A,0)),0,1),1)</f>
        <v>0</v>
      </c>
      <c r="G196" s="9">
        <f t="shared" si="6"/>
        <v>0</v>
      </c>
      <c r="H196" s="9" t="str">
        <f t="shared" ref="H196:H259" si="7">_xlfn.IFS(F196+G196=0,"-",F196+G196=1,"文件名错误",F196+G196=2,"无此文件")</f>
        <v>-</v>
      </c>
    </row>
    <row r="197" spans="1:8" x14ac:dyDescent="0.3">
      <c r="A197" s="3" t="str">
        <f>新!E196</f>
        <v>CRC32:8FE99866</v>
      </c>
      <c r="B197" s="3" t="str">
        <f>新!A196</f>
        <v>Animal Crossing\Cards\Series 1</v>
      </c>
      <c r="C197" s="3" t="str">
        <f>新!B196</f>
        <v>[AC] 079 - Truffles.bin</v>
      </c>
      <c r="D197" s="2" t="str">
        <f>IFERROR(INDEX(旧!A:A,MATCH(测试!A197,旧!E:E,0)),0)</f>
        <v>Animal Crossing\Cards - Series 1</v>
      </c>
      <c r="E197" s="2" t="str">
        <f>IFERROR(INDEX(旧!B:B,MATCH(测试!A197,旧!E:E,0)),0)</f>
        <v>[AC] 079 - Truffles.bin</v>
      </c>
      <c r="F197" s="9">
        <f>IFERROR(IF(B197=INDEX(转换!B:B,MATCH(D197,转换!A:A,0)),0,1),1)</f>
        <v>0</v>
      </c>
      <c r="G197" s="9">
        <f t="shared" si="6"/>
        <v>0</v>
      </c>
      <c r="H197" s="9" t="str">
        <f t="shared" si="7"/>
        <v>-</v>
      </c>
    </row>
    <row r="198" spans="1:8" x14ac:dyDescent="0.3">
      <c r="A198" s="3" t="str">
        <f>新!E197</f>
        <v>CRC32:56AF3BAA</v>
      </c>
      <c r="B198" s="3" t="str">
        <f>新!A197</f>
        <v>Animal Crossing\Cards\Series 1</v>
      </c>
      <c r="C198" s="3" t="str">
        <f>新!B197</f>
        <v>[AC] 080 - Eugene.bin</v>
      </c>
      <c r="D198" s="2" t="str">
        <f>IFERROR(INDEX(旧!A:A,MATCH(测试!A198,旧!E:E,0)),0)</f>
        <v>Animal Crossing\Cards - Series 1</v>
      </c>
      <c r="E198" s="2" t="str">
        <f>IFERROR(INDEX(旧!B:B,MATCH(测试!A198,旧!E:E,0)),0)</f>
        <v>[AC] 080 - Eugene.bin</v>
      </c>
      <c r="F198" s="9">
        <f>IFERROR(IF(B198=INDEX(转换!B:B,MATCH(D198,转换!A:A,0)),0,1),1)</f>
        <v>0</v>
      </c>
      <c r="G198" s="9">
        <f t="shared" si="6"/>
        <v>0</v>
      </c>
      <c r="H198" s="9" t="str">
        <f t="shared" si="7"/>
        <v>-</v>
      </c>
    </row>
    <row r="199" spans="1:8" x14ac:dyDescent="0.3">
      <c r="A199" s="3" t="str">
        <f>新!E198</f>
        <v>CRC32:955B9CA7</v>
      </c>
      <c r="B199" s="3" t="str">
        <f>新!A198</f>
        <v>Animal Crossing\Cards\Series 1</v>
      </c>
      <c r="C199" s="3" t="str">
        <f>新!B198</f>
        <v>[AC] 081 - Eunice.bin</v>
      </c>
      <c r="D199" s="2" t="str">
        <f>IFERROR(INDEX(旧!A:A,MATCH(测试!A199,旧!E:E,0)),0)</f>
        <v>Animal Crossing\Cards - Series 1</v>
      </c>
      <c r="E199" s="2" t="str">
        <f>IFERROR(INDEX(旧!B:B,MATCH(测试!A199,旧!E:E,0)),0)</f>
        <v>[AC] 081 - Eunice.bin</v>
      </c>
      <c r="F199" s="9">
        <f>IFERROR(IF(B199=INDEX(转换!B:B,MATCH(D199,转换!A:A,0)),0,1),1)</f>
        <v>0</v>
      </c>
      <c r="G199" s="9">
        <f t="shared" si="6"/>
        <v>0</v>
      </c>
      <c r="H199" s="9" t="str">
        <f t="shared" si="7"/>
        <v>-</v>
      </c>
    </row>
    <row r="200" spans="1:8" x14ac:dyDescent="0.3">
      <c r="A200" s="3" t="str">
        <f>新!E199</f>
        <v>CRC32:51C141F0</v>
      </c>
      <c r="B200" s="3" t="str">
        <f>新!A199</f>
        <v>Animal Crossing\Cards\Series 1</v>
      </c>
      <c r="C200" s="3" t="str">
        <f>新!B199</f>
        <v>[AC] 082 - Goose.bin</v>
      </c>
      <c r="D200" s="2" t="str">
        <f>IFERROR(INDEX(旧!A:A,MATCH(测试!A200,旧!E:E,0)),0)</f>
        <v>Animal Crossing\Cards - Series 1</v>
      </c>
      <c r="E200" s="2" t="str">
        <f>IFERROR(INDEX(旧!B:B,MATCH(测试!A200,旧!E:E,0)),0)</f>
        <v>[AC] 082 - Goose.bin</v>
      </c>
      <c r="F200" s="9">
        <f>IFERROR(IF(B200=INDEX(转换!B:B,MATCH(D200,转换!A:A,0)),0,1),1)</f>
        <v>0</v>
      </c>
      <c r="G200" s="9">
        <f t="shared" si="6"/>
        <v>0</v>
      </c>
      <c r="H200" s="9" t="str">
        <f t="shared" si="7"/>
        <v>-</v>
      </c>
    </row>
    <row r="201" spans="1:8" x14ac:dyDescent="0.3">
      <c r="A201" s="3" t="str">
        <f>新!E200</f>
        <v>CRC32:C194C5A5</v>
      </c>
      <c r="B201" s="3" t="str">
        <f>新!A200</f>
        <v>Animal Crossing\Cards\Series 1</v>
      </c>
      <c r="C201" s="3" t="str">
        <f>新!B200</f>
        <v>[AC] 083 - Annalisa.bin</v>
      </c>
      <c r="D201" s="2" t="str">
        <f>IFERROR(INDEX(旧!A:A,MATCH(测试!A201,旧!E:E,0)),0)</f>
        <v>Animal Crossing\Cards - Series 1</v>
      </c>
      <c r="E201" s="2" t="str">
        <f>IFERROR(INDEX(旧!B:B,MATCH(测试!A201,旧!E:E,0)),0)</f>
        <v>[AC] 083 - Annalisa.bin</v>
      </c>
      <c r="F201" s="9">
        <f>IFERROR(IF(B201=INDEX(转换!B:B,MATCH(D201,转换!A:A,0)),0,1),1)</f>
        <v>0</v>
      </c>
      <c r="G201" s="9">
        <f t="shared" si="6"/>
        <v>0</v>
      </c>
      <c r="H201" s="9" t="str">
        <f t="shared" si="7"/>
        <v>-</v>
      </c>
    </row>
    <row r="202" spans="1:8" x14ac:dyDescent="0.3">
      <c r="A202" s="3" t="str">
        <f>新!E201</f>
        <v>CRC32:C76A0056</v>
      </c>
      <c r="B202" s="3" t="str">
        <f>新!A201</f>
        <v>Animal Crossing\Cards\Series 1</v>
      </c>
      <c r="C202" s="3" t="str">
        <f>新!B201</f>
        <v>[AC] 084 - Benjamin.bin</v>
      </c>
      <c r="D202" s="2" t="str">
        <f>IFERROR(INDEX(旧!A:A,MATCH(测试!A202,旧!E:E,0)),0)</f>
        <v>Animal Crossing\Cards - Series 1</v>
      </c>
      <c r="E202" s="2" t="str">
        <f>IFERROR(INDEX(旧!B:B,MATCH(测试!A202,旧!E:E,0)),0)</f>
        <v>[AC] 084 - Benjamin.bin</v>
      </c>
      <c r="F202" s="9">
        <f>IFERROR(IF(B202=INDEX(转换!B:B,MATCH(D202,转换!A:A,0)),0,1),1)</f>
        <v>0</v>
      </c>
      <c r="G202" s="9">
        <f t="shared" si="6"/>
        <v>0</v>
      </c>
      <c r="H202" s="9" t="str">
        <f t="shared" si="7"/>
        <v>-</v>
      </c>
    </row>
    <row r="203" spans="1:8" x14ac:dyDescent="0.3">
      <c r="A203" s="3" t="str">
        <f>新!E202</f>
        <v>CRC32:8B6683C0</v>
      </c>
      <c r="B203" s="3" t="str">
        <f>新!A202</f>
        <v>Animal Crossing\Cards\Series 1</v>
      </c>
      <c r="C203" s="3" t="str">
        <f>新!B202</f>
        <v>[AC] 085 - Pancetti.bin</v>
      </c>
      <c r="D203" s="2" t="str">
        <f>IFERROR(INDEX(旧!A:A,MATCH(测试!A203,旧!E:E,0)),0)</f>
        <v>Animal Crossing\Cards - Series 1</v>
      </c>
      <c r="E203" s="2" t="str">
        <f>IFERROR(INDEX(旧!B:B,MATCH(测试!A203,旧!E:E,0)),0)</f>
        <v>[AC] 085 - Pancetti.bin</v>
      </c>
      <c r="F203" s="9">
        <f>IFERROR(IF(B203=INDEX(转换!B:B,MATCH(D203,转换!A:A,0)),0,1),1)</f>
        <v>0</v>
      </c>
      <c r="G203" s="9">
        <f t="shared" si="6"/>
        <v>0</v>
      </c>
      <c r="H203" s="9" t="str">
        <f t="shared" si="7"/>
        <v>-</v>
      </c>
    </row>
    <row r="204" spans="1:8" x14ac:dyDescent="0.3">
      <c r="A204" s="3" t="str">
        <f>新!E203</f>
        <v>CRC32:7AC5F4E8</v>
      </c>
      <c r="B204" s="3" t="str">
        <f>新!A203</f>
        <v>Animal Crossing\Cards\Series 1</v>
      </c>
      <c r="C204" s="3" t="str">
        <f>新!B203</f>
        <v>[AC] 086 - Chief.bin</v>
      </c>
      <c r="D204" s="2" t="str">
        <f>IFERROR(INDEX(旧!A:A,MATCH(测试!A204,旧!E:E,0)),0)</f>
        <v>Animal Crossing\Cards - Series 1</v>
      </c>
      <c r="E204" s="2" t="str">
        <f>IFERROR(INDEX(旧!B:B,MATCH(测试!A204,旧!E:E,0)),0)</f>
        <v>[AC] 086 - Chief.bin</v>
      </c>
      <c r="F204" s="9">
        <f>IFERROR(IF(B204=INDEX(转换!B:B,MATCH(D204,转换!A:A,0)),0,1),1)</f>
        <v>0</v>
      </c>
      <c r="G204" s="9">
        <f t="shared" si="6"/>
        <v>0</v>
      </c>
      <c r="H204" s="9" t="str">
        <f t="shared" si="7"/>
        <v>-</v>
      </c>
    </row>
    <row r="205" spans="1:8" x14ac:dyDescent="0.3">
      <c r="A205" s="3" t="str">
        <f>新!E204</f>
        <v>CRC32:F24FC4F4</v>
      </c>
      <c r="B205" s="3" t="str">
        <f>新!A204</f>
        <v>Animal Crossing\Cards\Series 1</v>
      </c>
      <c r="C205" s="3" t="str">
        <f>新!B204</f>
        <v>[AC] 087 - Bunnie.bin</v>
      </c>
      <c r="D205" s="2" t="str">
        <f>IFERROR(INDEX(旧!A:A,MATCH(测试!A205,旧!E:E,0)),0)</f>
        <v>Animal Crossing\Cards - Series 1</v>
      </c>
      <c r="E205" s="2" t="str">
        <f>IFERROR(INDEX(旧!B:B,MATCH(测试!A205,旧!E:E,0)),0)</f>
        <v>[AC] 087 - Bunnie.bin</v>
      </c>
      <c r="F205" s="9">
        <f>IFERROR(IF(B205=INDEX(转换!B:B,MATCH(D205,转换!A:A,0)),0,1),1)</f>
        <v>0</v>
      </c>
      <c r="G205" s="9">
        <f t="shared" si="6"/>
        <v>0</v>
      </c>
      <c r="H205" s="9" t="str">
        <f t="shared" si="7"/>
        <v>-</v>
      </c>
    </row>
    <row r="206" spans="1:8" x14ac:dyDescent="0.3">
      <c r="A206" s="3" t="str">
        <f>新!E205</f>
        <v>CRC32:60F5317B</v>
      </c>
      <c r="B206" s="3" t="str">
        <f>新!A205</f>
        <v>Animal Crossing\Cards\Series 1</v>
      </c>
      <c r="C206" s="3" t="str">
        <f>新!B205</f>
        <v>[AC] 088 - Clay.bin</v>
      </c>
      <c r="D206" s="2" t="str">
        <f>IFERROR(INDEX(旧!A:A,MATCH(测试!A206,旧!E:E,0)),0)</f>
        <v>Animal Crossing\Cards - Series 1</v>
      </c>
      <c r="E206" s="2" t="str">
        <f>IFERROR(INDEX(旧!B:B,MATCH(测试!A206,旧!E:E,0)),0)</f>
        <v>[AC] 088 - Clay.bin</v>
      </c>
      <c r="F206" s="9">
        <f>IFERROR(IF(B206=INDEX(转换!B:B,MATCH(D206,转换!A:A,0)),0,1),1)</f>
        <v>0</v>
      </c>
      <c r="G206" s="9">
        <f t="shared" si="6"/>
        <v>0</v>
      </c>
      <c r="H206" s="9" t="str">
        <f t="shared" si="7"/>
        <v>-</v>
      </c>
    </row>
    <row r="207" spans="1:8" x14ac:dyDescent="0.3">
      <c r="A207" s="3" t="str">
        <f>新!E206</f>
        <v>CRC32:C0707FBA</v>
      </c>
      <c r="B207" s="3" t="str">
        <f>新!A206</f>
        <v>Animal Crossing\Cards\Series 1</v>
      </c>
      <c r="C207" s="3" t="str">
        <f>新!B206</f>
        <v>[AC] 089 - Diana.bin</v>
      </c>
      <c r="D207" s="2" t="str">
        <f>IFERROR(INDEX(旧!A:A,MATCH(测试!A207,旧!E:E,0)),0)</f>
        <v>Animal Crossing\Cards - Series 1</v>
      </c>
      <c r="E207" s="2" t="str">
        <f>IFERROR(INDEX(旧!B:B,MATCH(测试!A207,旧!E:E,0)),0)</f>
        <v>[AC] 089 - Diana.bin</v>
      </c>
      <c r="F207" s="9">
        <f>IFERROR(IF(B207=INDEX(转换!B:B,MATCH(D207,转换!A:A,0)),0,1),1)</f>
        <v>0</v>
      </c>
      <c r="G207" s="9">
        <f t="shared" si="6"/>
        <v>0</v>
      </c>
      <c r="H207" s="9" t="str">
        <f t="shared" si="7"/>
        <v>-</v>
      </c>
    </row>
    <row r="208" spans="1:8" x14ac:dyDescent="0.3">
      <c r="A208" s="3" t="str">
        <f>新!E207</f>
        <v>CRC32:EAE96050</v>
      </c>
      <c r="B208" s="3" t="str">
        <f>新!A207</f>
        <v>Animal Crossing\Cards\Series 1</v>
      </c>
      <c r="C208" s="3" t="str">
        <f>新!B207</f>
        <v>[AC] 090 - Axel.bin</v>
      </c>
      <c r="D208" s="2" t="str">
        <f>IFERROR(INDEX(旧!A:A,MATCH(测试!A208,旧!E:E,0)),0)</f>
        <v>Animal Crossing\Cards - Series 1</v>
      </c>
      <c r="E208" s="2" t="str">
        <f>IFERROR(INDEX(旧!B:B,MATCH(测试!A208,旧!E:E,0)),0)</f>
        <v>[AC] 090 - Axel.bin</v>
      </c>
      <c r="F208" s="9">
        <f>IFERROR(IF(B208=INDEX(转换!B:B,MATCH(D208,转换!A:A,0)),0,1),1)</f>
        <v>0</v>
      </c>
      <c r="G208" s="9">
        <f t="shared" si="6"/>
        <v>0</v>
      </c>
      <c r="H208" s="9" t="str">
        <f t="shared" si="7"/>
        <v>-</v>
      </c>
    </row>
    <row r="209" spans="1:8" x14ac:dyDescent="0.3">
      <c r="A209" s="3" t="str">
        <f>新!E208</f>
        <v>CRC32:8570E6A4</v>
      </c>
      <c r="B209" s="3" t="str">
        <f>新!A208</f>
        <v>Animal Crossing\Cards\Series 1</v>
      </c>
      <c r="C209" s="3" t="str">
        <f>新!B208</f>
        <v>[AC] 091 - Muffy.bin</v>
      </c>
      <c r="D209" s="2" t="str">
        <f>IFERROR(INDEX(旧!A:A,MATCH(测试!A209,旧!E:E,0)),0)</f>
        <v>Animal Crossing\Cards - Series 1</v>
      </c>
      <c r="E209" s="2" t="str">
        <f>IFERROR(INDEX(旧!B:B,MATCH(测试!A209,旧!E:E,0)),0)</f>
        <v>[AC] 091 - Muffy.bin</v>
      </c>
      <c r="F209" s="9">
        <f>IFERROR(IF(B209=INDEX(转换!B:B,MATCH(D209,转换!A:A,0)),0,1),1)</f>
        <v>0</v>
      </c>
      <c r="G209" s="9">
        <f t="shared" si="6"/>
        <v>0</v>
      </c>
      <c r="H209" s="9" t="str">
        <f t="shared" si="7"/>
        <v>-</v>
      </c>
    </row>
    <row r="210" spans="1:8" x14ac:dyDescent="0.3">
      <c r="A210" s="3" t="str">
        <f>新!E209</f>
        <v>CRC32:8F734118</v>
      </c>
      <c r="B210" s="3" t="str">
        <f>新!A209</f>
        <v>Animal Crossing\Cards\Series 1</v>
      </c>
      <c r="C210" s="3" t="str">
        <f>新!B209</f>
        <v>[AC] 092 - Henry.bin</v>
      </c>
      <c r="D210" s="2" t="str">
        <f>IFERROR(INDEX(旧!A:A,MATCH(测试!A210,旧!E:E,0)),0)</f>
        <v>Animal Crossing\Cards - Series 1</v>
      </c>
      <c r="E210" s="2" t="str">
        <f>IFERROR(INDEX(旧!B:B,MATCH(测试!A210,旧!E:E,0)),0)</f>
        <v>[AC] 092 - Henry.bin</v>
      </c>
      <c r="F210" s="9">
        <f>IFERROR(IF(B210=INDEX(转换!B:B,MATCH(D210,转换!A:A,0)),0,1),1)</f>
        <v>0</v>
      </c>
      <c r="G210" s="9">
        <f t="shared" si="6"/>
        <v>0</v>
      </c>
      <c r="H210" s="9" t="str">
        <f t="shared" si="7"/>
        <v>-</v>
      </c>
    </row>
    <row r="211" spans="1:8" x14ac:dyDescent="0.3">
      <c r="A211" s="3" t="str">
        <f>新!E210</f>
        <v>CRC32:82804F04</v>
      </c>
      <c r="B211" s="3" t="str">
        <f>新!A210</f>
        <v>Animal Crossing\Cards\Series 1</v>
      </c>
      <c r="C211" s="3" t="str">
        <f>新!B210</f>
        <v>[AC] 093 - Bertha.bin</v>
      </c>
      <c r="D211" s="2" t="str">
        <f>IFERROR(INDEX(旧!A:A,MATCH(测试!A211,旧!E:E,0)),0)</f>
        <v>Animal Crossing\Cards - Series 1</v>
      </c>
      <c r="E211" s="2" t="str">
        <f>IFERROR(INDEX(旧!B:B,MATCH(测试!A211,旧!E:E,0)),0)</f>
        <v>[AC] 093 - Bertha.bin</v>
      </c>
      <c r="F211" s="9">
        <f>IFERROR(IF(B211=INDEX(转换!B:B,MATCH(D211,转换!A:A,0)),0,1),1)</f>
        <v>0</v>
      </c>
      <c r="G211" s="9">
        <f t="shared" si="6"/>
        <v>0</v>
      </c>
      <c r="H211" s="9" t="str">
        <f t="shared" si="7"/>
        <v>-</v>
      </c>
    </row>
    <row r="212" spans="1:8" x14ac:dyDescent="0.3">
      <c r="A212" s="3" t="str">
        <f>新!E211</f>
        <v>CRC32:6F7CEE61</v>
      </c>
      <c r="B212" s="3" t="str">
        <f>新!A211</f>
        <v>Animal Crossing\Cards\Series 1</v>
      </c>
      <c r="C212" s="3" t="str">
        <f>新!B211</f>
        <v>[AC] 094 - Cyrano.bin</v>
      </c>
      <c r="D212" s="2" t="str">
        <f>IFERROR(INDEX(旧!A:A,MATCH(测试!A212,旧!E:E,0)),0)</f>
        <v>Animal Crossing\Cards - Series 1</v>
      </c>
      <c r="E212" s="2" t="str">
        <f>IFERROR(INDEX(旧!B:B,MATCH(测试!A212,旧!E:E,0)),0)</f>
        <v>[AC] 094 - Cyrano.bin</v>
      </c>
      <c r="F212" s="9">
        <f>IFERROR(IF(B212=INDEX(转换!B:B,MATCH(D212,转换!A:A,0)),0,1),1)</f>
        <v>0</v>
      </c>
      <c r="G212" s="9">
        <f t="shared" si="6"/>
        <v>0</v>
      </c>
      <c r="H212" s="9" t="str">
        <f t="shared" si="7"/>
        <v>-</v>
      </c>
    </row>
    <row r="213" spans="1:8" x14ac:dyDescent="0.3">
      <c r="A213" s="3" t="str">
        <f>新!E212</f>
        <v>CRC32:7D374DBD</v>
      </c>
      <c r="B213" s="3" t="str">
        <f>新!A212</f>
        <v>Animal Crossing\Cards\Series 1</v>
      </c>
      <c r="C213" s="3" t="str">
        <f>新!B212</f>
        <v>[AC] 095 - Peanut.bin</v>
      </c>
      <c r="D213" s="2" t="str">
        <f>IFERROR(INDEX(旧!A:A,MATCH(测试!A213,旧!E:E,0)),0)</f>
        <v>Animal Crossing\Cards - Series 1</v>
      </c>
      <c r="E213" s="2" t="str">
        <f>IFERROR(INDEX(旧!B:B,MATCH(测试!A213,旧!E:E,0)),0)</f>
        <v>[AC] 095 - Peanut.bin</v>
      </c>
      <c r="F213" s="9">
        <f>IFERROR(IF(B213=INDEX(转换!B:B,MATCH(D213,转换!A:A,0)),0,1),1)</f>
        <v>0</v>
      </c>
      <c r="G213" s="9">
        <f t="shared" si="6"/>
        <v>0</v>
      </c>
      <c r="H213" s="9" t="str">
        <f t="shared" si="7"/>
        <v>-</v>
      </c>
    </row>
    <row r="214" spans="1:8" x14ac:dyDescent="0.3">
      <c r="A214" s="3" t="str">
        <f>新!E213</f>
        <v>CRC32:67F3A8A4</v>
      </c>
      <c r="B214" s="3" t="str">
        <f>新!A213</f>
        <v>Animal Crossing\Cards\Series 1</v>
      </c>
      <c r="C214" s="3" t="str">
        <f>新!B213</f>
        <v>[AC] 096 - Cole.bin</v>
      </c>
      <c r="D214" s="2" t="str">
        <f>IFERROR(INDEX(旧!A:A,MATCH(测试!A214,旧!E:E,0)),0)</f>
        <v>Animal Crossing\Cards - Series 1</v>
      </c>
      <c r="E214" s="2" t="str">
        <f>IFERROR(INDEX(旧!B:B,MATCH(测试!A214,旧!E:E,0)),0)</f>
        <v>[AC] 096 - Cole.bin</v>
      </c>
      <c r="F214" s="9">
        <f>IFERROR(IF(B214=INDEX(转换!B:B,MATCH(D214,转换!A:A,0)),0,1),1)</f>
        <v>0</v>
      </c>
      <c r="G214" s="9">
        <f t="shared" si="6"/>
        <v>0</v>
      </c>
      <c r="H214" s="9" t="str">
        <f t="shared" si="7"/>
        <v>-</v>
      </c>
    </row>
    <row r="215" spans="1:8" x14ac:dyDescent="0.3">
      <c r="A215" s="3" t="str">
        <f>新!E214</f>
        <v>CRC32:E0081E7A</v>
      </c>
      <c r="B215" s="3" t="str">
        <f>新!A214</f>
        <v>Animal Crossing\Cards\Series 1</v>
      </c>
      <c r="C215" s="3" t="str">
        <f>新!B214</f>
        <v>[AC] 097 - Willow.bin</v>
      </c>
      <c r="D215" s="2" t="str">
        <f>IFERROR(INDEX(旧!A:A,MATCH(测试!A215,旧!E:E,0)),0)</f>
        <v>Animal Crossing\Cards - Series 1</v>
      </c>
      <c r="E215" s="2" t="str">
        <f>IFERROR(INDEX(旧!B:B,MATCH(测试!A215,旧!E:E,0)),0)</f>
        <v>[AC] 097 - Willow.bin</v>
      </c>
      <c r="F215" s="9">
        <f>IFERROR(IF(B215=INDEX(转换!B:B,MATCH(D215,转换!A:A,0)),0,1),1)</f>
        <v>0</v>
      </c>
      <c r="G215" s="9">
        <f t="shared" si="6"/>
        <v>0</v>
      </c>
      <c r="H215" s="9" t="str">
        <f t="shared" si="7"/>
        <v>-</v>
      </c>
    </row>
    <row r="216" spans="1:8" x14ac:dyDescent="0.3">
      <c r="A216" s="3" t="str">
        <f>新!E215</f>
        <v>CRC32:8A994CC8</v>
      </c>
      <c r="B216" s="3" t="str">
        <f>新!A215</f>
        <v>Animal Crossing\Cards\Series 1</v>
      </c>
      <c r="C216" s="3" t="str">
        <f>新!B215</f>
        <v>[AC] 098 - Roald.bin</v>
      </c>
      <c r="D216" s="2" t="str">
        <f>IFERROR(INDEX(旧!A:A,MATCH(测试!A216,旧!E:E,0)),0)</f>
        <v>Animal Crossing\Cards - Series 1</v>
      </c>
      <c r="E216" s="2" t="str">
        <f>IFERROR(INDEX(旧!B:B,MATCH(测试!A216,旧!E:E,0)),0)</f>
        <v>[AC] 098 - Roald.bin</v>
      </c>
      <c r="F216" s="9">
        <f>IFERROR(IF(B216=INDEX(转换!B:B,MATCH(D216,转换!A:A,0)),0,1),1)</f>
        <v>0</v>
      </c>
      <c r="G216" s="9">
        <f t="shared" si="6"/>
        <v>0</v>
      </c>
      <c r="H216" s="9" t="str">
        <f t="shared" si="7"/>
        <v>-</v>
      </c>
    </row>
    <row r="217" spans="1:8" x14ac:dyDescent="0.3">
      <c r="A217" s="3" t="str">
        <f>新!E216</f>
        <v>CRC32:FD526DF0</v>
      </c>
      <c r="B217" s="3" t="str">
        <f>新!A216</f>
        <v>Animal Crossing\Cards\Series 1</v>
      </c>
      <c r="C217" s="3" t="str">
        <f>新!B216</f>
        <v>[AC] 099 - Molly.bin</v>
      </c>
      <c r="D217" s="2" t="str">
        <f>IFERROR(INDEX(旧!A:A,MATCH(测试!A217,旧!E:E,0)),0)</f>
        <v>Animal Crossing\Cards - Series 1</v>
      </c>
      <c r="E217" s="2" t="str">
        <f>IFERROR(INDEX(旧!B:B,MATCH(测试!A217,旧!E:E,0)),0)</f>
        <v>[AC] 099 - Molly.bin</v>
      </c>
      <c r="F217" s="9">
        <f>IFERROR(IF(B217=INDEX(转换!B:B,MATCH(D217,转换!A:A,0)),0,1),1)</f>
        <v>0</v>
      </c>
      <c r="G217" s="9">
        <f t="shared" si="6"/>
        <v>0</v>
      </c>
      <c r="H217" s="9" t="str">
        <f t="shared" si="7"/>
        <v>-</v>
      </c>
    </row>
    <row r="218" spans="1:8" x14ac:dyDescent="0.3">
      <c r="A218" s="3" t="str">
        <f>新!E217</f>
        <v>CRC32:F7CF4B0D</v>
      </c>
      <c r="B218" s="3" t="str">
        <f>新!A217</f>
        <v>Animal Crossing\Cards\Series 1</v>
      </c>
      <c r="C218" s="3" t="str">
        <f>新!B217</f>
        <v>[AC] 100 - Walker.bin</v>
      </c>
      <c r="D218" s="2" t="str">
        <f>IFERROR(INDEX(旧!A:A,MATCH(测试!A218,旧!E:E,0)),0)</f>
        <v>Animal Crossing\Cards - Series 1</v>
      </c>
      <c r="E218" s="2" t="str">
        <f>IFERROR(INDEX(旧!B:B,MATCH(测试!A218,旧!E:E,0)),0)</f>
        <v>[AC] 100 - Walker.bin</v>
      </c>
      <c r="F218" s="9">
        <f>IFERROR(IF(B218=INDEX(转换!B:B,MATCH(D218,转换!A:A,0)),0,1),1)</f>
        <v>0</v>
      </c>
      <c r="G218" s="9">
        <f t="shared" si="6"/>
        <v>0</v>
      </c>
      <c r="H218" s="9" t="str">
        <f t="shared" si="7"/>
        <v>-</v>
      </c>
    </row>
    <row r="219" spans="1:8" x14ac:dyDescent="0.3">
      <c r="A219" s="3" t="str">
        <f>新!E218</f>
        <v>CRC32:4B80982C</v>
      </c>
      <c r="B219" s="3" t="str">
        <f>新!A218</f>
        <v>Animal Crossing\Cards\Series 2</v>
      </c>
      <c r="C219" s="3" t="str">
        <f>新!B218</f>
        <v>[AC] 101 - K.K..bin</v>
      </c>
      <c r="D219" s="2" t="str">
        <f>IFERROR(INDEX(旧!A:A,MATCH(测试!A219,旧!E:E,0)),0)</f>
        <v>Animal Crossing\Cards - Series 2</v>
      </c>
      <c r="E219" s="2" t="str">
        <f>IFERROR(INDEX(旧!B:B,MATCH(测试!A219,旧!E:E,0)),0)</f>
        <v>[AC] 101 - K.K. Slider.bin</v>
      </c>
      <c r="F219" s="9">
        <f>IFERROR(IF(B219=INDEX(转换!B:B,MATCH(D219,转换!A:A,0)),0,1),1)</f>
        <v>0</v>
      </c>
      <c r="G219" s="9">
        <f t="shared" si="6"/>
        <v>1</v>
      </c>
      <c r="H219" s="9" t="str">
        <f t="shared" si="7"/>
        <v>文件名错误</v>
      </c>
    </row>
    <row r="220" spans="1:8" x14ac:dyDescent="0.3">
      <c r="A220" s="3" t="str">
        <f>新!E219</f>
        <v>CRC32:F9C28887</v>
      </c>
      <c r="B220" s="3" t="str">
        <f>新!A219</f>
        <v>Animal Crossing\Cards\Series 2</v>
      </c>
      <c r="C220" s="3" t="str">
        <f>新!B219</f>
        <v>[AC] 102 - Reese.bin</v>
      </c>
      <c r="D220" s="2" t="str">
        <f>IFERROR(INDEX(旧!A:A,MATCH(测试!A220,旧!E:E,0)),0)</f>
        <v>Animal Crossing\Cards - Series 2</v>
      </c>
      <c r="E220" s="2" t="str">
        <f>IFERROR(INDEX(旧!B:B,MATCH(测试!A220,旧!E:E,0)),0)</f>
        <v>[AC] 102 - Reese.bin</v>
      </c>
      <c r="F220" s="9">
        <f>IFERROR(IF(B220=INDEX(转换!B:B,MATCH(D220,转换!A:A,0)),0,1),1)</f>
        <v>0</v>
      </c>
      <c r="G220" s="9">
        <f t="shared" si="6"/>
        <v>0</v>
      </c>
      <c r="H220" s="9" t="str">
        <f t="shared" si="7"/>
        <v>-</v>
      </c>
    </row>
    <row r="221" spans="1:8" x14ac:dyDescent="0.3">
      <c r="A221" s="3" t="str">
        <f>新!E220</f>
        <v>CRC32:7484DC74</v>
      </c>
      <c r="B221" s="3" t="str">
        <f>新!A220</f>
        <v>Animal Crossing\Cards\Series 2</v>
      </c>
      <c r="C221" s="3" t="str">
        <f>新!B220</f>
        <v>[AC] 103 - Kicks.bin</v>
      </c>
      <c r="D221" s="2" t="str">
        <f>IFERROR(INDEX(旧!A:A,MATCH(测试!A221,旧!E:E,0)),0)</f>
        <v>Animal Crossing\Cards - Series 2</v>
      </c>
      <c r="E221" s="2" t="str">
        <f>IFERROR(INDEX(旧!B:B,MATCH(测试!A221,旧!E:E,0)),0)</f>
        <v>[AC] 103 - Kicks.bin</v>
      </c>
      <c r="F221" s="9">
        <f>IFERROR(IF(B221=INDEX(转换!B:B,MATCH(D221,转换!A:A,0)),0,1),1)</f>
        <v>0</v>
      </c>
      <c r="G221" s="9">
        <f t="shared" si="6"/>
        <v>0</v>
      </c>
      <c r="H221" s="9" t="str">
        <f t="shared" si="7"/>
        <v>-</v>
      </c>
    </row>
    <row r="222" spans="1:8" x14ac:dyDescent="0.3">
      <c r="A222" s="3" t="str">
        <f>新!E221</f>
        <v>CRC32:CB9E35C8</v>
      </c>
      <c r="B222" s="3" t="str">
        <f>新!A221</f>
        <v>Animal Crossing\Cards\Series 2</v>
      </c>
      <c r="C222" s="3" t="str">
        <f>新!B221</f>
        <v>[AC] 104 - Labelle.bin</v>
      </c>
      <c r="D222" s="2" t="str">
        <f>IFERROR(INDEX(旧!A:A,MATCH(测试!A222,旧!E:E,0)),0)</f>
        <v>Animal Crossing\Cards - Series 2</v>
      </c>
      <c r="E222" s="2" t="str">
        <f>IFERROR(INDEX(旧!B:B,MATCH(测试!A222,旧!E:E,0)),0)</f>
        <v>[AC] 104 - Labelle.bin</v>
      </c>
      <c r="F222" s="9">
        <f>IFERROR(IF(B222=INDEX(转换!B:B,MATCH(D222,转换!A:A,0)),0,1),1)</f>
        <v>0</v>
      </c>
      <c r="G222" s="9">
        <f t="shared" si="6"/>
        <v>0</v>
      </c>
      <c r="H222" s="9" t="str">
        <f t="shared" si="7"/>
        <v>-</v>
      </c>
    </row>
    <row r="223" spans="1:8" x14ac:dyDescent="0.3">
      <c r="A223" s="3" t="str">
        <f>新!E222</f>
        <v>CRC32:2141951D</v>
      </c>
      <c r="B223" s="3" t="str">
        <f>新!A222</f>
        <v>Animal Crossing\Cards\Series 2</v>
      </c>
      <c r="C223" s="3" t="str">
        <f>新!B222</f>
        <v>[AC] 105 - Copper.bin</v>
      </c>
      <c r="D223" s="2" t="str">
        <f>IFERROR(INDEX(旧!A:A,MATCH(测试!A223,旧!E:E,0)),0)</f>
        <v>Animal Crossing\Cards - Series 2</v>
      </c>
      <c r="E223" s="2" t="str">
        <f>IFERROR(INDEX(旧!B:B,MATCH(测试!A223,旧!E:E,0)),0)</f>
        <v>[AC] 105 - Copper.bin</v>
      </c>
      <c r="F223" s="9">
        <f>IFERROR(IF(B223=INDEX(转换!B:B,MATCH(D223,转换!A:A,0)),0,1),1)</f>
        <v>0</v>
      </c>
      <c r="G223" s="9">
        <f t="shared" si="6"/>
        <v>0</v>
      </c>
      <c r="H223" s="9" t="str">
        <f t="shared" si="7"/>
        <v>-</v>
      </c>
    </row>
    <row r="224" spans="1:8" x14ac:dyDescent="0.3">
      <c r="A224" s="3" t="str">
        <f>新!E223</f>
        <v>CRC32:AF3155EF</v>
      </c>
      <c r="B224" s="3" t="str">
        <f>新!A223</f>
        <v>Animal Crossing\Cards\Series 2</v>
      </c>
      <c r="C224" s="3" t="str">
        <f>新!B223</f>
        <v>[AC] 106 - Booker.bin</v>
      </c>
      <c r="D224" s="2" t="str">
        <f>IFERROR(INDEX(旧!A:A,MATCH(测试!A224,旧!E:E,0)),0)</f>
        <v>Animal Crossing\Cards - Series 2</v>
      </c>
      <c r="E224" s="2" t="str">
        <f>IFERROR(INDEX(旧!B:B,MATCH(测试!A224,旧!E:E,0)),0)</f>
        <v>[AC] 106 - Booker.bin</v>
      </c>
      <c r="F224" s="9">
        <f>IFERROR(IF(B224=INDEX(转换!B:B,MATCH(D224,转换!A:A,0)),0,1),1)</f>
        <v>0</v>
      </c>
      <c r="G224" s="9">
        <f t="shared" si="6"/>
        <v>0</v>
      </c>
      <c r="H224" s="9" t="str">
        <f t="shared" si="7"/>
        <v>-</v>
      </c>
    </row>
    <row r="225" spans="1:8" x14ac:dyDescent="0.3">
      <c r="A225" s="3" t="str">
        <f>新!E224</f>
        <v>CRC32:F64EBED2</v>
      </c>
      <c r="B225" s="3" t="str">
        <f>新!A224</f>
        <v>Animal Crossing\Cards\Series 2</v>
      </c>
      <c r="C225" s="3" t="str">
        <f>新!B224</f>
        <v>[AC] 107 - Katie.bin</v>
      </c>
      <c r="D225" s="2" t="str">
        <f>IFERROR(INDEX(旧!A:A,MATCH(测试!A225,旧!E:E,0)),0)</f>
        <v>Animal Crossing\Cards - Series 2</v>
      </c>
      <c r="E225" s="2" t="str">
        <f>IFERROR(INDEX(旧!B:B,MATCH(测试!A225,旧!E:E,0)),0)</f>
        <v>[AC] 107 - Katie.bin</v>
      </c>
      <c r="F225" s="9">
        <f>IFERROR(IF(B225=INDEX(转换!B:B,MATCH(D225,转换!A:A,0)),0,1),1)</f>
        <v>0</v>
      </c>
      <c r="G225" s="9">
        <f t="shared" si="6"/>
        <v>0</v>
      </c>
      <c r="H225" s="9" t="str">
        <f t="shared" si="7"/>
        <v>-</v>
      </c>
    </row>
    <row r="226" spans="1:8" x14ac:dyDescent="0.3">
      <c r="A226" s="3" t="str">
        <f>新!E225</f>
        <v>CRC32:320D214C</v>
      </c>
      <c r="B226" s="3" t="str">
        <f>新!A225</f>
        <v>Animal Crossing\Cards\Series 2</v>
      </c>
      <c r="C226" s="3" t="str">
        <f>新!B225</f>
        <v>[AC] 108 - Tommy.bin</v>
      </c>
      <c r="D226" s="2" t="str">
        <f>IFERROR(INDEX(旧!A:A,MATCH(测试!A226,旧!E:E,0)),0)</f>
        <v>Animal Crossing\Cards - Series 2</v>
      </c>
      <c r="E226" s="2" t="str">
        <f>IFERROR(INDEX(旧!B:B,MATCH(测试!A226,旧!E:E,0)),0)</f>
        <v>[AC] 108 - Tommy.bin</v>
      </c>
      <c r="F226" s="9">
        <f>IFERROR(IF(B226=INDEX(转换!B:B,MATCH(D226,转换!A:A,0)),0,1),1)</f>
        <v>0</v>
      </c>
      <c r="G226" s="9">
        <f t="shared" si="6"/>
        <v>0</v>
      </c>
      <c r="H226" s="9" t="str">
        <f t="shared" si="7"/>
        <v>-</v>
      </c>
    </row>
    <row r="227" spans="1:8" x14ac:dyDescent="0.3">
      <c r="A227" s="3" t="str">
        <f>新!E226</f>
        <v>CRC32:8449E930</v>
      </c>
      <c r="B227" s="3" t="str">
        <f>新!A226</f>
        <v>Animal Crossing\Cards\Series 2</v>
      </c>
      <c r="C227" s="3" t="str">
        <f>新!B226</f>
        <v>[AC] 109 - Porter.bin</v>
      </c>
      <c r="D227" s="2" t="str">
        <f>IFERROR(INDEX(旧!A:A,MATCH(测试!A227,旧!E:E,0)),0)</f>
        <v>Animal Crossing\Cards - Series 2</v>
      </c>
      <c r="E227" s="2" t="str">
        <f>IFERROR(INDEX(旧!B:B,MATCH(测试!A227,旧!E:E,0)),0)</f>
        <v>[AC] 109 - Porter.bin</v>
      </c>
      <c r="F227" s="9">
        <f>IFERROR(IF(B227=INDEX(转换!B:B,MATCH(D227,转换!A:A,0)),0,1),1)</f>
        <v>0</v>
      </c>
      <c r="G227" s="9">
        <f t="shared" si="6"/>
        <v>0</v>
      </c>
      <c r="H227" s="9" t="str">
        <f t="shared" si="7"/>
        <v>-</v>
      </c>
    </row>
    <row r="228" spans="1:8" x14ac:dyDescent="0.3">
      <c r="A228" s="3" t="str">
        <f>新!E227</f>
        <v>CRC32:B8FCF38B</v>
      </c>
      <c r="B228" s="3" t="str">
        <f>新!A227</f>
        <v>Animal Crossing\Cards\Series 2</v>
      </c>
      <c r="C228" s="3" t="str">
        <f>新!B227</f>
        <v>[AC] 110 - Leila.bin</v>
      </c>
      <c r="D228" s="2" t="str">
        <f>IFERROR(INDEX(旧!A:A,MATCH(测试!A228,旧!E:E,0)),0)</f>
        <v>Animal Crossing\Cards - Series 2</v>
      </c>
      <c r="E228" s="2" t="str">
        <f>IFERROR(INDEX(旧!B:B,MATCH(测试!A228,旧!E:E,0)),0)</f>
        <v>[AC] 110 - Leila.bin</v>
      </c>
      <c r="F228" s="9">
        <f>IFERROR(IF(B228=INDEX(转换!B:B,MATCH(D228,转换!A:A,0)),0,1),1)</f>
        <v>0</v>
      </c>
      <c r="G228" s="9">
        <f t="shared" si="6"/>
        <v>0</v>
      </c>
      <c r="H228" s="9" t="str">
        <f t="shared" si="7"/>
        <v>-</v>
      </c>
    </row>
    <row r="229" spans="1:8" x14ac:dyDescent="0.3">
      <c r="A229" s="3" t="str">
        <f>新!E228</f>
        <v>CRC32:CEAAA1FB</v>
      </c>
      <c r="B229" s="3" t="str">
        <f>新!A228</f>
        <v>Animal Crossing\Cards\Series 2</v>
      </c>
      <c r="C229" s="3" t="str">
        <f>新!B228</f>
        <v>[AC] 111 - Shrunk.bin</v>
      </c>
      <c r="D229" s="2" t="str">
        <f>IFERROR(INDEX(旧!A:A,MATCH(测试!A229,旧!E:E,0)),0)</f>
        <v>Animal Crossing\Cards - Series 2</v>
      </c>
      <c r="E229" s="2" t="str">
        <f>IFERROR(INDEX(旧!B:B,MATCH(测试!A229,旧!E:E,0)),0)</f>
        <v>[AC] 111 - Shrunk.bin</v>
      </c>
      <c r="F229" s="9">
        <f>IFERROR(IF(B229=INDEX(转换!B:B,MATCH(D229,转换!A:A,0)),0,1),1)</f>
        <v>0</v>
      </c>
      <c r="G229" s="9">
        <f t="shared" si="6"/>
        <v>0</v>
      </c>
      <c r="H229" s="9" t="str">
        <f t="shared" si="7"/>
        <v>-</v>
      </c>
    </row>
    <row r="230" spans="1:8" x14ac:dyDescent="0.3">
      <c r="A230" s="3" t="str">
        <f>新!E229</f>
        <v>CRC32:E50EA243</v>
      </c>
      <c r="B230" s="3" t="str">
        <f>新!A229</f>
        <v>Animal Crossing\Cards\Series 2</v>
      </c>
      <c r="C230" s="3" t="str">
        <f>新!B229</f>
        <v>[AC] 112 - Don.bin</v>
      </c>
      <c r="D230" s="2" t="str">
        <f>IFERROR(INDEX(旧!A:A,MATCH(测试!A230,旧!E:E,0)),0)</f>
        <v>Animal Crossing\Cards - Series 2</v>
      </c>
      <c r="E230" s="2" t="str">
        <f>IFERROR(INDEX(旧!B:B,MATCH(测试!A230,旧!E:E,0)),0)</f>
        <v>[AC] 112 - Don Resetti.bin</v>
      </c>
      <c r="F230" s="9">
        <f>IFERROR(IF(B230=INDEX(转换!B:B,MATCH(D230,转换!A:A,0)),0,1),1)</f>
        <v>0</v>
      </c>
      <c r="G230" s="9">
        <f t="shared" si="6"/>
        <v>1</v>
      </c>
      <c r="H230" s="9" t="str">
        <f t="shared" si="7"/>
        <v>文件名错误</v>
      </c>
    </row>
    <row r="231" spans="1:8" x14ac:dyDescent="0.3">
      <c r="A231" s="3" t="str">
        <f>新!E230</f>
        <v>CRC32:ECDBEC86</v>
      </c>
      <c r="B231" s="3" t="str">
        <f>新!A230</f>
        <v>Animal Crossing\Cards\Series 2</v>
      </c>
      <c r="C231" s="3" t="str">
        <f>新!B230</f>
        <v>[AC] 113 - Isabelle (Winter).bin</v>
      </c>
      <c r="D231" s="2" t="str">
        <f>IFERROR(INDEX(旧!A:A,MATCH(测试!A231,旧!E:E,0)),0)</f>
        <v>Animal Crossing\Cards - Series 2</v>
      </c>
      <c r="E231" s="2" t="str">
        <f>IFERROR(INDEX(旧!B:B,MATCH(测试!A231,旧!E:E,0)),0)</f>
        <v>[AC] 113 - Isabelle.bin</v>
      </c>
      <c r="F231" s="9">
        <f>IFERROR(IF(B231=INDEX(转换!B:B,MATCH(D231,转换!A:A,0)),0,1),1)</f>
        <v>0</v>
      </c>
      <c r="G231" s="9">
        <f t="shared" si="6"/>
        <v>1</v>
      </c>
      <c r="H231" s="9" t="str">
        <f t="shared" si="7"/>
        <v>文件名错误</v>
      </c>
    </row>
    <row r="232" spans="1:8" x14ac:dyDescent="0.3">
      <c r="A232" s="3" t="str">
        <f>新!E231</f>
        <v>CRC32:BB7C5589</v>
      </c>
      <c r="B232" s="3" t="str">
        <f>新!A231</f>
        <v>Animal Crossing\Cards\Series 2</v>
      </c>
      <c r="C232" s="3" t="str">
        <f>新!B231</f>
        <v>[AC] 114 - Blanca.bin</v>
      </c>
      <c r="D232" s="2" t="str">
        <f>IFERROR(INDEX(旧!A:A,MATCH(测试!A232,旧!E:E,0)),0)</f>
        <v>Animal Crossing\Cards - Series 2</v>
      </c>
      <c r="E232" s="2" t="str">
        <f>IFERROR(INDEX(旧!B:B,MATCH(测试!A232,旧!E:E,0)),0)</f>
        <v>[AC] 114 - Blanca.bin</v>
      </c>
      <c r="F232" s="9">
        <f>IFERROR(IF(B232=INDEX(转换!B:B,MATCH(D232,转换!A:A,0)),0,1),1)</f>
        <v>0</v>
      </c>
      <c r="G232" s="9">
        <f t="shared" si="6"/>
        <v>0</v>
      </c>
      <c r="H232" s="9" t="str">
        <f t="shared" si="7"/>
        <v>-</v>
      </c>
    </row>
    <row r="233" spans="1:8" x14ac:dyDescent="0.3">
      <c r="A233" s="3" t="str">
        <f>新!E232</f>
        <v>CRC32:FB5F91C9</v>
      </c>
      <c r="B233" s="3" t="str">
        <f>新!A232</f>
        <v>Animal Crossing\Cards\Series 2</v>
      </c>
      <c r="C233" s="3" t="str">
        <f>新!B232</f>
        <v>[AC] 115 - Nat.bin</v>
      </c>
      <c r="D233" s="2" t="str">
        <f>IFERROR(INDEX(旧!A:A,MATCH(测试!A233,旧!E:E,0)),0)</f>
        <v>Animal Crossing\Cards - Series 2</v>
      </c>
      <c r="E233" s="2" t="str">
        <f>IFERROR(INDEX(旧!B:B,MATCH(测试!A233,旧!E:E,0)),0)</f>
        <v>[AC] 115 - Nat.bin</v>
      </c>
      <c r="F233" s="9">
        <f>IFERROR(IF(B233=INDEX(转换!B:B,MATCH(D233,转换!A:A,0)),0,1),1)</f>
        <v>0</v>
      </c>
      <c r="G233" s="9">
        <f t="shared" si="6"/>
        <v>0</v>
      </c>
      <c r="H233" s="9" t="str">
        <f t="shared" si="7"/>
        <v>-</v>
      </c>
    </row>
    <row r="234" spans="1:8" x14ac:dyDescent="0.3">
      <c r="A234" s="3" t="str">
        <f>新!E233</f>
        <v>CRC32:5D139876</v>
      </c>
      <c r="B234" s="3" t="str">
        <f>新!A233</f>
        <v>Animal Crossing\Cards\Series 2</v>
      </c>
      <c r="C234" s="3" t="str">
        <f>新!B233</f>
        <v>[AC] 116 - Chip.bin</v>
      </c>
      <c r="D234" s="2" t="str">
        <f>IFERROR(INDEX(旧!A:A,MATCH(测试!A234,旧!E:E,0)),0)</f>
        <v>Animal Crossing\Cards - Series 2</v>
      </c>
      <c r="E234" s="2" t="str">
        <f>IFERROR(INDEX(旧!B:B,MATCH(测试!A234,旧!E:E,0)),0)</f>
        <v>[AC] 116 - Chip.bin</v>
      </c>
      <c r="F234" s="9">
        <f>IFERROR(IF(B234=INDEX(转换!B:B,MATCH(D234,转换!A:A,0)),0,1),1)</f>
        <v>0</v>
      </c>
      <c r="G234" s="9">
        <f t="shared" si="6"/>
        <v>0</v>
      </c>
      <c r="H234" s="9" t="str">
        <f t="shared" si="7"/>
        <v>-</v>
      </c>
    </row>
    <row r="235" spans="1:8" x14ac:dyDescent="0.3">
      <c r="A235" s="3" t="str">
        <f>新!E234</f>
        <v>CRC32:3E455EA0</v>
      </c>
      <c r="B235" s="3" t="str">
        <f>新!A234</f>
        <v>Animal Crossing\Cards\Series 2</v>
      </c>
      <c r="C235" s="3" t="str">
        <f>新!B234</f>
        <v>[AC] 117 - Jack.bin</v>
      </c>
      <c r="D235" s="2" t="str">
        <f>IFERROR(INDEX(旧!A:A,MATCH(测试!A235,旧!E:E,0)),0)</f>
        <v>Animal Crossing\Cards - Series 2</v>
      </c>
      <c r="E235" s="2" t="str">
        <f>IFERROR(INDEX(旧!B:B,MATCH(测试!A235,旧!E:E,0)),0)</f>
        <v>[AC] 117 - Jack.bin</v>
      </c>
      <c r="F235" s="9">
        <f>IFERROR(IF(B235=INDEX(转换!B:B,MATCH(D235,转换!A:A,0)),0,1),1)</f>
        <v>0</v>
      </c>
      <c r="G235" s="9">
        <f t="shared" si="6"/>
        <v>0</v>
      </c>
      <c r="H235" s="9" t="str">
        <f t="shared" si="7"/>
        <v>-</v>
      </c>
    </row>
    <row r="236" spans="1:8" x14ac:dyDescent="0.3">
      <c r="A236" s="3" t="str">
        <f>新!E235</f>
        <v>CRC32:3D5E6239</v>
      </c>
      <c r="B236" s="3" t="str">
        <f>新!A235</f>
        <v>Animal Crossing\Cards\Series 2</v>
      </c>
      <c r="C236" s="3" t="str">
        <f>新!B235</f>
        <v>[AC] 118 - Poncho.bin</v>
      </c>
      <c r="D236" s="2" t="str">
        <f>IFERROR(INDEX(旧!A:A,MATCH(测试!A236,旧!E:E,0)),0)</f>
        <v>Animal Crossing\Cards - Series 2</v>
      </c>
      <c r="E236" s="2" t="str">
        <f>IFERROR(INDEX(旧!B:B,MATCH(测试!A236,旧!E:E,0)),0)</f>
        <v>[AC] 118 - Poncho.bin</v>
      </c>
      <c r="F236" s="9">
        <f>IFERROR(IF(B236=INDEX(转换!B:B,MATCH(D236,转换!A:A,0)),0,1),1)</f>
        <v>0</v>
      </c>
      <c r="G236" s="9">
        <f t="shared" ref="G236:G299" si="8">IF(E236=C236,0,1)</f>
        <v>0</v>
      </c>
      <c r="H236" s="9" t="str">
        <f t="shared" si="7"/>
        <v>-</v>
      </c>
    </row>
    <row r="237" spans="1:8" x14ac:dyDescent="0.3">
      <c r="A237" s="3" t="str">
        <f>新!E236</f>
        <v>CRC32:E23469B1</v>
      </c>
      <c r="B237" s="3" t="str">
        <f>新!A236</f>
        <v>Animal Crossing\Cards\Series 2</v>
      </c>
      <c r="C237" s="3" t="str">
        <f>新!B236</f>
        <v>[AC] 119 - Felicity.bin</v>
      </c>
      <c r="D237" s="2" t="str">
        <f>IFERROR(INDEX(旧!A:A,MATCH(测试!A237,旧!E:E,0)),0)</f>
        <v>Animal Crossing\Cards - Series 2</v>
      </c>
      <c r="E237" s="2" t="str">
        <f>IFERROR(INDEX(旧!B:B,MATCH(测试!A237,旧!E:E,0)),0)</f>
        <v>[AC] 119 - Felicity.bin</v>
      </c>
      <c r="F237" s="9">
        <f>IFERROR(IF(B237=INDEX(转换!B:B,MATCH(D237,转换!A:A,0)),0,1),1)</f>
        <v>0</v>
      </c>
      <c r="G237" s="9">
        <f t="shared" si="8"/>
        <v>0</v>
      </c>
      <c r="H237" s="9" t="str">
        <f t="shared" si="7"/>
        <v>-</v>
      </c>
    </row>
    <row r="238" spans="1:8" x14ac:dyDescent="0.3">
      <c r="A238" s="3" t="str">
        <f>新!E237</f>
        <v>CRC32:5BFF66B9</v>
      </c>
      <c r="B238" s="3" t="str">
        <f>新!A237</f>
        <v>Animal Crossing\Cards\Series 2</v>
      </c>
      <c r="C238" s="3" t="str">
        <f>新!B237</f>
        <v>[AC] 120 - Ozzie.bin</v>
      </c>
      <c r="D238" s="2" t="str">
        <f>IFERROR(INDEX(旧!A:A,MATCH(测试!A238,旧!E:E,0)),0)</f>
        <v>Animal Crossing\Cards - Series 2</v>
      </c>
      <c r="E238" s="2" t="str">
        <f>IFERROR(INDEX(旧!B:B,MATCH(测试!A238,旧!E:E,0)),0)</f>
        <v>[AC] 120 - Ozzie.bin</v>
      </c>
      <c r="F238" s="9">
        <f>IFERROR(IF(B238=INDEX(转换!B:B,MATCH(D238,转换!A:A,0)),0,1),1)</f>
        <v>0</v>
      </c>
      <c r="G238" s="9">
        <f t="shared" si="8"/>
        <v>0</v>
      </c>
      <c r="H238" s="9" t="str">
        <f t="shared" si="7"/>
        <v>-</v>
      </c>
    </row>
    <row r="239" spans="1:8" x14ac:dyDescent="0.3">
      <c r="A239" s="3" t="str">
        <f>新!E238</f>
        <v>CRC32:5D9A25CA</v>
      </c>
      <c r="B239" s="3" t="str">
        <f>新!A238</f>
        <v>Animal Crossing\Cards\Series 2</v>
      </c>
      <c r="C239" s="3" t="str">
        <f>新!B238</f>
        <v>[AC] 121 - Tia.bin</v>
      </c>
      <c r="D239" s="2" t="str">
        <f>IFERROR(INDEX(旧!A:A,MATCH(测试!A239,旧!E:E,0)),0)</f>
        <v>Animal Crossing\Cards - Series 2</v>
      </c>
      <c r="E239" s="2" t="str">
        <f>IFERROR(INDEX(旧!B:B,MATCH(测试!A239,旧!E:E,0)),0)</f>
        <v>[AC] 121 - Tia.bin</v>
      </c>
      <c r="F239" s="9">
        <f>IFERROR(IF(B239=INDEX(转换!B:B,MATCH(D239,转换!A:A,0)),0,1),1)</f>
        <v>0</v>
      </c>
      <c r="G239" s="9">
        <f t="shared" si="8"/>
        <v>0</v>
      </c>
      <c r="H239" s="9" t="str">
        <f t="shared" si="7"/>
        <v>-</v>
      </c>
    </row>
    <row r="240" spans="1:8" x14ac:dyDescent="0.3">
      <c r="A240" s="3" t="str">
        <f>新!E239</f>
        <v>CRC32:89D00B51</v>
      </c>
      <c r="B240" s="3" t="str">
        <f>新!A239</f>
        <v>Animal Crossing\Cards\Series 2</v>
      </c>
      <c r="C240" s="3" t="str">
        <f>新!B239</f>
        <v>[AC] 122 - Lucha.bin</v>
      </c>
      <c r="D240" s="2" t="str">
        <f>IFERROR(INDEX(旧!A:A,MATCH(测试!A240,旧!E:E,0)),0)</f>
        <v>Animal Crossing\Cards - Series 2</v>
      </c>
      <c r="E240" s="2" t="str">
        <f>IFERROR(INDEX(旧!B:B,MATCH(测试!A240,旧!E:E,0)),0)</f>
        <v>[AC] 122 - Lucha.bin</v>
      </c>
      <c r="F240" s="9">
        <f>IFERROR(IF(B240=INDEX(转换!B:B,MATCH(D240,转换!A:A,0)),0,1),1)</f>
        <v>0</v>
      </c>
      <c r="G240" s="9">
        <f t="shared" si="8"/>
        <v>0</v>
      </c>
      <c r="H240" s="9" t="str">
        <f t="shared" si="7"/>
        <v>-</v>
      </c>
    </row>
    <row r="241" spans="1:8" x14ac:dyDescent="0.3">
      <c r="A241" s="3" t="str">
        <f>新!E240</f>
        <v>CRC32:A9C43291</v>
      </c>
      <c r="B241" s="3" t="str">
        <f>新!A240</f>
        <v>Animal Crossing\Cards\Series 2</v>
      </c>
      <c r="C241" s="3" t="str">
        <f>新!B240</f>
        <v>[AC] 123 - Fuchsia.bin</v>
      </c>
      <c r="D241" s="2" t="str">
        <f>IFERROR(INDEX(旧!A:A,MATCH(测试!A241,旧!E:E,0)),0)</f>
        <v>Animal Crossing\Cards - Series 2</v>
      </c>
      <c r="E241" s="2" t="str">
        <f>IFERROR(INDEX(旧!B:B,MATCH(测试!A241,旧!E:E,0)),0)</f>
        <v>[AC] 123 - Fuchsia.bin</v>
      </c>
      <c r="F241" s="9">
        <f>IFERROR(IF(B241=INDEX(转换!B:B,MATCH(D241,转换!A:A,0)),0,1),1)</f>
        <v>0</v>
      </c>
      <c r="G241" s="9">
        <f t="shared" si="8"/>
        <v>0</v>
      </c>
      <c r="H241" s="9" t="str">
        <f t="shared" si="7"/>
        <v>-</v>
      </c>
    </row>
    <row r="242" spans="1:8" x14ac:dyDescent="0.3">
      <c r="A242" s="3" t="str">
        <f>新!E241</f>
        <v>CRC32:3BFCFBE8</v>
      </c>
      <c r="B242" s="3" t="str">
        <f>新!A241</f>
        <v>Animal Crossing\Cards\Series 2</v>
      </c>
      <c r="C242" s="3" t="str">
        <f>新!B241</f>
        <v>[AC] 124 - Harry.bin</v>
      </c>
      <c r="D242" s="2" t="str">
        <f>IFERROR(INDEX(旧!A:A,MATCH(测试!A242,旧!E:E,0)),0)</f>
        <v>Animal Crossing\Cards - Series 2</v>
      </c>
      <c r="E242" s="2" t="str">
        <f>IFERROR(INDEX(旧!B:B,MATCH(测试!A242,旧!E:E,0)),0)</f>
        <v>[AC] 124 - Harry.bin</v>
      </c>
      <c r="F242" s="9">
        <f>IFERROR(IF(B242=INDEX(转换!B:B,MATCH(D242,转换!A:A,0)),0,1),1)</f>
        <v>0</v>
      </c>
      <c r="G242" s="9">
        <f t="shared" si="8"/>
        <v>0</v>
      </c>
      <c r="H242" s="9" t="str">
        <f t="shared" si="7"/>
        <v>-</v>
      </c>
    </row>
    <row r="243" spans="1:8" x14ac:dyDescent="0.3">
      <c r="A243" s="3" t="str">
        <f>新!E242</f>
        <v>CRC32:B2A8088A</v>
      </c>
      <c r="B243" s="3" t="str">
        <f>新!A242</f>
        <v>Animal Crossing\Cards\Series 2</v>
      </c>
      <c r="C243" s="3" t="str">
        <f>新!B242</f>
        <v>[AC] 125 - Gwen.bin</v>
      </c>
      <c r="D243" s="2" t="str">
        <f>IFERROR(INDEX(旧!A:A,MATCH(测试!A243,旧!E:E,0)),0)</f>
        <v>Animal Crossing\Cards - Series 2</v>
      </c>
      <c r="E243" s="2" t="str">
        <f>IFERROR(INDEX(旧!B:B,MATCH(测试!A243,旧!E:E,0)),0)</f>
        <v>[AC] 125 - Gwen.bin</v>
      </c>
      <c r="F243" s="9">
        <f>IFERROR(IF(B243=INDEX(转换!B:B,MATCH(D243,转换!A:A,0)),0,1),1)</f>
        <v>0</v>
      </c>
      <c r="G243" s="9">
        <f t="shared" si="8"/>
        <v>0</v>
      </c>
      <c r="H243" s="9" t="str">
        <f t="shared" si="7"/>
        <v>-</v>
      </c>
    </row>
    <row r="244" spans="1:8" x14ac:dyDescent="0.3">
      <c r="A244" s="3" t="str">
        <f>新!E243</f>
        <v>CRC32:0B339627</v>
      </c>
      <c r="B244" s="3" t="str">
        <f>新!A243</f>
        <v>Animal Crossing\Cards\Series 2</v>
      </c>
      <c r="C244" s="3" t="str">
        <f>新!B243</f>
        <v>[AC] 126 - Coach.bin</v>
      </c>
      <c r="D244" s="2" t="str">
        <f>IFERROR(INDEX(旧!A:A,MATCH(测试!A244,旧!E:E,0)),0)</f>
        <v>Animal Crossing\Cards - Series 2</v>
      </c>
      <c r="E244" s="2" t="str">
        <f>IFERROR(INDEX(旧!B:B,MATCH(测试!A244,旧!E:E,0)),0)</f>
        <v>[AC] 126 - Coach.bin</v>
      </c>
      <c r="F244" s="9">
        <f>IFERROR(IF(B244=INDEX(转换!B:B,MATCH(D244,转换!A:A,0)),0,1),1)</f>
        <v>0</v>
      </c>
      <c r="G244" s="9">
        <f t="shared" si="8"/>
        <v>0</v>
      </c>
      <c r="H244" s="9" t="str">
        <f t="shared" si="7"/>
        <v>-</v>
      </c>
    </row>
    <row r="245" spans="1:8" x14ac:dyDescent="0.3">
      <c r="A245" s="3" t="str">
        <f>新!E244</f>
        <v>CRC32:3F960A0F</v>
      </c>
      <c r="B245" s="3" t="str">
        <f>新!A244</f>
        <v>Animal Crossing\Cards\Series 2</v>
      </c>
      <c r="C245" s="3" t="str">
        <f>新!B244</f>
        <v>[AC] 127 - Kitt.bin</v>
      </c>
      <c r="D245" s="2" t="str">
        <f>IFERROR(INDEX(旧!A:A,MATCH(测试!A245,旧!E:E,0)),0)</f>
        <v>Animal Crossing\Cards - Series 2</v>
      </c>
      <c r="E245" s="2" t="str">
        <f>IFERROR(INDEX(旧!B:B,MATCH(测试!A245,旧!E:E,0)),0)</f>
        <v>[AC] 127 - Kitt.bin</v>
      </c>
      <c r="F245" s="9">
        <f>IFERROR(IF(B245=INDEX(转换!B:B,MATCH(D245,转换!A:A,0)),0,1),1)</f>
        <v>0</v>
      </c>
      <c r="G245" s="9">
        <f t="shared" si="8"/>
        <v>0</v>
      </c>
      <c r="H245" s="9" t="str">
        <f t="shared" si="7"/>
        <v>-</v>
      </c>
    </row>
    <row r="246" spans="1:8" x14ac:dyDescent="0.3">
      <c r="A246" s="3" t="str">
        <f>新!E245</f>
        <v>CRC32:91739CC4</v>
      </c>
      <c r="B246" s="3" t="str">
        <f>新!A245</f>
        <v>Animal Crossing\Cards\Series 2</v>
      </c>
      <c r="C246" s="3" t="str">
        <f>新!B245</f>
        <v>[AC] 128 - Tom.bin</v>
      </c>
      <c r="D246" s="2" t="str">
        <f>IFERROR(INDEX(旧!A:A,MATCH(测试!A246,旧!E:E,0)),0)</f>
        <v>Animal Crossing\Cards - Series 2</v>
      </c>
      <c r="E246" s="2" t="str">
        <f>IFERROR(INDEX(旧!B:B,MATCH(测试!A246,旧!E:E,0)),0)</f>
        <v>[AC] 128 - Tom.bin</v>
      </c>
      <c r="F246" s="9">
        <f>IFERROR(IF(B246=INDEX(转换!B:B,MATCH(D246,转换!A:A,0)),0,1),1)</f>
        <v>0</v>
      </c>
      <c r="G246" s="9">
        <f t="shared" si="8"/>
        <v>0</v>
      </c>
      <c r="H246" s="9" t="str">
        <f t="shared" si="7"/>
        <v>-</v>
      </c>
    </row>
    <row r="247" spans="1:8" x14ac:dyDescent="0.3">
      <c r="A247" s="3" t="str">
        <f>新!E246</f>
        <v>CRC32:3A8C1325</v>
      </c>
      <c r="B247" s="3" t="str">
        <f>新!A246</f>
        <v>Animal Crossing\Cards\Series 2</v>
      </c>
      <c r="C247" s="3" t="str">
        <f>新!B246</f>
        <v>[AC] 129 - Tipper.bin</v>
      </c>
      <c r="D247" s="2" t="str">
        <f>IFERROR(INDEX(旧!A:A,MATCH(测试!A247,旧!E:E,0)),0)</f>
        <v>Animal Crossing\Cards - Series 2</v>
      </c>
      <c r="E247" s="2" t="str">
        <f>IFERROR(INDEX(旧!B:B,MATCH(测试!A247,旧!E:E,0)),0)</f>
        <v>[AC] 129 - Tipper.bin</v>
      </c>
      <c r="F247" s="9">
        <f>IFERROR(IF(B247=INDEX(转换!B:B,MATCH(D247,转换!A:A,0)),0,1),1)</f>
        <v>0</v>
      </c>
      <c r="G247" s="9">
        <f t="shared" si="8"/>
        <v>0</v>
      </c>
      <c r="H247" s="9" t="str">
        <f t="shared" si="7"/>
        <v>-</v>
      </c>
    </row>
    <row r="248" spans="1:8" x14ac:dyDescent="0.3">
      <c r="A248" s="3" t="str">
        <f>新!E247</f>
        <v>CRC32:E92BB6D5</v>
      </c>
      <c r="B248" s="3" t="str">
        <f>新!A247</f>
        <v>Animal Crossing\Cards\Series 2</v>
      </c>
      <c r="C248" s="3" t="str">
        <f>新!B247</f>
        <v>[AC] 130 - Prince.bin</v>
      </c>
      <c r="D248" s="2" t="str">
        <f>IFERROR(INDEX(旧!A:A,MATCH(测试!A248,旧!E:E,0)),0)</f>
        <v>Animal Crossing\Cards - Series 2</v>
      </c>
      <c r="E248" s="2" t="str">
        <f>IFERROR(INDEX(旧!B:B,MATCH(测试!A248,旧!E:E,0)),0)</f>
        <v>[AC] 130 - Prince.bin</v>
      </c>
      <c r="F248" s="9">
        <f>IFERROR(IF(B248=INDEX(转换!B:B,MATCH(D248,转换!A:A,0)),0,1),1)</f>
        <v>0</v>
      </c>
      <c r="G248" s="9">
        <f t="shared" si="8"/>
        <v>0</v>
      </c>
      <c r="H248" s="9" t="str">
        <f t="shared" si="7"/>
        <v>-</v>
      </c>
    </row>
    <row r="249" spans="1:8" x14ac:dyDescent="0.3">
      <c r="A249" s="3" t="str">
        <f>新!E248</f>
        <v>CRC32:D1E97654</v>
      </c>
      <c r="B249" s="3" t="str">
        <f>新!A248</f>
        <v>Animal Crossing\Cards\Series 2</v>
      </c>
      <c r="C249" s="3" t="str">
        <f>新!B248</f>
        <v>[AC] 131 - Pate.bin</v>
      </c>
      <c r="D249" s="2" t="str">
        <f>IFERROR(INDEX(旧!A:A,MATCH(测试!A249,旧!E:E,0)),0)</f>
        <v>Animal Crossing\Cards - Series 2</v>
      </c>
      <c r="E249" s="2" t="str">
        <f>IFERROR(INDEX(旧!B:B,MATCH(测试!A249,旧!E:E,0)),0)</f>
        <v>[AC] 131 - Pate.bin</v>
      </c>
      <c r="F249" s="9">
        <f>IFERROR(IF(B249=INDEX(转换!B:B,MATCH(D249,转换!A:A,0)),0,1),1)</f>
        <v>0</v>
      </c>
      <c r="G249" s="9">
        <f t="shared" si="8"/>
        <v>0</v>
      </c>
      <c r="H249" s="9" t="str">
        <f t="shared" si="7"/>
        <v>-</v>
      </c>
    </row>
    <row r="250" spans="1:8" x14ac:dyDescent="0.3">
      <c r="A250" s="3" t="str">
        <f>新!E249</f>
        <v>CRC32:D6CFF2BA</v>
      </c>
      <c r="B250" s="3" t="str">
        <f>新!A249</f>
        <v>Animal Crossing\Cards\Series 2</v>
      </c>
      <c r="C250" s="3" t="str">
        <f>新!B249</f>
        <v>[AC] 132 - Vladimir.bin</v>
      </c>
      <c r="D250" s="2" t="str">
        <f>IFERROR(INDEX(旧!A:A,MATCH(测试!A250,旧!E:E,0)),0)</f>
        <v>Animal Crossing\Cards - Series 2</v>
      </c>
      <c r="E250" s="2" t="str">
        <f>IFERROR(INDEX(旧!B:B,MATCH(测试!A250,旧!E:E,0)),0)</f>
        <v>[AC] 132 - Vladimir.bin</v>
      </c>
      <c r="F250" s="9">
        <f>IFERROR(IF(B250=INDEX(转换!B:B,MATCH(D250,转换!A:A,0)),0,1),1)</f>
        <v>0</v>
      </c>
      <c r="G250" s="9">
        <f t="shared" si="8"/>
        <v>0</v>
      </c>
      <c r="H250" s="9" t="str">
        <f t="shared" si="7"/>
        <v>-</v>
      </c>
    </row>
    <row r="251" spans="1:8" x14ac:dyDescent="0.3">
      <c r="A251" s="3" t="str">
        <f>新!E250</f>
        <v>CRC32:7591D025</v>
      </c>
      <c r="B251" s="3" t="str">
        <f>新!A250</f>
        <v>Animal Crossing\Cards\Series 2</v>
      </c>
      <c r="C251" s="3" t="str">
        <f>新!B250</f>
        <v>[AC] 133 - Savannah.bin</v>
      </c>
      <c r="D251" s="2" t="str">
        <f>IFERROR(INDEX(旧!A:A,MATCH(测试!A251,旧!E:E,0)),0)</f>
        <v>Animal Crossing\Cards - Series 2</v>
      </c>
      <c r="E251" s="2" t="str">
        <f>IFERROR(INDEX(旧!B:B,MATCH(测试!A251,旧!E:E,0)),0)</f>
        <v>[AC] 133 - Savannah.bin</v>
      </c>
      <c r="F251" s="9">
        <f>IFERROR(IF(B251=INDEX(转换!B:B,MATCH(D251,转换!A:A,0)),0,1),1)</f>
        <v>0</v>
      </c>
      <c r="G251" s="9">
        <f t="shared" si="8"/>
        <v>0</v>
      </c>
      <c r="H251" s="9" t="str">
        <f t="shared" si="7"/>
        <v>-</v>
      </c>
    </row>
    <row r="252" spans="1:8" x14ac:dyDescent="0.3">
      <c r="A252" s="3" t="str">
        <f>新!E251</f>
        <v>CRC32:29BD3EED</v>
      </c>
      <c r="B252" s="3" t="str">
        <f>新!A251</f>
        <v>Animal Crossing\Cards\Series 2</v>
      </c>
      <c r="C252" s="3" t="str">
        <f>新!B251</f>
        <v>[AC] 134 - Kidd.bin</v>
      </c>
      <c r="D252" s="2" t="str">
        <f>IFERROR(INDEX(旧!A:A,MATCH(测试!A252,旧!E:E,0)),0)</f>
        <v>Animal Crossing\Cards - Series 2</v>
      </c>
      <c r="E252" s="2" t="str">
        <f>IFERROR(INDEX(旧!B:B,MATCH(测试!A252,旧!E:E,0)),0)</f>
        <v>[AC] 134 - Kidd.bin</v>
      </c>
      <c r="F252" s="9">
        <f>IFERROR(IF(B252=INDEX(转换!B:B,MATCH(D252,转换!A:A,0)),0,1),1)</f>
        <v>0</v>
      </c>
      <c r="G252" s="9">
        <f t="shared" si="8"/>
        <v>0</v>
      </c>
      <c r="H252" s="9" t="str">
        <f t="shared" si="7"/>
        <v>-</v>
      </c>
    </row>
    <row r="253" spans="1:8" x14ac:dyDescent="0.3">
      <c r="A253" s="3" t="str">
        <f>新!E252</f>
        <v>CRC32:32D3672D</v>
      </c>
      <c r="B253" s="3" t="str">
        <f>新!A252</f>
        <v>Animal Crossing\Cards\Series 2</v>
      </c>
      <c r="C253" s="3" t="str">
        <f>新!B252</f>
        <v>[AC] 135 - Phoebe.bin</v>
      </c>
      <c r="D253" s="2" t="str">
        <f>IFERROR(INDEX(旧!A:A,MATCH(测试!A253,旧!E:E,0)),0)</f>
        <v>Animal Crossing\Cards - Series 2</v>
      </c>
      <c r="E253" s="2" t="str">
        <f>IFERROR(INDEX(旧!B:B,MATCH(测试!A253,旧!E:E,0)),0)</f>
        <v>[AC] 135 - Phoebe.bin</v>
      </c>
      <c r="F253" s="9">
        <f>IFERROR(IF(B253=INDEX(转换!B:B,MATCH(D253,转换!A:A,0)),0,1),1)</f>
        <v>0</v>
      </c>
      <c r="G253" s="9">
        <f t="shared" si="8"/>
        <v>0</v>
      </c>
      <c r="H253" s="9" t="str">
        <f t="shared" si="7"/>
        <v>-</v>
      </c>
    </row>
    <row r="254" spans="1:8" x14ac:dyDescent="0.3">
      <c r="A254" s="3" t="str">
        <f>新!E253</f>
        <v>CRC32:5640A9A8</v>
      </c>
      <c r="B254" s="3" t="str">
        <f>新!A253</f>
        <v>Animal Crossing\Cards\Series 2</v>
      </c>
      <c r="C254" s="3" t="str">
        <f>新!B253</f>
        <v>[AC] 136 - Egbert.bin</v>
      </c>
      <c r="D254" s="2" t="str">
        <f>IFERROR(INDEX(旧!A:A,MATCH(测试!A254,旧!E:E,0)),0)</f>
        <v>Animal Crossing\Cards - Series 2</v>
      </c>
      <c r="E254" s="2" t="str">
        <f>IFERROR(INDEX(旧!B:B,MATCH(测试!A254,旧!E:E,0)),0)</f>
        <v>[AC] 136 - Egbert.bin</v>
      </c>
      <c r="F254" s="9">
        <f>IFERROR(IF(B254=INDEX(转换!B:B,MATCH(D254,转换!A:A,0)),0,1),1)</f>
        <v>0</v>
      </c>
      <c r="G254" s="9">
        <f t="shared" si="8"/>
        <v>0</v>
      </c>
      <c r="H254" s="9" t="str">
        <f t="shared" si="7"/>
        <v>-</v>
      </c>
    </row>
    <row r="255" spans="1:8" x14ac:dyDescent="0.3">
      <c r="A255" s="3" t="str">
        <f>新!E254</f>
        <v>CRC32:C52503BD</v>
      </c>
      <c r="B255" s="3" t="str">
        <f>新!A254</f>
        <v>Animal Crossing\Cards\Series 2</v>
      </c>
      <c r="C255" s="3" t="str">
        <f>新!B254</f>
        <v>[AC] 137 - Cookie.bin</v>
      </c>
      <c r="D255" s="2" t="str">
        <f>IFERROR(INDEX(旧!A:A,MATCH(测试!A255,旧!E:E,0)),0)</f>
        <v>Animal Crossing\Cards - Series 2</v>
      </c>
      <c r="E255" s="2" t="str">
        <f>IFERROR(INDEX(旧!B:B,MATCH(测试!A255,旧!E:E,0)),0)</f>
        <v>[AC] 137 - Cookie.bin</v>
      </c>
      <c r="F255" s="9">
        <f>IFERROR(IF(B255=INDEX(转换!B:B,MATCH(D255,转换!A:A,0)),0,1),1)</f>
        <v>0</v>
      </c>
      <c r="G255" s="9">
        <f t="shared" si="8"/>
        <v>0</v>
      </c>
      <c r="H255" s="9" t="str">
        <f t="shared" si="7"/>
        <v>-</v>
      </c>
    </row>
    <row r="256" spans="1:8" x14ac:dyDescent="0.3">
      <c r="A256" s="3" t="str">
        <f>新!E255</f>
        <v>CRC32:1EF71047</v>
      </c>
      <c r="B256" s="3" t="str">
        <f>新!A255</f>
        <v>Animal Crossing\Cards\Series 2</v>
      </c>
      <c r="C256" s="3" t="str">
        <f>新!B255</f>
        <v>[AC] 138 - Sly.bin</v>
      </c>
      <c r="D256" s="2" t="str">
        <f>IFERROR(INDEX(旧!A:A,MATCH(测试!A256,旧!E:E,0)),0)</f>
        <v>Animal Crossing\Cards - Series 2</v>
      </c>
      <c r="E256" s="2" t="str">
        <f>IFERROR(INDEX(旧!B:B,MATCH(测试!A256,旧!E:E,0)),0)</f>
        <v>[AC] 138 - Sly.bin</v>
      </c>
      <c r="F256" s="9">
        <f>IFERROR(IF(B256=INDEX(转换!B:B,MATCH(D256,转换!A:A,0)),0,1),1)</f>
        <v>0</v>
      </c>
      <c r="G256" s="9">
        <f t="shared" si="8"/>
        <v>0</v>
      </c>
      <c r="H256" s="9" t="str">
        <f t="shared" si="7"/>
        <v>-</v>
      </c>
    </row>
    <row r="257" spans="1:8" x14ac:dyDescent="0.3">
      <c r="A257" s="3" t="str">
        <f>新!E256</f>
        <v>CRC32:96A8EEAE</v>
      </c>
      <c r="B257" s="3" t="str">
        <f>新!A256</f>
        <v>Animal Crossing\Cards\Series 2</v>
      </c>
      <c r="C257" s="3" t="str">
        <f>新!B256</f>
        <v>[AC] 139 - Blaire.bin</v>
      </c>
      <c r="D257" s="2" t="str">
        <f>IFERROR(INDEX(旧!A:A,MATCH(测试!A257,旧!E:E,0)),0)</f>
        <v>Animal Crossing\Cards - Series 2</v>
      </c>
      <c r="E257" s="2" t="str">
        <f>IFERROR(INDEX(旧!B:B,MATCH(测试!A257,旧!E:E,0)),0)</f>
        <v>[AC] 139 - Blaire.bin</v>
      </c>
      <c r="F257" s="9">
        <f>IFERROR(IF(B257=INDEX(转换!B:B,MATCH(D257,转换!A:A,0)),0,1),1)</f>
        <v>0</v>
      </c>
      <c r="G257" s="9">
        <f t="shared" si="8"/>
        <v>0</v>
      </c>
      <c r="H257" s="9" t="str">
        <f t="shared" si="7"/>
        <v>-</v>
      </c>
    </row>
    <row r="258" spans="1:8" x14ac:dyDescent="0.3">
      <c r="A258" s="3" t="str">
        <f>新!E257</f>
        <v>CRC32:DA41A964</v>
      </c>
      <c r="B258" s="3" t="str">
        <f>新!A257</f>
        <v>Animal Crossing\Cards\Series 2</v>
      </c>
      <c r="C258" s="3" t="str">
        <f>新!B257</f>
        <v>[AC] 140 - Avery.bin</v>
      </c>
      <c r="D258" s="2" t="str">
        <f>IFERROR(INDEX(旧!A:A,MATCH(测试!A258,旧!E:E,0)),0)</f>
        <v>Animal Crossing\Cards - Series 2</v>
      </c>
      <c r="E258" s="2" t="str">
        <f>IFERROR(INDEX(旧!B:B,MATCH(测试!A258,旧!E:E,0)),0)</f>
        <v>[AC] 140 - Avery.bin</v>
      </c>
      <c r="F258" s="9">
        <f>IFERROR(IF(B258=INDEX(转换!B:B,MATCH(D258,转换!A:A,0)),0,1),1)</f>
        <v>0</v>
      </c>
      <c r="G258" s="9">
        <f t="shared" si="8"/>
        <v>0</v>
      </c>
      <c r="H258" s="9" t="str">
        <f t="shared" si="7"/>
        <v>-</v>
      </c>
    </row>
    <row r="259" spans="1:8" x14ac:dyDescent="0.3">
      <c r="A259" s="3" t="str">
        <f>新!E258</f>
        <v>CRC32:15AE4444</v>
      </c>
      <c r="B259" s="3" t="str">
        <f>新!A258</f>
        <v>Animal Crossing\Cards\Series 2</v>
      </c>
      <c r="C259" s="3" t="str">
        <f>新!B258</f>
        <v>[AC] 141 - Nana.bin</v>
      </c>
      <c r="D259" s="2" t="str">
        <f>IFERROR(INDEX(旧!A:A,MATCH(测试!A259,旧!E:E,0)),0)</f>
        <v>Animal Crossing\Cards - Series 2</v>
      </c>
      <c r="E259" s="2" t="str">
        <f>IFERROR(INDEX(旧!B:B,MATCH(测试!A259,旧!E:E,0)),0)</f>
        <v>[AC] 141 - Nana.bin</v>
      </c>
      <c r="F259" s="9">
        <f>IFERROR(IF(B259=INDEX(转换!B:B,MATCH(D259,转换!A:A,0)),0,1),1)</f>
        <v>0</v>
      </c>
      <c r="G259" s="9">
        <f t="shared" si="8"/>
        <v>0</v>
      </c>
      <c r="H259" s="9" t="str">
        <f t="shared" si="7"/>
        <v>-</v>
      </c>
    </row>
    <row r="260" spans="1:8" x14ac:dyDescent="0.3">
      <c r="A260" s="3" t="str">
        <f>新!E259</f>
        <v>CRC32:49CBBB1F</v>
      </c>
      <c r="B260" s="3" t="str">
        <f>新!A259</f>
        <v>Animal Crossing\Cards\Series 2</v>
      </c>
      <c r="C260" s="3" t="str">
        <f>新!B259</f>
        <v>[AC] 142 - Peck.bin</v>
      </c>
      <c r="D260" s="2" t="str">
        <f>IFERROR(INDEX(旧!A:A,MATCH(测试!A260,旧!E:E,0)),0)</f>
        <v>Animal Crossing\Cards - Series 2</v>
      </c>
      <c r="E260" s="2" t="str">
        <f>IFERROR(INDEX(旧!B:B,MATCH(测试!A260,旧!E:E,0)),0)</f>
        <v>[AC] 142 - Peck.bin</v>
      </c>
      <c r="F260" s="9">
        <f>IFERROR(IF(B260=INDEX(转换!B:B,MATCH(D260,转换!A:A,0)),0,1),1)</f>
        <v>0</v>
      </c>
      <c r="G260" s="9">
        <f t="shared" si="8"/>
        <v>0</v>
      </c>
      <c r="H260" s="9" t="str">
        <f t="shared" ref="H260:H323" si="9">_xlfn.IFS(F260+G260=0,"-",F260+G260=1,"文件名错误",F260+G260=2,"无此文件")</f>
        <v>-</v>
      </c>
    </row>
    <row r="261" spans="1:8" x14ac:dyDescent="0.3">
      <c r="A261" s="3" t="str">
        <f>新!E260</f>
        <v>CRC32:D44F6C3F</v>
      </c>
      <c r="B261" s="3" t="str">
        <f>新!A260</f>
        <v>Animal Crossing\Cards\Series 2</v>
      </c>
      <c r="C261" s="3" t="str">
        <f>新!B260</f>
        <v>[AC] 143 - Olivia.bin</v>
      </c>
      <c r="D261" s="2" t="str">
        <f>IFERROR(INDEX(旧!A:A,MATCH(测试!A261,旧!E:E,0)),0)</f>
        <v>Animal Crossing\Cards - Series 2</v>
      </c>
      <c r="E261" s="2" t="str">
        <f>IFERROR(INDEX(旧!B:B,MATCH(测试!A261,旧!E:E,0)),0)</f>
        <v>[AC] 143 - Olivia.bin</v>
      </c>
      <c r="F261" s="9">
        <f>IFERROR(IF(B261=INDEX(转换!B:B,MATCH(D261,转换!A:A,0)),0,1),1)</f>
        <v>0</v>
      </c>
      <c r="G261" s="9">
        <f t="shared" si="8"/>
        <v>0</v>
      </c>
      <c r="H261" s="9" t="str">
        <f t="shared" si="9"/>
        <v>-</v>
      </c>
    </row>
    <row r="262" spans="1:8" x14ac:dyDescent="0.3">
      <c r="A262" s="3" t="str">
        <f>新!E261</f>
        <v>CRC32:3BB23A51</v>
      </c>
      <c r="B262" s="3" t="str">
        <f>新!A261</f>
        <v>Animal Crossing\Cards\Series 2</v>
      </c>
      <c r="C262" s="3" t="str">
        <f>新!B261</f>
        <v>[AC] 144 - Cesar.bin</v>
      </c>
      <c r="D262" s="2" t="str">
        <f>IFERROR(INDEX(旧!A:A,MATCH(测试!A262,旧!E:E,0)),0)</f>
        <v>Animal Crossing\Cards - Series 2</v>
      </c>
      <c r="E262" s="2" t="str">
        <f>IFERROR(INDEX(旧!B:B,MATCH(测试!A262,旧!E:E,0)),0)</f>
        <v>[AC] 144 - Cesar.bin</v>
      </c>
      <c r="F262" s="9">
        <f>IFERROR(IF(B262=INDEX(转换!B:B,MATCH(D262,转换!A:A,0)),0,1),1)</f>
        <v>0</v>
      </c>
      <c r="G262" s="9">
        <f t="shared" si="8"/>
        <v>0</v>
      </c>
      <c r="H262" s="9" t="str">
        <f t="shared" si="9"/>
        <v>-</v>
      </c>
    </row>
    <row r="263" spans="1:8" x14ac:dyDescent="0.3">
      <c r="A263" s="3" t="str">
        <f>新!E262</f>
        <v>CRC32:E7A3613C</v>
      </c>
      <c r="B263" s="3" t="str">
        <f>新!A262</f>
        <v>Animal Crossing\Cards\Series 2</v>
      </c>
      <c r="C263" s="3" t="str">
        <f>新!B262</f>
        <v>[AC] 145 - Carmen.bin</v>
      </c>
      <c r="D263" s="2" t="str">
        <f>IFERROR(INDEX(旧!A:A,MATCH(测试!A263,旧!E:E,0)),0)</f>
        <v>Animal Crossing\Cards - Series 2</v>
      </c>
      <c r="E263" s="2" t="str">
        <f>IFERROR(INDEX(旧!B:B,MATCH(测试!A263,旧!E:E,0)),0)</f>
        <v>[AC] 145 - Carmen.bin</v>
      </c>
      <c r="F263" s="9">
        <f>IFERROR(IF(B263=INDEX(转换!B:B,MATCH(D263,转换!A:A,0)),0,1),1)</f>
        <v>0</v>
      </c>
      <c r="G263" s="9">
        <f t="shared" si="8"/>
        <v>0</v>
      </c>
      <c r="H263" s="9" t="str">
        <f t="shared" si="9"/>
        <v>-</v>
      </c>
    </row>
    <row r="264" spans="1:8" x14ac:dyDescent="0.3">
      <c r="A264" s="3" t="str">
        <f>新!E263</f>
        <v>CRC32:E3F89272</v>
      </c>
      <c r="B264" s="3" t="str">
        <f>新!A263</f>
        <v>Animal Crossing\Cards\Series 2</v>
      </c>
      <c r="C264" s="3" t="str">
        <f>新!B263</f>
        <v>[AC] 146 - Rodney.bin</v>
      </c>
      <c r="D264" s="2" t="str">
        <f>IFERROR(INDEX(旧!A:A,MATCH(测试!A264,旧!E:E,0)),0)</f>
        <v>Animal Crossing\Cards - Series 2</v>
      </c>
      <c r="E264" s="2" t="str">
        <f>IFERROR(INDEX(旧!B:B,MATCH(测试!A264,旧!E:E,0)),0)</f>
        <v>[AC] 146 - Rodney.bin</v>
      </c>
      <c r="F264" s="9">
        <f>IFERROR(IF(B264=INDEX(转换!B:B,MATCH(D264,转换!A:A,0)),0,1),1)</f>
        <v>0</v>
      </c>
      <c r="G264" s="9">
        <f t="shared" si="8"/>
        <v>0</v>
      </c>
      <c r="H264" s="9" t="str">
        <f t="shared" si="9"/>
        <v>-</v>
      </c>
    </row>
    <row r="265" spans="1:8" x14ac:dyDescent="0.3">
      <c r="A265" s="3" t="str">
        <f>新!E264</f>
        <v>CRC32:BAC5977E</v>
      </c>
      <c r="B265" s="3" t="str">
        <f>新!A264</f>
        <v>Animal Crossing\Cards\Series 2</v>
      </c>
      <c r="C265" s="3" t="str">
        <f>新!B264</f>
        <v>[AC] 147 - Scoot.bin</v>
      </c>
      <c r="D265" s="2" t="str">
        <f>IFERROR(INDEX(旧!A:A,MATCH(测试!A265,旧!E:E,0)),0)</f>
        <v>Animal Crossing\Cards - Series 2</v>
      </c>
      <c r="E265" s="2" t="str">
        <f>IFERROR(INDEX(旧!B:B,MATCH(测试!A265,旧!E:E,0)),0)</f>
        <v>[AC] 147 - Scoot.bin</v>
      </c>
      <c r="F265" s="9">
        <f>IFERROR(IF(B265=INDEX(转换!B:B,MATCH(D265,转换!A:A,0)),0,1),1)</f>
        <v>0</v>
      </c>
      <c r="G265" s="9">
        <f t="shared" si="8"/>
        <v>0</v>
      </c>
      <c r="H265" s="9" t="str">
        <f t="shared" si="9"/>
        <v>-</v>
      </c>
    </row>
    <row r="266" spans="1:8" x14ac:dyDescent="0.3">
      <c r="A266" s="3" t="str">
        <f>新!E265</f>
        <v>CRC32:F3A08965</v>
      </c>
      <c r="B266" s="3" t="str">
        <f>新!A265</f>
        <v>Animal Crossing\Cards\Series 2</v>
      </c>
      <c r="C266" s="3" t="str">
        <f>新!B265</f>
        <v>[AC] 148 - Whitney.bin</v>
      </c>
      <c r="D266" s="2" t="str">
        <f>IFERROR(INDEX(旧!A:A,MATCH(测试!A266,旧!E:E,0)),0)</f>
        <v>Animal Crossing\Cards - Series 2</v>
      </c>
      <c r="E266" s="2" t="str">
        <f>IFERROR(INDEX(旧!B:B,MATCH(测试!A266,旧!E:E,0)),0)</f>
        <v>[AC] 148 - Whitney.bin</v>
      </c>
      <c r="F266" s="9">
        <f>IFERROR(IF(B266=INDEX(转换!B:B,MATCH(D266,转换!A:A,0)),0,1),1)</f>
        <v>0</v>
      </c>
      <c r="G266" s="9">
        <f t="shared" si="8"/>
        <v>0</v>
      </c>
      <c r="H266" s="9" t="str">
        <f t="shared" si="9"/>
        <v>-</v>
      </c>
    </row>
    <row r="267" spans="1:8" x14ac:dyDescent="0.3">
      <c r="A267" s="3" t="str">
        <f>新!E266</f>
        <v>CRC32:7BA25218</v>
      </c>
      <c r="B267" s="3" t="str">
        <f>新!A266</f>
        <v>Animal Crossing\Cards\Series 2</v>
      </c>
      <c r="C267" s="3" t="str">
        <f>新!B266</f>
        <v>[AC] 149 - Broccolo.bin</v>
      </c>
      <c r="D267" s="2" t="str">
        <f>IFERROR(INDEX(旧!A:A,MATCH(测试!A267,旧!E:E,0)),0)</f>
        <v>Animal Crossing\Cards - Series 2</v>
      </c>
      <c r="E267" s="2" t="str">
        <f>IFERROR(INDEX(旧!B:B,MATCH(测试!A267,旧!E:E,0)),0)</f>
        <v>[AC] 149 - Broccolo.bin</v>
      </c>
      <c r="F267" s="9">
        <f>IFERROR(IF(B267=INDEX(转换!B:B,MATCH(D267,转换!A:A,0)),0,1),1)</f>
        <v>0</v>
      </c>
      <c r="G267" s="9">
        <f t="shared" si="8"/>
        <v>0</v>
      </c>
      <c r="H267" s="9" t="str">
        <f t="shared" si="9"/>
        <v>-</v>
      </c>
    </row>
    <row r="268" spans="1:8" x14ac:dyDescent="0.3">
      <c r="A268" s="3" t="str">
        <f>新!E267</f>
        <v>CRC32:76CF0996</v>
      </c>
      <c r="B268" s="3" t="str">
        <f>新!A267</f>
        <v>Animal Crossing\Cards\Series 2</v>
      </c>
      <c r="C268" s="3" t="str">
        <f>新!B267</f>
        <v>[AC] 150 - Coco.bin</v>
      </c>
      <c r="D268" s="2" t="str">
        <f>IFERROR(INDEX(旧!A:A,MATCH(测试!A268,旧!E:E,0)),0)</f>
        <v>Animal Crossing\Cards - Series 2</v>
      </c>
      <c r="E268" s="2" t="str">
        <f>IFERROR(INDEX(旧!B:B,MATCH(测试!A268,旧!E:E,0)),0)</f>
        <v>[AC] 150 - Coco.bin</v>
      </c>
      <c r="F268" s="9">
        <f>IFERROR(IF(B268=INDEX(转换!B:B,MATCH(D268,转换!A:A,0)),0,1),1)</f>
        <v>0</v>
      </c>
      <c r="G268" s="9">
        <f t="shared" si="8"/>
        <v>0</v>
      </c>
      <c r="H268" s="9" t="str">
        <f t="shared" si="9"/>
        <v>-</v>
      </c>
    </row>
    <row r="269" spans="1:8" x14ac:dyDescent="0.3">
      <c r="A269" s="3" t="str">
        <f>新!E268</f>
        <v>CRC32:0989B5BE</v>
      </c>
      <c r="B269" s="3" t="str">
        <f>新!A268</f>
        <v>Animal Crossing\Cards\Series 2</v>
      </c>
      <c r="C269" s="3" t="str">
        <f>新!B268</f>
        <v>[AC] 151 - Groucho.bin</v>
      </c>
      <c r="D269" s="2" t="str">
        <f>IFERROR(INDEX(旧!A:A,MATCH(测试!A269,旧!E:E,0)),0)</f>
        <v>Animal Crossing\Cards - Series 2</v>
      </c>
      <c r="E269" s="2" t="str">
        <f>IFERROR(INDEX(旧!B:B,MATCH(测试!A269,旧!E:E,0)),0)</f>
        <v>[AC] 151 - Groucho.bin</v>
      </c>
      <c r="F269" s="9">
        <f>IFERROR(IF(B269=INDEX(转换!B:B,MATCH(D269,转换!A:A,0)),0,1),1)</f>
        <v>0</v>
      </c>
      <c r="G269" s="9">
        <f t="shared" si="8"/>
        <v>0</v>
      </c>
      <c r="H269" s="9" t="str">
        <f t="shared" si="9"/>
        <v>-</v>
      </c>
    </row>
    <row r="270" spans="1:8" x14ac:dyDescent="0.3">
      <c r="A270" s="3" t="str">
        <f>新!E269</f>
        <v>CRC32:2175E713</v>
      </c>
      <c r="B270" s="3" t="str">
        <f>新!A269</f>
        <v>Animal Crossing\Cards\Series 2</v>
      </c>
      <c r="C270" s="3" t="str">
        <f>新!B269</f>
        <v>[AC] 152 - Wendy.bin</v>
      </c>
      <c r="D270" s="2" t="str">
        <f>IFERROR(INDEX(旧!A:A,MATCH(测试!A270,旧!E:E,0)),0)</f>
        <v>Animal Crossing\Cards - Series 2</v>
      </c>
      <c r="E270" s="2" t="str">
        <f>IFERROR(INDEX(旧!B:B,MATCH(测试!A270,旧!E:E,0)),0)</f>
        <v>[AC] 152 - Wendy.bin</v>
      </c>
      <c r="F270" s="9">
        <f>IFERROR(IF(B270=INDEX(转换!B:B,MATCH(D270,转换!A:A,0)),0,1),1)</f>
        <v>0</v>
      </c>
      <c r="G270" s="9">
        <f t="shared" si="8"/>
        <v>0</v>
      </c>
      <c r="H270" s="9" t="str">
        <f t="shared" si="9"/>
        <v>-</v>
      </c>
    </row>
    <row r="271" spans="1:8" x14ac:dyDescent="0.3">
      <c r="A271" s="3" t="str">
        <f>新!E270</f>
        <v>CRC32:DA8B00BB</v>
      </c>
      <c r="B271" s="3" t="str">
        <f>新!A270</f>
        <v>Animal Crossing\Cards\Series 2</v>
      </c>
      <c r="C271" s="3" t="str">
        <f>新!B270</f>
        <v>[AC] 153 - Alfonso.bin</v>
      </c>
      <c r="D271" s="2" t="str">
        <f>IFERROR(INDEX(旧!A:A,MATCH(测试!A271,旧!E:E,0)),0)</f>
        <v>Animal Crossing\Cards - Series 2</v>
      </c>
      <c r="E271" s="2" t="str">
        <f>IFERROR(INDEX(旧!B:B,MATCH(测试!A271,旧!E:E,0)),0)</f>
        <v>[AC] 153 - Alfonso.bin</v>
      </c>
      <c r="F271" s="9">
        <f>IFERROR(IF(B271=INDEX(转换!B:B,MATCH(D271,转换!A:A,0)),0,1),1)</f>
        <v>0</v>
      </c>
      <c r="G271" s="9">
        <f t="shared" si="8"/>
        <v>0</v>
      </c>
      <c r="H271" s="9" t="str">
        <f t="shared" si="9"/>
        <v>-</v>
      </c>
    </row>
    <row r="272" spans="1:8" x14ac:dyDescent="0.3">
      <c r="A272" s="3" t="str">
        <f>新!E271</f>
        <v>CRC32:4166EC98</v>
      </c>
      <c r="B272" s="3" t="str">
        <f>新!A271</f>
        <v>Animal Crossing\Cards\Series 2</v>
      </c>
      <c r="C272" s="3" t="str">
        <f>新!B271</f>
        <v>[AC] 154 - Rhonda.bin</v>
      </c>
      <c r="D272" s="2" t="str">
        <f>IFERROR(INDEX(旧!A:A,MATCH(测试!A272,旧!E:E,0)),0)</f>
        <v>Animal Crossing\Cards - Series 2</v>
      </c>
      <c r="E272" s="2" t="str">
        <f>IFERROR(INDEX(旧!B:B,MATCH(测试!A272,旧!E:E,0)),0)</f>
        <v>[AC] 154 - Rhonda.bin</v>
      </c>
      <c r="F272" s="9">
        <f>IFERROR(IF(B272=INDEX(转换!B:B,MATCH(D272,转换!A:A,0)),0,1),1)</f>
        <v>0</v>
      </c>
      <c r="G272" s="9">
        <f t="shared" si="8"/>
        <v>0</v>
      </c>
      <c r="H272" s="9" t="str">
        <f t="shared" si="9"/>
        <v>-</v>
      </c>
    </row>
    <row r="273" spans="1:8" x14ac:dyDescent="0.3">
      <c r="A273" s="3" t="str">
        <f>新!E272</f>
        <v>CRC32:908A5038</v>
      </c>
      <c r="B273" s="3" t="str">
        <f>新!A272</f>
        <v>Animal Crossing\Cards\Series 2</v>
      </c>
      <c r="C273" s="3" t="str">
        <f>新!B272</f>
        <v>[AC] 155 - Butch.bin</v>
      </c>
      <c r="D273" s="2" t="str">
        <f>IFERROR(INDEX(旧!A:A,MATCH(测试!A273,旧!E:E,0)),0)</f>
        <v>Animal Crossing\Cards - Series 2</v>
      </c>
      <c r="E273" s="2" t="str">
        <f>IFERROR(INDEX(旧!B:B,MATCH(测试!A273,旧!E:E,0)),0)</f>
        <v>[AC] 155 - Butch.bin</v>
      </c>
      <c r="F273" s="9">
        <f>IFERROR(IF(B273=INDEX(转换!B:B,MATCH(D273,转换!A:A,0)),0,1),1)</f>
        <v>0</v>
      </c>
      <c r="G273" s="9">
        <f t="shared" si="8"/>
        <v>0</v>
      </c>
      <c r="H273" s="9" t="str">
        <f t="shared" si="9"/>
        <v>-</v>
      </c>
    </row>
    <row r="274" spans="1:8" x14ac:dyDescent="0.3">
      <c r="A274" s="3" t="str">
        <f>新!E273</f>
        <v>CRC32:D90DD7C6</v>
      </c>
      <c r="B274" s="3" t="str">
        <f>新!A273</f>
        <v>Animal Crossing\Cards\Series 2</v>
      </c>
      <c r="C274" s="3" t="str">
        <f>新!B273</f>
        <v>[AC] 156 - Gabi.bin</v>
      </c>
      <c r="D274" s="2" t="str">
        <f>IFERROR(INDEX(旧!A:A,MATCH(测试!A274,旧!E:E,0)),0)</f>
        <v>Animal Crossing\Cards - Series 2</v>
      </c>
      <c r="E274" s="2" t="str">
        <f>IFERROR(INDEX(旧!B:B,MATCH(测试!A274,旧!E:E,0)),0)</f>
        <v>[AC] 156 - Gabi.bin</v>
      </c>
      <c r="F274" s="9">
        <f>IFERROR(IF(B274=INDEX(转换!B:B,MATCH(D274,转换!A:A,0)),0,1),1)</f>
        <v>0</v>
      </c>
      <c r="G274" s="9">
        <f t="shared" si="8"/>
        <v>0</v>
      </c>
      <c r="H274" s="9" t="str">
        <f t="shared" si="9"/>
        <v>-</v>
      </c>
    </row>
    <row r="275" spans="1:8" x14ac:dyDescent="0.3">
      <c r="A275" s="3" t="str">
        <f>新!E274</f>
        <v>CRC32:0C109B64</v>
      </c>
      <c r="B275" s="3" t="str">
        <f>新!A274</f>
        <v>Animal Crossing\Cards\Series 2</v>
      </c>
      <c r="C275" s="3" t="str">
        <f>新!B274</f>
        <v>[AC] 157 - Moose.bin</v>
      </c>
      <c r="D275" s="2" t="str">
        <f>IFERROR(INDEX(旧!A:A,MATCH(测试!A275,旧!E:E,0)),0)</f>
        <v>Animal Crossing\Cards - Series 2</v>
      </c>
      <c r="E275" s="2" t="str">
        <f>IFERROR(INDEX(旧!B:B,MATCH(测试!A275,旧!E:E,0)),0)</f>
        <v>[AC] 157 - Moose.bin</v>
      </c>
      <c r="F275" s="9">
        <f>IFERROR(IF(B275=INDEX(转换!B:B,MATCH(D275,转换!A:A,0)),0,1),1)</f>
        <v>0</v>
      </c>
      <c r="G275" s="9">
        <f t="shared" si="8"/>
        <v>0</v>
      </c>
      <c r="H275" s="9" t="str">
        <f t="shared" si="9"/>
        <v>-</v>
      </c>
    </row>
    <row r="276" spans="1:8" x14ac:dyDescent="0.3">
      <c r="A276" s="3" t="str">
        <f>新!E275</f>
        <v>CRC32:F5092669</v>
      </c>
      <c r="B276" s="3" t="str">
        <f>新!A275</f>
        <v>Animal Crossing\Cards\Series 2</v>
      </c>
      <c r="C276" s="3" t="str">
        <f>新!B275</f>
        <v>[AC] 158 - Timbra.bin</v>
      </c>
      <c r="D276" s="2" t="str">
        <f>IFERROR(INDEX(旧!A:A,MATCH(测试!A276,旧!E:E,0)),0)</f>
        <v>Animal Crossing\Cards - Series 2</v>
      </c>
      <c r="E276" s="2" t="str">
        <f>IFERROR(INDEX(旧!B:B,MATCH(测试!A276,旧!E:E,0)),0)</f>
        <v>[AC] 158 - Timbra.bin</v>
      </c>
      <c r="F276" s="9">
        <f>IFERROR(IF(B276=INDEX(转换!B:B,MATCH(D276,转换!A:A,0)),0,1),1)</f>
        <v>0</v>
      </c>
      <c r="G276" s="9">
        <f t="shared" si="8"/>
        <v>0</v>
      </c>
      <c r="H276" s="9" t="str">
        <f t="shared" si="9"/>
        <v>-</v>
      </c>
    </row>
    <row r="277" spans="1:8" x14ac:dyDescent="0.3">
      <c r="A277" s="3" t="str">
        <f>新!E276</f>
        <v>CRC32:497FACFF</v>
      </c>
      <c r="B277" s="3" t="str">
        <f>新!A276</f>
        <v>Animal Crossing\Cards\Series 2</v>
      </c>
      <c r="C277" s="3" t="str">
        <f>新!B276</f>
        <v>[AC] 159 - Zell.bin</v>
      </c>
      <c r="D277" s="2" t="str">
        <f>IFERROR(INDEX(旧!A:A,MATCH(测试!A277,旧!E:E,0)),0)</f>
        <v>Animal Crossing\Cards - Series 2</v>
      </c>
      <c r="E277" s="2" t="str">
        <f>IFERROR(INDEX(旧!B:B,MATCH(测试!A277,旧!E:E,0)),0)</f>
        <v>[AC] 159 - Zell.bin</v>
      </c>
      <c r="F277" s="9">
        <f>IFERROR(IF(B277=INDEX(转换!B:B,MATCH(D277,转换!A:A,0)),0,1),1)</f>
        <v>0</v>
      </c>
      <c r="G277" s="9">
        <f t="shared" si="8"/>
        <v>0</v>
      </c>
      <c r="H277" s="9" t="str">
        <f t="shared" si="9"/>
        <v>-</v>
      </c>
    </row>
    <row r="278" spans="1:8" x14ac:dyDescent="0.3">
      <c r="A278" s="3" t="str">
        <f>新!E277</f>
        <v>CRC32:92C0C7EE</v>
      </c>
      <c r="B278" s="3" t="str">
        <f>新!A277</f>
        <v>Animal Crossing\Cards\Series 2</v>
      </c>
      <c r="C278" s="3" t="str">
        <f>新!B277</f>
        <v>[AC] 160 - Pekoe.bin</v>
      </c>
      <c r="D278" s="2" t="str">
        <f>IFERROR(INDEX(旧!A:A,MATCH(测试!A278,旧!E:E,0)),0)</f>
        <v>Animal Crossing\Cards - Series 2</v>
      </c>
      <c r="E278" s="2" t="str">
        <f>IFERROR(INDEX(旧!B:B,MATCH(测试!A278,旧!E:E,0)),0)</f>
        <v>[AC] 160 - Pekoe.bin</v>
      </c>
      <c r="F278" s="9">
        <f>IFERROR(IF(B278=INDEX(转换!B:B,MATCH(D278,转换!A:A,0)),0,1),1)</f>
        <v>0</v>
      </c>
      <c r="G278" s="9">
        <f t="shared" si="8"/>
        <v>0</v>
      </c>
      <c r="H278" s="9" t="str">
        <f t="shared" si="9"/>
        <v>-</v>
      </c>
    </row>
    <row r="279" spans="1:8" x14ac:dyDescent="0.3">
      <c r="A279" s="3" t="str">
        <f>新!E278</f>
        <v>CRC32:1561B261</v>
      </c>
      <c r="B279" s="3" t="str">
        <f>新!A278</f>
        <v>Animal Crossing\Cards\Series 2</v>
      </c>
      <c r="C279" s="3" t="str">
        <f>新!B278</f>
        <v>[AC] 161 - Teddy.bin</v>
      </c>
      <c r="D279" s="2" t="str">
        <f>IFERROR(INDEX(旧!A:A,MATCH(测试!A279,旧!E:E,0)),0)</f>
        <v>Animal Crossing\Cards - Series 2</v>
      </c>
      <c r="E279" s="2" t="str">
        <f>IFERROR(INDEX(旧!B:B,MATCH(测试!A279,旧!E:E,0)),0)</f>
        <v>[AC] 161 - Teddy.bin</v>
      </c>
      <c r="F279" s="9">
        <f>IFERROR(IF(B279=INDEX(转换!B:B,MATCH(D279,转换!A:A,0)),0,1),1)</f>
        <v>0</v>
      </c>
      <c r="G279" s="9">
        <f t="shared" si="8"/>
        <v>0</v>
      </c>
      <c r="H279" s="9" t="str">
        <f t="shared" si="9"/>
        <v>-</v>
      </c>
    </row>
    <row r="280" spans="1:8" x14ac:dyDescent="0.3">
      <c r="A280" s="3" t="str">
        <f>新!E279</f>
        <v>CRC32:0366E95F</v>
      </c>
      <c r="B280" s="3" t="str">
        <f>新!A279</f>
        <v>Animal Crossing\Cards\Series 2</v>
      </c>
      <c r="C280" s="3" t="str">
        <f>新!B279</f>
        <v>[AC] 162 - Mathilda.bin</v>
      </c>
      <c r="D280" s="2" t="str">
        <f>IFERROR(INDEX(旧!A:A,MATCH(测试!A280,旧!E:E,0)),0)</f>
        <v>Animal Crossing\Cards - Series 2</v>
      </c>
      <c r="E280" s="2" t="str">
        <f>IFERROR(INDEX(旧!B:B,MATCH(测试!A280,旧!E:E,0)),0)</f>
        <v>[AC] 162 - Mathilda.bin</v>
      </c>
      <c r="F280" s="9">
        <f>IFERROR(IF(B280=INDEX(转换!B:B,MATCH(D280,转换!A:A,0)),0,1),1)</f>
        <v>0</v>
      </c>
      <c r="G280" s="9">
        <f t="shared" si="8"/>
        <v>0</v>
      </c>
      <c r="H280" s="9" t="str">
        <f t="shared" si="9"/>
        <v>-</v>
      </c>
    </row>
    <row r="281" spans="1:8" x14ac:dyDescent="0.3">
      <c r="A281" s="3" t="str">
        <f>新!E280</f>
        <v>CRC32:923FB5E4</v>
      </c>
      <c r="B281" s="3" t="str">
        <f>新!A280</f>
        <v>Animal Crossing\Cards\Series 2</v>
      </c>
      <c r="C281" s="3" t="str">
        <f>新!B280</f>
        <v>[AC] 163 - Ed.bin</v>
      </c>
      <c r="D281" s="2" t="str">
        <f>IFERROR(INDEX(旧!A:A,MATCH(测试!A281,旧!E:E,0)),0)</f>
        <v>Animal Crossing\Cards - Series 2</v>
      </c>
      <c r="E281" s="2" t="str">
        <f>IFERROR(INDEX(旧!B:B,MATCH(测试!A281,旧!E:E,0)),0)</f>
        <v>[AC] 163 - Ed.bin</v>
      </c>
      <c r="F281" s="9">
        <f>IFERROR(IF(B281=INDEX(转换!B:B,MATCH(D281,转换!A:A,0)),0,1),1)</f>
        <v>0</v>
      </c>
      <c r="G281" s="9">
        <f t="shared" si="8"/>
        <v>0</v>
      </c>
      <c r="H281" s="9" t="str">
        <f t="shared" si="9"/>
        <v>-</v>
      </c>
    </row>
    <row r="282" spans="1:8" x14ac:dyDescent="0.3">
      <c r="A282" s="3" t="str">
        <f>新!E281</f>
        <v>CRC32:F9C6B8A5</v>
      </c>
      <c r="B282" s="3" t="str">
        <f>新!A281</f>
        <v>Animal Crossing\Cards\Series 2</v>
      </c>
      <c r="C282" s="3" t="str">
        <f>新!B281</f>
        <v>[AC] 164 - Bianca.bin</v>
      </c>
      <c r="D282" s="2" t="str">
        <f>IFERROR(INDEX(旧!A:A,MATCH(测试!A282,旧!E:E,0)),0)</f>
        <v>Animal Crossing\Cards - Series 2</v>
      </c>
      <c r="E282" s="2" t="str">
        <f>IFERROR(INDEX(旧!B:B,MATCH(测试!A282,旧!E:E,0)),0)</f>
        <v>[AC] 164 - Bianca.bin</v>
      </c>
      <c r="F282" s="9">
        <f>IFERROR(IF(B282=INDEX(转换!B:B,MATCH(D282,转换!A:A,0)),0,1),1)</f>
        <v>0</v>
      </c>
      <c r="G282" s="9">
        <f t="shared" si="8"/>
        <v>0</v>
      </c>
      <c r="H282" s="9" t="str">
        <f t="shared" si="9"/>
        <v>-</v>
      </c>
    </row>
    <row r="283" spans="1:8" x14ac:dyDescent="0.3">
      <c r="A283" s="3" t="str">
        <f>新!E282</f>
        <v>CRC32:5BC334DA</v>
      </c>
      <c r="B283" s="3" t="str">
        <f>新!A282</f>
        <v>Animal Crossing\Cards\Series 2</v>
      </c>
      <c r="C283" s="3" t="str">
        <f>新!B282</f>
        <v>[AC] 165 - Filbert.bin</v>
      </c>
      <c r="D283" s="2" t="str">
        <f>IFERROR(INDEX(旧!A:A,MATCH(测试!A283,旧!E:E,0)),0)</f>
        <v>Animal Crossing\Cards - Series 2</v>
      </c>
      <c r="E283" s="2" t="str">
        <f>IFERROR(INDEX(旧!B:B,MATCH(测试!A283,旧!E:E,0)),0)</f>
        <v>[AC] 165 - Filbert.bin</v>
      </c>
      <c r="F283" s="9">
        <f>IFERROR(IF(B283=INDEX(转换!B:B,MATCH(D283,转换!A:A,0)),0,1),1)</f>
        <v>0</v>
      </c>
      <c r="G283" s="9">
        <f t="shared" si="8"/>
        <v>0</v>
      </c>
      <c r="H283" s="9" t="str">
        <f t="shared" si="9"/>
        <v>-</v>
      </c>
    </row>
    <row r="284" spans="1:8" x14ac:dyDescent="0.3">
      <c r="A284" s="3" t="str">
        <f>新!E283</f>
        <v>CRC32:CACAA9F0</v>
      </c>
      <c r="B284" s="3" t="str">
        <f>新!A283</f>
        <v>Animal Crossing\Cards\Series 2</v>
      </c>
      <c r="C284" s="3" t="str">
        <f>新!B283</f>
        <v>[AC] 166 - Kitty.bin</v>
      </c>
      <c r="D284" s="2" t="str">
        <f>IFERROR(INDEX(旧!A:A,MATCH(测试!A284,旧!E:E,0)),0)</f>
        <v>Animal Crossing\Cards - Series 2</v>
      </c>
      <c r="E284" s="2" t="str">
        <f>IFERROR(INDEX(旧!B:B,MATCH(测试!A284,旧!E:E,0)),0)</f>
        <v>[AC] 166 - Kitty.bin</v>
      </c>
      <c r="F284" s="9">
        <f>IFERROR(IF(B284=INDEX(转换!B:B,MATCH(D284,转换!A:A,0)),0,1),1)</f>
        <v>0</v>
      </c>
      <c r="G284" s="9">
        <f t="shared" si="8"/>
        <v>0</v>
      </c>
      <c r="H284" s="9" t="str">
        <f t="shared" si="9"/>
        <v>-</v>
      </c>
    </row>
    <row r="285" spans="1:8" x14ac:dyDescent="0.3">
      <c r="A285" s="3" t="str">
        <f>新!E284</f>
        <v>CRC32:42F18181</v>
      </c>
      <c r="B285" s="3" t="str">
        <f>新!A284</f>
        <v>Animal Crossing\Cards\Series 2</v>
      </c>
      <c r="C285" s="3" t="str">
        <f>新!B284</f>
        <v>[AC] 167 - Beau.bin</v>
      </c>
      <c r="D285" s="2" t="str">
        <f>IFERROR(INDEX(旧!A:A,MATCH(测试!A285,旧!E:E,0)),0)</f>
        <v>Animal Crossing\Cards - Series 2</v>
      </c>
      <c r="E285" s="2" t="str">
        <f>IFERROR(INDEX(旧!B:B,MATCH(测试!A285,旧!E:E,0)),0)</f>
        <v>[AC] 167 - Beau.bin</v>
      </c>
      <c r="F285" s="9">
        <f>IFERROR(IF(B285=INDEX(转换!B:B,MATCH(D285,转换!A:A,0)),0,1),1)</f>
        <v>0</v>
      </c>
      <c r="G285" s="9">
        <f t="shared" si="8"/>
        <v>0</v>
      </c>
      <c r="H285" s="9" t="str">
        <f t="shared" si="9"/>
        <v>-</v>
      </c>
    </row>
    <row r="286" spans="1:8" x14ac:dyDescent="0.3">
      <c r="A286" s="3" t="str">
        <f>新!E285</f>
        <v>CRC32:AAB58EA0</v>
      </c>
      <c r="B286" s="3" t="str">
        <f>新!A285</f>
        <v>Animal Crossing\Cards\Series 2</v>
      </c>
      <c r="C286" s="3" t="str">
        <f>新!B285</f>
        <v>[AC] 168 - Nan.bin</v>
      </c>
      <c r="D286" s="2" t="str">
        <f>IFERROR(INDEX(旧!A:A,MATCH(测试!A286,旧!E:E,0)),0)</f>
        <v>Animal Crossing\Cards - Series 2</v>
      </c>
      <c r="E286" s="2" t="str">
        <f>IFERROR(INDEX(旧!B:B,MATCH(测试!A286,旧!E:E,0)),0)</f>
        <v>[AC] 168 - Nan.bin</v>
      </c>
      <c r="F286" s="9">
        <f>IFERROR(IF(B286=INDEX(转换!B:B,MATCH(D286,转换!A:A,0)),0,1),1)</f>
        <v>0</v>
      </c>
      <c r="G286" s="9">
        <f t="shared" si="8"/>
        <v>0</v>
      </c>
      <c r="H286" s="9" t="str">
        <f t="shared" si="9"/>
        <v>-</v>
      </c>
    </row>
    <row r="287" spans="1:8" x14ac:dyDescent="0.3">
      <c r="A287" s="3" t="str">
        <f>新!E286</f>
        <v>CRC32:3A7FF4D8</v>
      </c>
      <c r="B287" s="3" t="str">
        <f>新!A286</f>
        <v>Animal Crossing\Cards\Series 2</v>
      </c>
      <c r="C287" s="3" t="str">
        <f>新!B286</f>
        <v>[AC] 169 - Bud.bin</v>
      </c>
      <c r="D287" s="2" t="str">
        <f>IFERROR(INDEX(旧!A:A,MATCH(测试!A287,旧!E:E,0)),0)</f>
        <v>Animal Crossing\Cards - Series 2</v>
      </c>
      <c r="E287" s="2" t="str">
        <f>IFERROR(INDEX(旧!B:B,MATCH(测试!A287,旧!E:E,0)),0)</f>
        <v>[AC] 169 - Bud.bin</v>
      </c>
      <c r="F287" s="9">
        <f>IFERROR(IF(B287=INDEX(转换!B:B,MATCH(D287,转换!A:A,0)),0,1),1)</f>
        <v>0</v>
      </c>
      <c r="G287" s="9">
        <f t="shared" si="8"/>
        <v>0</v>
      </c>
      <c r="H287" s="9" t="str">
        <f t="shared" si="9"/>
        <v>-</v>
      </c>
    </row>
    <row r="288" spans="1:8" x14ac:dyDescent="0.3">
      <c r="A288" s="3" t="str">
        <f>新!E287</f>
        <v>CRC32:481541AC</v>
      </c>
      <c r="B288" s="3" t="str">
        <f>新!A287</f>
        <v>Animal Crossing\Cards\Series 2</v>
      </c>
      <c r="C288" s="3" t="str">
        <f>新!B287</f>
        <v>[AC] 170 - Ruby.bin</v>
      </c>
      <c r="D288" s="2" t="str">
        <f>IFERROR(INDEX(旧!A:A,MATCH(测试!A288,旧!E:E,0)),0)</f>
        <v>Animal Crossing\Cards - Series 2</v>
      </c>
      <c r="E288" s="2" t="str">
        <f>IFERROR(INDEX(旧!B:B,MATCH(测试!A288,旧!E:E,0)),0)</f>
        <v>[AC] 170 - Ruby.bin</v>
      </c>
      <c r="F288" s="9">
        <f>IFERROR(IF(B288=INDEX(转换!B:B,MATCH(D288,转换!A:A,0)),0,1),1)</f>
        <v>0</v>
      </c>
      <c r="G288" s="9">
        <f t="shared" si="8"/>
        <v>0</v>
      </c>
      <c r="H288" s="9" t="str">
        <f t="shared" si="9"/>
        <v>-</v>
      </c>
    </row>
    <row r="289" spans="1:8" x14ac:dyDescent="0.3">
      <c r="A289" s="3" t="str">
        <f>新!E288</f>
        <v>CRC32:80CDF306</v>
      </c>
      <c r="B289" s="3" t="str">
        <f>新!A288</f>
        <v>Animal Crossing\Cards\Series 2</v>
      </c>
      <c r="C289" s="3" t="str">
        <f>新!B288</f>
        <v>[AC] 171 - Benedict.bin</v>
      </c>
      <c r="D289" s="2" t="str">
        <f>IFERROR(INDEX(旧!A:A,MATCH(测试!A289,旧!E:E,0)),0)</f>
        <v>Animal Crossing\Cards - Series 2</v>
      </c>
      <c r="E289" s="2" t="str">
        <f>IFERROR(INDEX(旧!B:B,MATCH(测试!A289,旧!E:E,0)),0)</f>
        <v>[AC] 171 - Benedict.bin</v>
      </c>
      <c r="F289" s="9">
        <f>IFERROR(IF(B289=INDEX(转换!B:B,MATCH(D289,转换!A:A,0)),0,1),1)</f>
        <v>0</v>
      </c>
      <c r="G289" s="9">
        <f t="shared" si="8"/>
        <v>0</v>
      </c>
      <c r="H289" s="9" t="str">
        <f t="shared" si="9"/>
        <v>-</v>
      </c>
    </row>
    <row r="290" spans="1:8" x14ac:dyDescent="0.3">
      <c r="A290" s="3" t="str">
        <f>新!E289</f>
        <v>CRC32:3DB1A335</v>
      </c>
      <c r="B290" s="3" t="str">
        <f>新!A289</f>
        <v>Animal Crossing\Cards\Series 2</v>
      </c>
      <c r="C290" s="3" t="str">
        <f>新!B289</f>
        <v>[AC] 172 - Agnes.bin</v>
      </c>
      <c r="D290" s="2" t="str">
        <f>IFERROR(INDEX(旧!A:A,MATCH(测试!A290,旧!E:E,0)),0)</f>
        <v>Animal Crossing\Cards - Series 2</v>
      </c>
      <c r="E290" s="2" t="str">
        <f>IFERROR(INDEX(旧!B:B,MATCH(测试!A290,旧!E:E,0)),0)</f>
        <v>[AC] 172 - Agnes.bin</v>
      </c>
      <c r="F290" s="9">
        <f>IFERROR(IF(B290=INDEX(转换!B:B,MATCH(D290,转换!A:A,0)),0,1),1)</f>
        <v>0</v>
      </c>
      <c r="G290" s="9">
        <f t="shared" si="8"/>
        <v>0</v>
      </c>
      <c r="H290" s="9" t="str">
        <f t="shared" si="9"/>
        <v>-</v>
      </c>
    </row>
    <row r="291" spans="1:8" x14ac:dyDescent="0.3">
      <c r="A291" s="3" t="str">
        <f>新!E290</f>
        <v>CRC32:438C4D78</v>
      </c>
      <c r="B291" s="3" t="str">
        <f>新!A290</f>
        <v>Animal Crossing\Cards\Series 2</v>
      </c>
      <c r="C291" s="3" t="str">
        <f>新!B290</f>
        <v>[AC] 173 - Julian.bin</v>
      </c>
      <c r="D291" s="2" t="str">
        <f>IFERROR(INDEX(旧!A:A,MATCH(测试!A291,旧!E:E,0)),0)</f>
        <v>Animal Crossing\Cards - Series 2</v>
      </c>
      <c r="E291" s="2" t="str">
        <f>IFERROR(INDEX(旧!B:B,MATCH(测试!A291,旧!E:E,0)),0)</f>
        <v>[AC] 173 - Julian.bin</v>
      </c>
      <c r="F291" s="9">
        <f>IFERROR(IF(B291=INDEX(转换!B:B,MATCH(D291,转换!A:A,0)),0,1),1)</f>
        <v>0</v>
      </c>
      <c r="G291" s="9">
        <f t="shared" si="8"/>
        <v>0</v>
      </c>
      <c r="H291" s="9" t="str">
        <f t="shared" si="9"/>
        <v>-</v>
      </c>
    </row>
    <row r="292" spans="1:8" x14ac:dyDescent="0.3">
      <c r="A292" s="3" t="str">
        <f>新!E291</f>
        <v>CRC32:DFAECFC1</v>
      </c>
      <c r="B292" s="3" t="str">
        <f>新!A291</f>
        <v>Animal Crossing\Cards\Series 2</v>
      </c>
      <c r="C292" s="3" t="str">
        <f>新!B291</f>
        <v>[AC] 174 - Bettina.bin</v>
      </c>
      <c r="D292" s="2" t="str">
        <f>IFERROR(INDEX(旧!A:A,MATCH(测试!A292,旧!E:E,0)),0)</f>
        <v>Animal Crossing\Cards - Series 2</v>
      </c>
      <c r="E292" s="2" t="str">
        <f>IFERROR(INDEX(旧!B:B,MATCH(测试!A292,旧!E:E,0)),0)</f>
        <v>[AC] 174 - Bettina.bin</v>
      </c>
      <c r="F292" s="9">
        <f>IFERROR(IF(B292=INDEX(转换!B:B,MATCH(D292,转换!A:A,0)),0,1),1)</f>
        <v>0</v>
      </c>
      <c r="G292" s="9">
        <f t="shared" si="8"/>
        <v>0</v>
      </c>
      <c r="H292" s="9" t="str">
        <f t="shared" si="9"/>
        <v>-</v>
      </c>
    </row>
    <row r="293" spans="1:8" x14ac:dyDescent="0.3">
      <c r="A293" s="3" t="str">
        <f>新!E292</f>
        <v>CRC32:D48995AE</v>
      </c>
      <c r="B293" s="3" t="str">
        <f>新!A292</f>
        <v>Animal Crossing\Cards\Series 2</v>
      </c>
      <c r="C293" s="3" t="str">
        <f>新!B292</f>
        <v>[AC] 175 - Jay.bin</v>
      </c>
      <c r="D293" s="2" t="str">
        <f>IFERROR(INDEX(旧!A:A,MATCH(测试!A293,旧!E:E,0)),0)</f>
        <v>Animal Crossing\Cards - Series 2</v>
      </c>
      <c r="E293" s="2" t="str">
        <f>IFERROR(INDEX(旧!B:B,MATCH(测试!A293,旧!E:E,0)),0)</f>
        <v>[AC] 175 - Jay.bin</v>
      </c>
      <c r="F293" s="9">
        <f>IFERROR(IF(B293=INDEX(转换!B:B,MATCH(D293,转换!A:A,0)),0,1),1)</f>
        <v>0</v>
      </c>
      <c r="G293" s="9">
        <f t="shared" si="8"/>
        <v>0</v>
      </c>
      <c r="H293" s="9" t="str">
        <f t="shared" si="9"/>
        <v>-</v>
      </c>
    </row>
    <row r="294" spans="1:8" x14ac:dyDescent="0.3">
      <c r="A294" s="3" t="str">
        <f>新!E293</f>
        <v>CRC32:3A2D6383</v>
      </c>
      <c r="B294" s="3" t="str">
        <f>新!A293</f>
        <v>Animal Crossing\Cards\Series 2</v>
      </c>
      <c r="C294" s="3" t="str">
        <f>新!B293</f>
        <v>[AC] 176 - Sprinkle.bin</v>
      </c>
      <c r="D294" s="2" t="str">
        <f>IFERROR(INDEX(旧!A:A,MATCH(测试!A294,旧!E:E,0)),0)</f>
        <v>Animal Crossing\Cards - Series 2</v>
      </c>
      <c r="E294" s="2" t="str">
        <f>IFERROR(INDEX(旧!B:B,MATCH(测试!A294,旧!E:E,0)),0)</f>
        <v>[AC] 176 - Sprinkle.bin</v>
      </c>
      <c r="F294" s="9">
        <f>IFERROR(IF(B294=INDEX(转换!B:B,MATCH(D294,转换!A:A,0)),0,1),1)</f>
        <v>0</v>
      </c>
      <c r="G294" s="9">
        <f t="shared" si="8"/>
        <v>0</v>
      </c>
      <c r="H294" s="9" t="str">
        <f t="shared" si="9"/>
        <v>-</v>
      </c>
    </row>
    <row r="295" spans="1:8" x14ac:dyDescent="0.3">
      <c r="A295" s="3" t="str">
        <f>新!E294</f>
        <v>CRC32:4A143376</v>
      </c>
      <c r="B295" s="3" t="str">
        <f>新!A294</f>
        <v>Animal Crossing\Cards\Series 2</v>
      </c>
      <c r="C295" s="3" t="str">
        <f>新!B294</f>
        <v>[AC] 177 - Flip.bin</v>
      </c>
      <c r="D295" s="2" t="str">
        <f>IFERROR(INDEX(旧!A:A,MATCH(测试!A295,旧!E:E,0)),0)</f>
        <v>Animal Crossing\Cards - Series 2</v>
      </c>
      <c r="E295" s="2" t="str">
        <f>IFERROR(INDEX(旧!B:B,MATCH(测试!A295,旧!E:E,0)),0)</f>
        <v>[AC] 177 - Flip.bin</v>
      </c>
      <c r="F295" s="9">
        <f>IFERROR(IF(B295=INDEX(转换!B:B,MATCH(D295,转换!A:A,0)),0,1),1)</f>
        <v>0</v>
      </c>
      <c r="G295" s="9">
        <f t="shared" si="8"/>
        <v>0</v>
      </c>
      <c r="H295" s="9" t="str">
        <f t="shared" si="9"/>
        <v>-</v>
      </c>
    </row>
    <row r="296" spans="1:8" x14ac:dyDescent="0.3">
      <c r="A296" s="3" t="str">
        <f>新!E295</f>
        <v>CRC32:A3A9D9ED</v>
      </c>
      <c r="B296" s="3" t="str">
        <f>新!A295</f>
        <v>Animal Crossing\Cards\Series 2</v>
      </c>
      <c r="C296" s="3" t="str">
        <f>新!B295</f>
        <v>[AC] 178 - Hugh.bin</v>
      </c>
      <c r="D296" s="2" t="str">
        <f>IFERROR(INDEX(旧!A:A,MATCH(测试!A296,旧!E:E,0)),0)</f>
        <v>Animal Crossing\Cards - Series 2</v>
      </c>
      <c r="E296" s="2" t="str">
        <f>IFERROR(INDEX(旧!B:B,MATCH(测试!A296,旧!E:E,0)),0)</f>
        <v>[AC] 178 - Hugh.bin</v>
      </c>
      <c r="F296" s="9">
        <f>IFERROR(IF(B296=INDEX(转换!B:B,MATCH(D296,转换!A:A,0)),0,1),1)</f>
        <v>0</v>
      </c>
      <c r="G296" s="9">
        <f t="shared" si="8"/>
        <v>0</v>
      </c>
      <c r="H296" s="9" t="str">
        <f t="shared" si="9"/>
        <v>-</v>
      </c>
    </row>
    <row r="297" spans="1:8" x14ac:dyDescent="0.3">
      <c r="A297" s="3" t="str">
        <f>新!E296</f>
        <v>CRC32:1D29191C</v>
      </c>
      <c r="B297" s="3" t="str">
        <f>新!A296</f>
        <v>Animal Crossing\Cards\Series 2</v>
      </c>
      <c r="C297" s="3" t="str">
        <f>新!B296</f>
        <v>[AC] 179 - Hopper.bin</v>
      </c>
      <c r="D297" s="2" t="str">
        <f>IFERROR(INDEX(旧!A:A,MATCH(测试!A297,旧!E:E,0)),0)</f>
        <v>Animal Crossing\Cards - Series 2</v>
      </c>
      <c r="E297" s="2" t="str">
        <f>IFERROR(INDEX(旧!B:B,MATCH(测试!A297,旧!E:E,0)),0)</f>
        <v>[AC] 179 - Hopper.bin</v>
      </c>
      <c r="F297" s="9">
        <f>IFERROR(IF(B297=INDEX(转换!B:B,MATCH(D297,转换!A:A,0)),0,1),1)</f>
        <v>0</v>
      </c>
      <c r="G297" s="9">
        <f t="shared" si="8"/>
        <v>0</v>
      </c>
      <c r="H297" s="9" t="str">
        <f t="shared" si="9"/>
        <v>-</v>
      </c>
    </row>
    <row r="298" spans="1:8" x14ac:dyDescent="0.3">
      <c r="A298" s="3" t="str">
        <f>新!E297</f>
        <v>CRC32:5A9E42E0</v>
      </c>
      <c r="B298" s="3" t="str">
        <f>新!A297</f>
        <v>Animal Crossing\Cards\Series 2</v>
      </c>
      <c r="C298" s="3" t="str">
        <f>新!B297</f>
        <v>[AC] 180 - Pecan.bin</v>
      </c>
      <c r="D298" s="2" t="str">
        <f>IFERROR(INDEX(旧!A:A,MATCH(测试!A298,旧!E:E,0)),0)</f>
        <v>Animal Crossing\Cards - Series 2</v>
      </c>
      <c r="E298" s="2" t="str">
        <f>IFERROR(INDEX(旧!B:B,MATCH(测试!A298,旧!E:E,0)),0)</f>
        <v>[AC] 180 - Pecan.bin</v>
      </c>
      <c r="F298" s="9">
        <f>IFERROR(IF(B298=INDEX(转换!B:B,MATCH(D298,转换!A:A,0)),0,1),1)</f>
        <v>0</v>
      </c>
      <c r="G298" s="9">
        <f t="shared" si="8"/>
        <v>0</v>
      </c>
      <c r="H298" s="9" t="str">
        <f t="shared" si="9"/>
        <v>-</v>
      </c>
    </row>
    <row r="299" spans="1:8" x14ac:dyDescent="0.3">
      <c r="A299" s="3" t="str">
        <f>新!E298</f>
        <v>CRC32:DD388E30</v>
      </c>
      <c r="B299" s="3" t="str">
        <f>新!A298</f>
        <v>Animal Crossing\Cards\Series 2</v>
      </c>
      <c r="C299" s="3" t="str">
        <f>新!B298</f>
        <v>[AC] 181 - Drake.bin</v>
      </c>
      <c r="D299" s="2" t="str">
        <f>IFERROR(INDEX(旧!A:A,MATCH(测试!A299,旧!E:E,0)),0)</f>
        <v>Animal Crossing\Cards - Series 2</v>
      </c>
      <c r="E299" s="2" t="str">
        <f>IFERROR(INDEX(旧!B:B,MATCH(测试!A299,旧!E:E,0)),0)</f>
        <v>[AC] 181 - Drake.bin</v>
      </c>
      <c r="F299" s="9">
        <f>IFERROR(IF(B299=INDEX(转换!B:B,MATCH(D299,转换!A:A,0)),0,1),1)</f>
        <v>0</v>
      </c>
      <c r="G299" s="9">
        <f t="shared" si="8"/>
        <v>0</v>
      </c>
      <c r="H299" s="9" t="str">
        <f t="shared" si="9"/>
        <v>-</v>
      </c>
    </row>
    <row r="300" spans="1:8" x14ac:dyDescent="0.3">
      <c r="A300" s="3" t="str">
        <f>新!E299</f>
        <v>CRC32:5650B2F1</v>
      </c>
      <c r="B300" s="3" t="str">
        <f>新!A299</f>
        <v>Animal Crossing\Cards\Series 2</v>
      </c>
      <c r="C300" s="3" t="str">
        <f>新!B299</f>
        <v>[AC] 182 - Alice.bin</v>
      </c>
      <c r="D300" s="2" t="str">
        <f>IFERROR(INDEX(旧!A:A,MATCH(测试!A300,旧!E:E,0)),0)</f>
        <v>Animal Crossing\Cards - Series 2</v>
      </c>
      <c r="E300" s="2" t="str">
        <f>IFERROR(INDEX(旧!B:B,MATCH(测试!A300,旧!E:E,0)),0)</f>
        <v>[AC] 182 - Alice.bin</v>
      </c>
      <c r="F300" s="9">
        <f>IFERROR(IF(B300=INDEX(转换!B:B,MATCH(D300,转换!A:A,0)),0,1),1)</f>
        <v>0</v>
      </c>
      <c r="G300" s="9">
        <f t="shared" ref="G300:G363" si="10">IF(E300=C300,0,1)</f>
        <v>0</v>
      </c>
      <c r="H300" s="9" t="str">
        <f t="shared" si="9"/>
        <v>-</v>
      </c>
    </row>
    <row r="301" spans="1:8" x14ac:dyDescent="0.3">
      <c r="A301" s="3" t="str">
        <f>新!E300</f>
        <v>CRC32:3A653B63</v>
      </c>
      <c r="B301" s="3" t="str">
        <f>新!A300</f>
        <v>Animal Crossing\Cards\Series 2</v>
      </c>
      <c r="C301" s="3" t="str">
        <f>新!B300</f>
        <v>[AC] 183 - Camofrog.bin</v>
      </c>
      <c r="D301" s="2" t="str">
        <f>IFERROR(INDEX(旧!A:A,MATCH(测试!A301,旧!E:E,0)),0)</f>
        <v>Animal Crossing\Cards - Series 2</v>
      </c>
      <c r="E301" s="2" t="str">
        <f>IFERROR(INDEX(旧!B:B,MATCH(测试!A301,旧!E:E,0)),0)</f>
        <v>[AC] 183 - Camofrog.bin</v>
      </c>
      <c r="F301" s="9">
        <f>IFERROR(IF(B301=INDEX(转换!B:B,MATCH(D301,转换!A:A,0)),0,1),1)</f>
        <v>0</v>
      </c>
      <c r="G301" s="9">
        <f t="shared" si="10"/>
        <v>0</v>
      </c>
      <c r="H301" s="9" t="str">
        <f t="shared" si="9"/>
        <v>-</v>
      </c>
    </row>
    <row r="302" spans="1:8" x14ac:dyDescent="0.3">
      <c r="A302" s="3" t="str">
        <f>新!E301</f>
        <v>CRC32:5DB9AB55</v>
      </c>
      <c r="B302" s="3" t="str">
        <f>新!A301</f>
        <v>Animal Crossing\Cards\Series 2</v>
      </c>
      <c r="C302" s="3" t="str">
        <f>新!B301</f>
        <v>[AC] 184 - Anicotti.bin</v>
      </c>
      <c r="D302" s="2" t="str">
        <f>IFERROR(INDEX(旧!A:A,MATCH(测试!A302,旧!E:E,0)),0)</f>
        <v>Animal Crossing\Cards - Series 2</v>
      </c>
      <c r="E302" s="2" t="str">
        <f>IFERROR(INDEX(旧!B:B,MATCH(测试!A302,旧!E:E,0)),0)</f>
        <v>[AC] 184 - Anicotti.bin</v>
      </c>
      <c r="F302" s="9">
        <f>IFERROR(IF(B302=INDEX(转换!B:B,MATCH(D302,转换!A:A,0)),0,1),1)</f>
        <v>0</v>
      </c>
      <c r="G302" s="9">
        <f t="shared" si="10"/>
        <v>0</v>
      </c>
      <c r="H302" s="9" t="str">
        <f t="shared" si="9"/>
        <v>-</v>
      </c>
    </row>
    <row r="303" spans="1:8" x14ac:dyDescent="0.3">
      <c r="A303" s="3" t="str">
        <f>新!E302</f>
        <v>CRC32:2A004FFB</v>
      </c>
      <c r="B303" s="3" t="str">
        <f>新!A302</f>
        <v>Animal Crossing\Cards\Series 2</v>
      </c>
      <c r="C303" s="3" t="str">
        <f>新!B302</f>
        <v>[AC] 185 - Chops.bin</v>
      </c>
      <c r="D303" s="2" t="str">
        <f>IFERROR(INDEX(旧!A:A,MATCH(测试!A303,旧!E:E,0)),0)</f>
        <v>Animal Crossing\Cards - Series 2</v>
      </c>
      <c r="E303" s="2" t="str">
        <f>IFERROR(INDEX(旧!B:B,MATCH(测试!A303,旧!E:E,0)),0)</f>
        <v>[AC] 185 - Chops.bin</v>
      </c>
      <c r="F303" s="9">
        <f>IFERROR(IF(B303=INDEX(转换!B:B,MATCH(D303,转换!A:A,0)),0,1),1)</f>
        <v>0</v>
      </c>
      <c r="G303" s="9">
        <f t="shared" si="10"/>
        <v>0</v>
      </c>
      <c r="H303" s="9" t="str">
        <f t="shared" si="9"/>
        <v>-</v>
      </c>
    </row>
    <row r="304" spans="1:8" x14ac:dyDescent="0.3">
      <c r="A304" s="3" t="str">
        <f>新!E303</f>
        <v>CRC32:2B5EBA4D</v>
      </c>
      <c r="B304" s="3" t="str">
        <f>新!A303</f>
        <v>Animal Crossing\Cards\Series 2</v>
      </c>
      <c r="C304" s="3" t="str">
        <f>新!B303</f>
        <v>[AC] 186 - Charlise.bin</v>
      </c>
      <c r="D304" s="2" t="str">
        <f>IFERROR(INDEX(旧!A:A,MATCH(测试!A304,旧!E:E,0)),0)</f>
        <v>Animal Crossing\Cards - Series 2</v>
      </c>
      <c r="E304" s="2" t="str">
        <f>IFERROR(INDEX(旧!B:B,MATCH(测试!A304,旧!E:E,0)),0)</f>
        <v>[AC] 186 - Charlise.bin</v>
      </c>
      <c r="F304" s="9">
        <f>IFERROR(IF(B304=INDEX(转换!B:B,MATCH(D304,转换!A:A,0)),0,1),1)</f>
        <v>0</v>
      </c>
      <c r="G304" s="9">
        <f t="shared" si="10"/>
        <v>0</v>
      </c>
      <c r="H304" s="9" t="str">
        <f t="shared" si="9"/>
        <v>-</v>
      </c>
    </row>
    <row r="305" spans="1:8" x14ac:dyDescent="0.3">
      <c r="A305" s="3" t="str">
        <f>新!E304</f>
        <v>CRC32:462376CE</v>
      </c>
      <c r="B305" s="3" t="str">
        <f>新!A304</f>
        <v>Animal Crossing\Cards\Series 2</v>
      </c>
      <c r="C305" s="3" t="str">
        <f>新!B304</f>
        <v>[AC] 187 - Vic.bin</v>
      </c>
      <c r="D305" s="2" t="str">
        <f>IFERROR(INDEX(旧!A:A,MATCH(测试!A305,旧!E:E,0)),0)</f>
        <v>Animal Crossing\Cards - Series 2</v>
      </c>
      <c r="E305" s="2" t="str">
        <f>IFERROR(INDEX(旧!B:B,MATCH(测试!A305,旧!E:E,0)),0)</f>
        <v>[AC] 187 - Vic.bin</v>
      </c>
      <c r="F305" s="9">
        <f>IFERROR(IF(B305=INDEX(转换!B:B,MATCH(D305,转换!A:A,0)),0,1),1)</f>
        <v>0</v>
      </c>
      <c r="G305" s="9">
        <f t="shared" si="10"/>
        <v>0</v>
      </c>
      <c r="H305" s="9" t="str">
        <f t="shared" si="9"/>
        <v>-</v>
      </c>
    </row>
    <row r="306" spans="1:8" x14ac:dyDescent="0.3">
      <c r="A306" s="3" t="str">
        <f>新!E305</f>
        <v>CRC32:8C207C8F</v>
      </c>
      <c r="B306" s="3" t="str">
        <f>新!A305</f>
        <v>Animal Crossing\Cards\Series 2</v>
      </c>
      <c r="C306" s="3" t="str">
        <f>新!B305</f>
        <v>[AC] 188 - Ankha.bin</v>
      </c>
      <c r="D306" s="2" t="str">
        <f>IFERROR(INDEX(旧!A:A,MATCH(测试!A306,旧!E:E,0)),0)</f>
        <v>Animal Crossing\Cards - Series 2</v>
      </c>
      <c r="E306" s="2" t="str">
        <f>IFERROR(INDEX(旧!B:B,MATCH(测试!A306,旧!E:E,0)),0)</f>
        <v>[AC] 188 - Ankha.bin</v>
      </c>
      <c r="F306" s="9">
        <f>IFERROR(IF(B306=INDEX(转换!B:B,MATCH(D306,转换!A:A,0)),0,1),1)</f>
        <v>0</v>
      </c>
      <c r="G306" s="9">
        <f t="shared" si="10"/>
        <v>0</v>
      </c>
      <c r="H306" s="9" t="str">
        <f t="shared" si="9"/>
        <v>-</v>
      </c>
    </row>
    <row r="307" spans="1:8" x14ac:dyDescent="0.3">
      <c r="A307" s="3" t="str">
        <f>新!E306</f>
        <v>CRC32:DF3AC003</v>
      </c>
      <c r="B307" s="3" t="str">
        <f>新!A306</f>
        <v>Animal Crossing\Cards\Series 2</v>
      </c>
      <c r="C307" s="3" t="str">
        <f>新!B306</f>
        <v>[AC] 189 - Drift.bin</v>
      </c>
      <c r="D307" s="2" t="str">
        <f>IFERROR(INDEX(旧!A:A,MATCH(测试!A307,旧!E:E,0)),0)</f>
        <v>Animal Crossing\Cards - Series 2</v>
      </c>
      <c r="E307" s="2" t="str">
        <f>IFERROR(INDEX(旧!B:B,MATCH(测试!A307,旧!E:E,0)),0)</f>
        <v>[AC] 189 - Drift.bin</v>
      </c>
      <c r="F307" s="9">
        <f>IFERROR(IF(B307=INDEX(转换!B:B,MATCH(D307,转换!A:A,0)),0,1),1)</f>
        <v>0</v>
      </c>
      <c r="G307" s="9">
        <f t="shared" si="10"/>
        <v>0</v>
      </c>
      <c r="H307" s="9" t="str">
        <f t="shared" si="9"/>
        <v>-</v>
      </c>
    </row>
    <row r="308" spans="1:8" x14ac:dyDescent="0.3">
      <c r="A308" s="3" t="str">
        <f>新!E307</f>
        <v>CRC32:5E91BF1F</v>
      </c>
      <c r="B308" s="3" t="str">
        <f>新!A307</f>
        <v>Animal Crossing\Cards\Series 2</v>
      </c>
      <c r="C308" s="3" t="str">
        <f>新!B307</f>
        <v>[AC] 190 - Vesta.bin</v>
      </c>
      <c r="D308" s="2" t="str">
        <f>IFERROR(INDEX(旧!A:A,MATCH(测试!A308,旧!E:E,0)),0)</f>
        <v>Animal Crossing\Cards - Series 2</v>
      </c>
      <c r="E308" s="2" t="str">
        <f>IFERROR(INDEX(旧!B:B,MATCH(测试!A308,旧!E:E,0)),0)</f>
        <v>[AC] 190 - Vesta.bin</v>
      </c>
      <c r="F308" s="9">
        <f>IFERROR(IF(B308=INDEX(转换!B:B,MATCH(D308,转换!A:A,0)),0,1),1)</f>
        <v>0</v>
      </c>
      <c r="G308" s="9">
        <f t="shared" si="10"/>
        <v>0</v>
      </c>
      <c r="H308" s="9" t="str">
        <f t="shared" si="9"/>
        <v>-</v>
      </c>
    </row>
    <row r="309" spans="1:8" x14ac:dyDescent="0.3">
      <c r="A309" s="3" t="str">
        <f>新!E308</f>
        <v>CRC32:FF370C5F</v>
      </c>
      <c r="B309" s="3" t="str">
        <f>新!A308</f>
        <v>Animal Crossing\Cards\Series 2</v>
      </c>
      <c r="C309" s="3" t="str">
        <f>新!B308</f>
        <v>[AC] 191 - Marcel.bin</v>
      </c>
      <c r="D309" s="2" t="str">
        <f>IFERROR(INDEX(旧!A:A,MATCH(测试!A309,旧!E:E,0)),0)</f>
        <v>Animal Crossing\Cards - Series 2</v>
      </c>
      <c r="E309" s="2" t="str">
        <f>IFERROR(INDEX(旧!B:B,MATCH(测试!A309,旧!E:E,0)),0)</f>
        <v>[AC] 191 - Marcel.bin</v>
      </c>
      <c r="F309" s="9">
        <f>IFERROR(IF(B309=INDEX(转换!B:B,MATCH(D309,转换!A:A,0)),0,1),1)</f>
        <v>0</v>
      </c>
      <c r="G309" s="9">
        <f t="shared" si="10"/>
        <v>0</v>
      </c>
      <c r="H309" s="9" t="str">
        <f t="shared" si="9"/>
        <v>-</v>
      </c>
    </row>
    <row r="310" spans="1:8" x14ac:dyDescent="0.3">
      <c r="A310" s="3" t="str">
        <f>新!E309</f>
        <v>CRC32:FD11EDEA</v>
      </c>
      <c r="B310" s="3" t="str">
        <f>新!A309</f>
        <v>Animal Crossing\Cards\Series 2</v>
      </c>
      <c r="C310" s="3" t="str">
        <f>新!B309</f>
        <v>[AC] 192 - Pango.bin</v>
      </c>
      <c r="D310" s="2" t="str">
        <f>IFERROR(INDEX(旧!A:A,MATCH(测试!A310,旧!E:E,0)),0)</f>
        <v>Animal Crossing\Cards - Series 2</v>
      </c>
      <c r="E310" s="2" t="str">
        <f>IFERROR(INDEX(旧!B:B,MATCH(测试!A310,旧!E:E,0)),0)</f>
        <v>[AC] 192 - Pango.bin</v>
      </c>
      <c r="F310" s="9">
        <f>IFERROR(IF(B310=INDEX(转换!B:B,MATCH(D310,转换!A:A,0)),0,1),1)</f>
        <v>0</v>
      </c>
      <c r="G310" s="9">
        <f t="shared" si="10"/>
        <v>0</v>
      </c>
      <c r="H310" s="9" t="str">
        <f t="shared" si="9"/>
        <v>-</v>
      </c>
    </row>
    <row r="311" spans="1:8" x14ac:dyDescent="0.3">
      <c r="A311" s="3" t="str">
        <f>新!E310</f>
        <v>CRC32:1871F876</v>
      </c>
      <c r="B311" s="3" t="str">
        <f>新!A310</f>
        <v>Animal Crossing\Cards\Series 2</v>
      </c>
      <c r="C311" s="3" t="str">
        <f>新!B310</f>
        <v>[AC] 193 - Keaton.bin</v>
      </c>
      <c r="D311" s="2" t="str">
        <f>IFERROR(INDEX(旧!A:A,MATCH(测试!A311,旧!E:E,0)),0)</f>
        <v>Animal Crossing\Cards - Series 2</v>
      </c>
      <c r="E311" s="2" t="str">
        <f>IFERROR(INDEX(旧!B:B,MATCH(测试!A311,旧!E:E,0)),0)</f>
        <v>[AC] 193 - Keaton.bin</v>
      </c>
      <c r="F311" s="9">
        <f>IFERROR(IF(B311=INDEX(转换!B:B,MATCH(D311,转换!A:A,0)),0,1),1)</f>
        <v>0</v>
      </c>
      <c r="G311" s="9">
        <f t="shared" si="10"/>
        <v>0</v>
      </c>
      <c r="H311" s="9" t="str">
        <f t="shared" si="9"/>
        <v>-</v>
      </c>
    </row>
    <row r="312" spans="1:8" x14ac:dyDescent="0.3">
      <c r="A312" s="3" t="str">
        <f>新!E311</f>
        <v>CRC32:567D4EB1</v>
      </c>
      <c r="B312" s="3" t="str">
        <f>新!A311</f>
        <v>Animal Crossing\Cards\Series 2</v>
      </c>
      <c r="C312" s="3" t="str">
        <f>新!B311</f>
        <v>[AC] 194 - Gladys.bin</v>
      </c>
      <c r="D312" s="2" t="str">
        <f>IFERROR(INDEX(旧!A:A,MATCH(测试!A312,旧!E:E,0)),0)</f>
        <v>Animal Crossing\Cards - Series 2</v>
      </c>
      <c r="E312" s="2" t="str">
        <f>IFERROR(INDEX(旧!B:B,MATCH(测试!A312,旧!E:E,0)),0)</f>
        <v>[AC] 194 - Gladys.bin</v>
      </c>
      <c r="F312" s="9">
        <f>IFERROR(IF(B312=INDEX(转换!B:B,MATCH(D312,转换!A:A,0)),0,1),1)</f>
        <v>0</v>
      </c>
      <c r="G312" s="9">
        <f t="shared" si="10"/>
        <v>0</v>
      </c>
      <c r="H312" s="9" t="str">
        <f t="shared" si="9"/>
        <v>-</v>
      </c>
    </row>
    <row r="313" spans="1:8" x14ac:dyDescent="0.3">
      <c r="A313" s="3" t="str">
        <f>新!E312</f>
        <v>CRC32:1601E7A1</v>
      </c>
      <c r="B313" s="3" t="str">
        <f>新!A312</f>
        <v>Animal Crossing\Cards\Series 2</v>
      </c>
      <c r="C313" s="3" t="str">
        <f>新!B312</f>
        <v>[AC] 195 - Hamphrey.bin</v>
      </c>
      <c r="D313" s="2" t="str">
        <f>IFERROR(INDEX(旧!A:A,MATCH(测试!A313,旧!E:E,0)),0)</f>
        <v>Animal Crossing\Cards - Series 2</v>
      </c>
      <c r="E313" s="2" t="str">
        <f>IFERROR(INDEX(旧!B:B,MATCH(测试!A313,旧!E:E,0)),0)</f>
        <v>[AC] 195 - Hamphrey.bin</v>
      </c>
      <c r="F313" s="9">
        <f>IFERROR(IF(B313=INDEX(转换!B:B,MATCH(D313,转换!A:A,0)),0,1),1)</f>
        <v>0</v>
      </c>
      <c r="G313" s="9">
        <f t="shared" si="10"/>
        <v>0</v>
      </c>
      <c r="H313" s="9" t="str">
        <f t="shared" si="9"/>
        <v>-</v>
      </c>
    </row>
    <row r="314" spans="1:8" x14ac:dyDescent="0.3">
      <c r="A314" s="3" t="str">
        <f>新!E313</f>
        <v>CRC32:EAAB2D7D</v>
      </c>
      <c r="B314" s="3" t="str">
        <f>新!A313</f>
        <v>Animal Crossing\Cards\Series 2</v>
      </c>
      <c r="C314" s="3" t="str">
        <f>新!B313</f>
        <v>[AC] 196 - Freya.bin</v>
      </c>
      <c r="D314" s="2" t="str">
        <f>IFERROR(INDEX(旧!A:A,MATCH(测试!A314,旧!E:E,0)),0)</f>
        <v>Animal Crossing\Cards - Series 2</v>
      </c>
      <c r="E314" s="2" t="str">
        <f>IFERROR(INDEX(旧!B:B,MATCH(测试!A314,旧!E:E,0)),0)</f>
        <v>[AC] 196 - Freya.bin</v>
      </c>
      <c r="F314" s="9">
        <f>IFERROR(IF(B314=INDEX(转换!B:B,MATCH(D314,转换!A:A,0)),0,1),1)</f>
        <v>0</v>
      </c>
      <c r="G314" s="9">
        <f t="shared" si="10"/>
        <v>0</v>
      </c>
      <c r="H314" s="9" t="str">
        <f t="shared" si="9"/>
        <v>-</v>
      </c>
    </row>
    <row r="315" spans="1:8" x14ac:dyDescent="0.3">
      <c r="A315" s="3" t="str">
        <f>新!E314</f>
        <v>CRC32:0600E72F</v>
      </c>
      <c r="B315" s="3" t="str">
        <f>新!A314</f>
        <v>Animal Crossing\Cards\Series 2</v>
      </c>
      <c r="C315" s="3" t="str">
        <f>新!B314</f>
        <v>[AC] 197 - Kid Cat.bin</v>
      </c>
      <c r="D315" s="2" t="str">
        <f>IFERROR(INDEX(旧!A:A,MATCH(测试!A315,旧!E:E,0)),0)</f>
        <v>Animal Crossing\Cards - Series 2</v>
      </c>
      <c r="E315" s="2" t="str">
        <f>IFERROR(INDEX(旧!B:B,MATCH(测试!A315,旧!E:E,0)),0)</f>
        <v>[AC] 197 - Kid Cat.bin</v>
      </c>
      <c r="F315" s="9">
        <f>IFERROR(IF(B315=INDEX(转换!B:B,MATCH(D315,转换!A:A,0)),0,1),1)</f>
        <v>0</v>
      </c>
      <c r="G315" s="9">
        <f t="shared" si="10"/>
        <v>0</v>
      </c>
      <c r="H315" s="9" t="str">
        <f t="shared" si="9"/>
        <v>-</v>
      </c>
    </row>
    <row r="316" spans="1:8" x14ac:dyDescent="0.3">
      <c r="A316" s="3" t="str">
        <f>新!E315</f>
        <v>CRC32:BFD5F40B</v>
      </c>
      <c r="B316" s="3" t="str">
        <f>新!A315</f>
        <v>Animal Crossing\Cards\Series 2</v>
      </c>
      <c r="C316" s="3" t="str">
        <f>新!B315</f>
        <v>[AC] 198 - Agent S.bin</v>
      </c>
      <c r="D316" s="2" t="str">
        <f>IFERROR(INDEX(旧!A:A,MATCH(测试!A316,旧!E:E,0)),0)</f>
        <v>Animal Crossing\Cards - Series 2</v>
      </c>
      <c r="E316" s="2" t="str">
        <f>IFERROR(INDEX(旧!B:B,MATCH(测试!A316,旧!E:E,0)),0)</f>
        <v>[AC] 198 - Agent S.bin</v>
      </c>
      <c r="F316" s="9">
        <f>IFERROR(IF(B316=INDEX(转换!B:B,MATCH(D316,转换!A:A,0)),0,1),1)</f>
        <v>0</v>
      </c>
      <c r="G316" s="9">
        <f t="shared" si="10"/>
        <v>0</v>
      </c>
      <c r="H316" s="9" t="str">
        <f t="shared" si="9"/>
        <v>-</v>
      </c>
    </row>
    <row r="317" spans="1:8" x14ac:dyDescent="0.3">
      <c r="A317" s="3" t="str">
        <f>新!E316</f>
        <v>CRC32:03713D98</v>
      </c>
      <c r="B317" s="3" t="str">
        <f>新!A316</f>
        <v>Animal Crossing\Cards\Series 2</v>
      </c>
      <c r="C317" s="3" t="str">
        <f>新!B316</f>
        <v>[AC] 199 - Big Top.bin</v>
      </c>
      <c r="D317" s="2" t="str">
        <f>IFERROR(INDEX(旧!A:A,MATCH(测试!A317,旧!E:E,0)),0)</f>
        <v>Animal Crossing\Cards - Series 2</v>
      </c>
      <c r="E317" s="2" t="str">
        <f>IFERROR(INDEX(旧!B:B,MATCH(测试!A317,旧!E:E,0)),0)</f>
        <v>[AC] 199 - Big Top.bin</v>
      </c>
      <c r="F317" s="9">
        <f>IFERROR(IF(B317=INDEX(转换!B:B,MATCH(D317,转换!A:A,0)),0,1),1)</f>
        <v>0</v>
      </c>
      <c r="G317" s="9">
        <f t="shared" si="10"/>
        <v>0</v>
      </c>
      <c r="H317" s="9" t="str">
        <f t="shared" si="9"/>
        <v>-</v>
      </c>
    </row>
    <row r="318" spans="1:8" x14ac:dyDescent="0.3">
      <c r="A318" s="3" t="str">
        <f>新!E317</f>
        <v>CRC32:8D434251</v>
      </c>
      <c r="B318" s="3" t="str">
        <f>新!A317</f>
        <v>Animal Crossing\Cards\Series 2</v>
      </c>
      <c r="C318" s="3" t="str">
        <f>新!B317</f>
        <v>[AC] 200 - Rocket.bin</v>
      </c>
      <c r="D318" s="2" t="str">
        <f>IFERROR(INDEX(旧!A:A,MATCH(测试!A318,旧!E:E,0)),0)</f>
        <v>Animal Crossing\Cards - Series 2</v>
      </c>
      <c r="E318" s="2" t="str">
        <f>IFERROR(INDEX(旧!B:B,MATCH(测试!A318,旧!E:E,0)),0)</f>
        <v>[AC] 200 - Rocket.bin</v>
      </c>
      <c r="F318" s="9">
        <f>IFERROR(IF(B318=INDEX(转换!B:B,MATCH(D318,转换!A:A,0)),0,1),1)</f>
        <v>0</v>
      </c>
      <c r="G318" s="9">
        <f t="shared" si="10"/>
        <v>0</v>
      </c>
      <c r="H318" s="9" t="str">
        <f t="shared" si="9"/>
        <v>-</v>
      </c>
    </row>
    <row r="319" spans="1:8" x14ac:dyDescent="0.3">
      <c r="A319" s="3" t="str">
        <f>新!E318</f>
        <v>CRC32:4BFBA512</v>
      </c>
      <c r="B319" s="3" t="str">
        <f>新!A318</f>
        <v>Animal Crossing\Cards\Series 3</v>
      </c>
      <c r="C319" s="3" t="str">
        <f>新!B318</f>
        <v>[AC] 201 - Rover.bin</v>
      </c>
      <c r="D319" s="2" t="str">
        <f>IFERROR(INDEX(旧!A:A,MATCH(测试!A319,旧!E:E,0)),0)</f>
        <v>Animal Crossing\Cards - Series 3</v>
      </c>
      <c r="E319" s="2" t="str">
        <f>IFERROR(INDEX(旧!B:B,MATCH(测试!A319,旧!E:E,0)),0)</f>
        <v>[AC] 201 - Rover.bin</v>
      </c>
      <c r="F319" s="9">
        <f>IFERROR(IF(B319=INDEX(转换!B:B,MATCH(D319,转换!A:A,0)),0,1),1)</f>
        <v>0</v>
      </c>
      <c r="G319" s="9">
        <f t="shared" si="10"/>
        <v>0</v>
      </c>
      <c r="H319" s="9" t="str">
        <f t="shared" si="9"/>
        <v>-</v>
      </c>
    </row>
    <row r="320" spans="1:8" x14ac:dyDescent="0.3">
      <c r="A320" s="3" t="str">
        <f>新!E319</f>
        <v>CRC32:5A9DDE29</v>
      </c>
      <c r="B320" s="3" t="str">
        <f>新!A319</f>
        <v>Animal Crossing\Cards\Series 3</v>
      </c>
      <c r="C320" s="3" t="str">
        <f>新!B319</f>
        <v>[AC] 202 - Blathers.bin</v>
      </c>
      <c r="D320" s="2" t="str">
        <f>IFERROR(INDEX(旧!A:A,MATCH(测试!A320,旧!E:E,0)),0)</f>
        <v>Animal Crossing\Cards - Series 3</v>
      </c>
      <c r="E320" s="2" t="str">
        <f>IFERROR(INDEX(旧!B:B,MATCH(测试!A320,旧!E:E,0)),0)</f>
        <v>[AC] 202 - Blathers.bin</v>
      </c>
      <c r="F320" s="9">
        <f>IFERROR(IF(B320=INDEX(转换!B:B,MATCH(D320,转换!A:A,0)),0,1),1)</f>
        <v>0</v>
      </c>
      <c r="G320" s="9">
        <f t="shared" si="10"/>
        <v>0</v>
      </c>
      <c r="H320" s="9" t="str">
        <f t="shared" si="9"/>
        <v>-</v>
      </c>
    </row>
    <row r="321" spans="1:8" x14ac:dyDescent="0.3">
      <c r="A321" s="3" t="str">
        <f>新!E320</f>
        <v>CRC32:FD0E532E</v>
      </c>
      <c r="B321" s="3" t="str">
        <f>新!A320</f>
        <v>Animal Crossing\Cards\Series 3</v>
      </c>
      <c r="C321" s="3" t="str">
        <f>新!B320</f>
        <v>[AC] 203 - Tom Nook.bin</v>
      </c>
      <c r="D321" s="2" t="str">
        <f>IFERROR(INDEX(旧!A:A,MATCH(测试!A321,旧!E:E,0)),0)</f>
        <v>Animal Crossing\Cards - Series 3</v>
      </c>
      <c r="E321" s="2" t="str">
        <f>IFERROR(INDEX(旧!B:B,MATCH(测试!A321,旧!E:E,0)),0)</f>
        <v>[AC] 203 - Tom Nook.bin</v>
      </c>
      <c r="F321" s="9">
        <f>IFERROR(IF(B321=INDEX(转换!B:B,MATCH(D321,转换!A:A,0)),0,1),1)</f>
        <v>0</v>
      </c>
      <c r="G321" s="9">
        <f t="shared" si="10"/>
        <v>0</v>
      </c>
      <c r="H321" s="9" t="str">
        <f t="shared" si="9"/>
        <v>-</v>
      </c>
    </row>
    <row r="322" spans="1:8" x14ac:dyDescent="0.3">
      <c r="A322" s="3" t="str">
        <f>新!E321</f>
        <v>CRC32:28AD1B7C</v>
      </c>
      <c r="B322" s="3" t="str">
        <f>新!A321</f>
        <v>Animal Crossing\Cards\Series 3</v>
      </c>
      <c r="C322" s="3" t="str">
        <f>新!B321</f>
        <v>[AC] 204 - Pelly.bin</v>
      </c>
      <c r="D322" s="2" t="str">
        <f>IFERROR(INDEX(旧!A:A,MATCH(测试!A322,旧!E:E,0)),0)</f>
        <v>Animal Crossing\Cards - Series 3</v>
      </c>
      <c r="E322" s="2" t="str">
        <f>IFERROR(INDEX(旧!B:B,MATCH(测试!A322,旧!E:E,0)),0)</f>
        <v>[AC] 204 - Pelly.bin</v>
      </c>
      <c r="F322" s="9">
        <f>IFERROR(IF(B322=INDEX(转换!B:B,MATCH(D322,转换!A:A,0)),0,1),1)</f>
        <v>0</v>
      </c>
      <c r="G322" s="9">
        <f t="shared" si="10"/>
        <v>0</v>
      </c>
      <c r="H322" s="9" t="str">
        <f t="shared" si="9"/>
        <v>-</v>
      </c>
    </row>
    <row r="323" spans="1:8" x14ac:dyDescent="0.3">
      <c r="A323" s="3" t="str">
        <f>新!E322</f>
        <v>CRC32:A58C673C</v>
      </c>
      <c r="B323" s="3" t="str">
        <f>新!A322</f>
        <v>Animal Crossing\Cards\Series 3</v>
      </c>
      <c r="C323" s="3" t="str">
        <f>新!B322</f>
        <v>[AC] 205 - Phyllis.bin</v>
      </c>
      <c r="D323" s="2" t="str">
        <f>IFERROR(INDEX(旧!A:A,MATCH(测试!A323,旧!E:E,0)),0)</f>
        <v>Animal Crossing\Cards - Series 3</v>
      </c>
      <c r="E323" s="2" t="str">
        <f>IFERROR(INDEX(旧!B:B,MATCH(测试!A323,旧!E:E,0)),0)</f>
        <v>[AC] 205 - Phyllis.bin</v>
      </c>
      <c r="F323" s="9">
        <f>IFERROR(IF(B323=INDEX(转换!B:B,MATCH(D323,转换!A:A,0)),0,1),1)</f>
        <v>0</v>
      </c>
      <c r="G323" s="9">
        <f t="shared" si="10"/>
        <v>0</v>
      </c>
      <c r="H323" s="9" t="str">
        <f t="shared" si="9"/>
        <v>-</v>
      </c>
    </row>
    <row r="324" spans="1:8" x14ac:dyDescent="0.3">
      <c r="A324" s="3" t="str">
        <f>新!E323</f>
        <v>CRC32:599A11B7</v>
      </c>
      <c r="B324" s="3" t="str">
        <f>新!A323</f>
        <v>Animal Crossing\Cards\Series 3</v>
      </c>
      <c r="C324" s="3" t="str">
        <f>新!B323</f>
        <v>[AC] 206 - Pete.bin</v>
      </c>
      <c r="D324" s="2" t="str">
        <f>IFERROR(INDEX(旧!A:A,MATCH(测试!A324,旧!E:E,0)),0)</f>
        <v>Animal Crossing\Cards - Series 3</v>
      </c>
      <c r="E324" s="2" t="str">
        <f>IFERROR(INDEX(旧!B:B,MATCH(测试!A324,旧!E:E,0)),0)</f>
        <v>[AC] 206 - Pete.bin</v>
      </c>
      <c r="F324" s="9">
        <f>IFERROR(IF(B324=INDEX(转换!B:B,MATCH(D324,转换!A:A,0)),0,1),1)</f>
        <v>0</v>
      </c>
      <c r="G324" s="9">
        <f t="shared" si="10"/>
        <v>0</v>
      </c>
      <c r="H324" s="9" t="str">
        <f t="shared" ref="H324:H387" si="11">_xlfn.IFS(F324+G324=0,"-",F324+G324=1,"文件名错误",F324+G324=2,"无此文件")</f>
        <v>-</v>
      </c>
    </row>
    <row r="325" spans="1:8" x14ac:dyDescent="0.3">
      <c r="A325" s="3" t="str">
        <f>新!E324</f>
        <v>CRC32:43305F0D</v>
      </c>
      <c r="B325" s="3" t="str">
        <f>新!A324</f>
        <v>Animal Crossing\Cards\Series 3</v>
      </c>
      <c r="C325" s="3" t="str">
        <f>新!B324</f>
        <v>[AC] 207 - Mabel.bin</v>
      </c>
      <c r="D325" s="2" t="str">
        <f>IFERROR(INDEX(旧!A:A,MATCH(测试!A325,旧!E:E,0)),0)</f>
        <v>Animal Crossing\Cards - Series 3</v>
      </c>
      <c r="E325" s="2" t="str">
        <f>IFERROR(INDEX(旧!B:B,MATCH(测试!A325,旧!E:E,0)),0)</f>
        <v>[AC] 207 - Mabel.bin</v>
      </c>
      <c r="F325" s="9">
        <f>IFERROR(IF(B325=INDEX(转换!B:B,MATCH(D325,转换!A:A,0)),0,1),1)</f>
        <v>0</v>
      </c>
      <c r="G325" s="9">
        <f t="shared" si="10"/>
        <v>0</v>
      </c>
      <c r="H325" s="9" t="str">
        <f t="shared" si="11"/>
        <v>-</v>
      </c>
    </row>
    <row r="326" spans="1:8" x14ac:dyDescent="0.3">
      <c r="A326" s="3" t="str">
        <f>新!E325</f>
        <v>CRC32:808365F0</v>
      </c>
      <c r="B326" s="3" t="str">
        <f>新!A325</f>
        <v>Animal Crossing\Cards\Series 3</v>
      </c>
      <c r="C326" s="3" t="str">
        <f>新!B325</f>
        <v>[AC] 208 - Leif.bin</v>
      </c>
      <c r="D326" s="2" t="str">
        <f>IFERROR(INDEX(旧!A:A,MATCH(测试!A326,旧!E:E,0)),0)</f>
        <v>Animal Crossing\Cards - Series 3</v>
      </c>
      <c r="E326" s="2" t="str">
        <f>IFERROR(INDEX(旧!B:B,MATCH(测试!A326,旧!E:E,0)),0)</f>
        <v>[AC] 208 - Leif.bin</v>
      </c>
      <c r="F326" s="9">
        <f>IFERROR(IF(B326=INDEX(转换!B:B,MATCH(D326,转换!A:A,0)),0,1),1)</f>
        <v>0</v>
      </c>
      <c r="G326" s="9">
        <f t="shared" si="10"/>
        <v>0</v>
      </c>
      <c r="H326" s="9" t="str">
        <f t="shared" si="11"/>
        <v>-</v>
      </c>
    </row>
    <row r="327" spans="1:8" x14ac:dyDescent="0.3">
      <c r="A327" s="3" t="str">
        <f>新!E326</f>
        <v>CRC32:AAD6815B</v>
      </c>
      <c r="B327" s="3" t="str">
        <f>新!A326</f>
        <v>Animal Crossing\Cards\Series 3</v>
      </c>
      <c r="C327" s="3" t="str">
        <f>新!B326</f>
        <v>[AC] 209 - Wendell.bin</v>
      </c>
      <c r="D327" s="2" t="str">
        <f>IFERROR(INDEX(旧!A:A,MATCH(测试!A327,旧!E:E,0)),0)</f>
        <v>Animal Crossing\Cards - Series 3</v>
      </c>
      <c r="E327" s="2" t="str">
        <f>IFERROR(INDEX(旧!B:B,MATCH(测试!A327,旧!E:E,0)),0)</f>
        <v>[AC] 209 - Wendell.bin</v>
      </c>
      <c r="F327" s="9">
        <f>IFERROR(IF(B327=INDEX(转换!B:B,MATCH(D327,转换!A:A,0)),0,1),1)</f>
        <v>0</v>
      </c>
      <c r="G327" s="9">
        <f t="shared" si="10"/>
        <v>0</v>
      </c>
      <c r="H327" s="9" t="str">
        <f t="shared" si="11"/>
        <v>-</v>
      </c>
    </row>
    <row r="328" spans="1:8" x14ac:dyDescent="0.3">
      <c r="A328" s="3" t="str">
        <f>新!E327</f>
        <v>CRC32:6E28BE65</v>
      </c>
      <c r="B328" s="3" t="str">
        <f>新!A327</f>
        <v>Animal Crossing\Cards\Series 3</v>
      </c>
      <c r="C328" s="3" t="str">
        <f>新!B327</f>
        <v>[AC] 210 - Cyrus.bin</v>
      </c>
      <c r="D328" s="2" t="str">
        <f>IFERROR(INDEX(旧!A:A,MATCH(测试!A328,旧!E:E,0)),0)</f>
        <v>Animal Crossing\Cards - Series 3</v>
      </c>
      <c r="E328" s="2" t="str">
        <f>IFERROR(INDEX(旧!B:B,MATCH(测试!A328,旧!E:E,0)),0)</f>
        <v>[AC] 210 - Cyrus.bin</v>
      </c>
      <c r="F328" s="9">
        <f>IFERROR(IF(B328=INDEX(转换!B:B,MATCH(D328,转换!A:A,0)),0,1),1)</f>
        <v>0</v>
      </c>
      <c r="G328" s="9">
        <f t="shared" si="10"/>
        <v>0</v>
      </c>
      <c r="H328" s="9" t="str">
        <f t="shared" si="11"/>
        <v>-</v>
      </c>
    </row>
    <row r="329" spans="1:8" x14ac:dyDescent="0.3">
      <c r="A329" s="3" t="str">
        <f>新!E328</f>
        <v>CRC32:E13D21E9</v>
      </c>
      <c r="B329" s="3" t="str">
        <f>新!A328</f>
        <v>Animal Crossing\Cards\Series 3</v>
      </c>
      <c r="C329" s="3" t="str">
        <f>新!B328</f>
        <v>[AC] 211 - Grams.bin</v>
      </c>
      <c r="D329" s="2" t="str">
        <f>IFERROR(INDEX(旧!A:A,MATCH(测试!A329,旧!E:E,0)),0)</f>
        <v>Animal Crossing\Cards - Series 3</v>
      </c>
      <c r="E329" s="2" t="str">
        <f>IFERROR(INDEX(旧!B:B,MATCH(测试!A329,旧!E:E,0)),0)</f>
        <v>[AC] 211 - Grams.bin</v>
      </c>
      <c r="F329" s="9">
        <f>IFERROR(IF(B329=INDEX(转换!B:B,MATCH(D329,转换!A:A,0)),0,1),1)</f>
        <v>0</v>
      </c>
      <c r="G329" s="9">
        <f t="shared" si="10"/>
        <v>0</v>
      </c>
      <c r="H329" s="9" t="str">
        <f t="shared" si="11"/>
        <v>-</v>
      </c>
    </row>
    <row r="330" spans="1:8" x14ac:dyDescent="0.3">
      <c r="A330" s="3" t="str">
        <f>新!E329</f>
        <v>CRC32:B8D38B7A</v>
      </c>
      <c r="B330" s="3" t="str">
        <f>新!A329</f>
        <v>Animal Crossing\Cards\Series 3</v>
      </c>
      <c r="C330" s="3" t="str">
        <f>新!B329</f>
        <v>[AC] 212 - Timmy.bin</v>
      </c>
      <c r="D330" s="2" t="str">
        <f>IFERROR(INDEX(旧!A:A,MATCH(测试!A330,旧!E:E,0)),0)</f>
        <v>Animal Crossing\Cards - Series 3</v>
      </c>
      <c r="E330" s="2" t="str">
        <f>IFERROR(INDEX(旧!B:B,MATCH(测试!A330,旧!E:E,0)),0)</f>
        <v>[AC] 212 - Timmy.bin</v>
      </c>
      <c r="F330" s="9">
        <f>IFERROR(IF(B330=INDEX(转换!B:B,MATCH(D330,转换!A:A,0)),0,1),1)</f>
        <v>0</v>
      </c>
      <c r="G330" s="9">
        <f t="shared" si="10"/>
        <v>0</v>
      </c>
      <c r="H330" s="9" t="str">
        <f t="shared" si="11"/>
        <v>-</v>
      </c>
    </row>
    <row r="331" spans="1:8" x14ac:dyDescent="0.3">
      <c r="A331" s="3" t="str">
        <f>新!E330</f>
        <v>CRC32:CF10F3A4</v>
      </c>
      <c r="B331" s="3" t="str">
        <f>新!A330</f>
        <v>Animal Crossing\Cards\Series 3</v>
      </c>
      <c r="C331" s="3" t="str">
        <f>新!B330</f>
        <v>[AC] 213 - Digby.bin</v>
      </c>
      <c r="D331" s="2" t="str">
        <f>IFERROR(INDEX(旧!A:A,MATCH(测试!A331,旧!E:E,0)),0)</f>
        <v>Animal Crossing\Cards - Series 3</v>
      </c>
      <c r="E331" s="2" t="str">
        <f>IFERROR(INDEX(旧!B:B,MATCH(测试!A331,旧!E:E,0)),0)</f>
        <v>[AC] 213 - Digby.bin</v>
      </c>
      <c r="F331" s="9">
        <f>IFERROR(IF(B331=INDEX(转换!B:B,MATCH(D331,转换!A:A,0)),0,1),1)</f>
        <v>0</v>
      </c>
      <c r="G331" s="9">
        <f t="shared" si="10"/>
        <v>0</v>
      </c>
      <c r="H331" s="9" t="str">
        <f t="shared" si="11"/>
        <v>-</v>
      </c>
    </row>
    <row r="332" spans="1:8" x14ac:dyDescent="0.3">
      <c r="A332" s="3" t="str">
        <f>新!E331</f>
        <v>CRC32:A6188062</v>
      </c>
      <c r="B332" s="3" t="str">
        <f>新!A331</f>
        <v>Animal Crossing\Cards\Series 3</v>
      </c>
      <c r="C332" s="3" t="str">
        <f>新!B331</f>
        <v>[AC] 214 - Don.bin</v>
      </c>
      <c r="D332" s="2" t="str">
        <f>IFERROR(INDEX(旧!A:A,MATCH(测试!A332,旧!E:E,0)),0)</f>
        <v>Animal Crossing\Cards - Series 3</v>
      </c>
      <c r="E332" s="2" t="str">
        <f>IFERROR(INDEX(旧!B:B,MATCH(测试!A332,旧!E:E,0)),0)</f>
        <v>[AC] 214 - Don Resetti.bin</v>
      </c>
      <c r="F332" s="9">
        <f>IFERROR(IF(B332=INDEX(转换!B:B,MATCH(D332,转换!A:A,0)),0,1),1)</f>
        <v>0</v>
      </c>
      <c r="G332" s="9">
        <f t="shared" si="10"/>
        <v>1</v>
      </c>
      <c r="H332" s="9" t="str">
        <f t="shared" si="11"/>
        <v>文件名错误</v>
      </c>
    </row>
    <row r="333" spans="1:8" x14ac:dyDescent="0.3">
      <c r="A333" s="3" t="str">
        <f>新!E332</f>
        <v>CRC32:A6DC661C</v>
      </c>
      <c r="B333" s="3" t="str">
        <f>新!A332</f>
        <v>Animal Crossing\Cards\Series 3</v>
      </c>
      <c r="C333" s="3" t="str">
        <f>新!B332</f>
        <v>[AC] 215 - Isabelle (Kimono).bin</v>
      </c>
      <c r="D333" s="2" t="str">
        <f>IFERROR(INDEX(旧!A:A,MATCH(测试!A333,旧!E:E,0)),0)</f>
        <v>Animal Crossing\Cards - Series 3</v>
      </c>
      <c r="E333" s="2" t="str">
        <f>IFERROR(INDEX(旧!B:B,MATCH(测试!A333,旧!E:E,0)),0)</f>
        <v>[AC] 215 - Isabelle.bin</v>
      </c>
      <c r="F333" s="9">
        <f>IFERROR(IF(B333=INDEX(转换!B:B,MATCH(D333,转换!A:A,0)),0,1),1)</f>
        <v>0</v>
      </c>
      <c r="G333" s="9">
        <f t="shared" si="10"/>
        <v>1</v>
      </c>
      <c r="H333" s="9" t="str">
        <f t="shared" si="11"/>
        <v>文件名错误</v>
      </c>
    </row>
    <row r="334" spans="1:8" x14ac:dyDescent="0.3">
      <c r="A334" s="3" t="str">
        <f>新!E333</f>
        <v>CRC32:D4C77A78</v>
      </c>
      <c r="B334" s="3" t="str">
        <f>新!A333</f>
        <v>Animal Crossing\Cards\Series 3</v>
      </c>
      <c r="C334" s="3" t="str">
        <f>新!B333</f>
        <v>[AC] 216 - Franklin.bin</v>
      </c>
      <c r="D334" s="2" t="str">
        <f>IFERROR(INDEX(旧!A:A,MATCH(测试!A334,旧!E:E,0)),0)</f>
        <v>Animal Crossing\Cards - Series 3</v>
      </c>
      <c r="E334" s="2" t="str">
        <f>IFERROR(INDEX(旧!B:B,MATCH(测试!A334,旧!E:E,0)),0)</f>
        <v>[AC] 216 - Franklin.bin</v>
      </c>
      <c r="F334" s="9">
        <f>IFERROR(IF(B334=INDEX(转换!B:B,MATCH(D334,转换!A:A,0)),0,1),1)</f>
        <v>0</v>
      </c>
      <c r="G334" s="9">
        <f t="shared" si="10"/>
        <v>0</v>
      </c>
      <c r="H334" s="9" t="str">
        <f t="shared" si="11"/>
        <v>-</v>
      </c>
    </row>
    <row r="335" spans="1:8" x14ac:dyDescent="0.3">
      <c r="A335" s="3" t="str">
        <f>新!E334</f>
        <v>CRC32:394943F5</v>
      </c>
      <c r="B335" s="3" t="str">
        <f>新!A334</f>
        <v>Animal Crossing\Cards\Series 3</v>
      </c>
      <c r="C335" s="3" t="str">
        <f>新!B334</f>
        <v>[AC] 217 - Jingle.bin</v>
      </c>
      <c r="D335" s="2" t="str">
        <f>IFERROR(INDEX(旧!A:A,MATCH(测试!A335,旧!E:E,0)),0)</f>
        <v>Animal Crossing\Cards - Series 3</v>
      </c>
      <c r="E335" s="2" t="str">
        <f>IFERROR(INDEX(旧!B:B,MATCH(测试!A335,旧!E:E,0)),0)</f>
        <v>[AC] 217 - Jingle.bin</v>
      </c>
      <c r="F335" s="9">
        <f>IFERROR(IF(B335=INDEX(转换!B:B,MATCH(D335,转换!A:A,0)),0,1),1)</f>
        <v>0</v>
      </c>
      <c r="G335" s="9">
        <f t="shared" si="10"/>
        <v>0</v>
      </c>
      <c r="H335" s="9" t="str">
        <f t="shared" si="11"/>
        <v>-</v>
      </c>
    </row>
    <row r="336" spans="1:8" x14ac:dyDescent="0.3">
      <c r="A336" s="3" t="str">
        <f>新!E335</f>
        <v>CRC32:820406D3</v>
      </c>
      <c r="B336" s="3" t="str">
        <f>新!A335</f>
        <v>Animal Crossing\Cards\Series 3</v>
      </c>
      <c r="C336" s="3" t="str">
        <f>新!B335</f>
        <v>[AC] 218 - Lily.bin</v>
      </c>
      <c r="D336" s="2" t="str">
        <f>IFERROR(INDEX(旧!A:A,MATCH(测试!A336,旧!E:E,0)),0)</f>
        <v>Animal Crossing\Cards - Series 3</v>
      </c>
      <c r="E336" s="2" t="str">
        <f>IFERROR(INDEX(旧!B:B,MATCH(测试!A336,旧!E:E,0)),0)</f>
        <v>[AC] 218 - Lily.bin</v>
      </c>
      <c r="F336" s="9">
        <f>IFERROR(IF(B336=INDEX(转换!B:B,MATCH(D336,转换!A:A,0)),0,1),1)</f>
        <v>0</v>
      </c>
      <c r="G336" s="9">
        <f t="shared" si="10"/>
        <v>0</v>
      </c>
      <c r="H336" s="9" t="str">
        <f t="shared" si="11"/>
        <v>-</v>
      </c>
    </row>
    <row r="337" spans="1:8" x14ac:dyDescent="0.3">
      <c r="A337" s="3" t="str">
        <f>新!E336</f>
        <v>CRC32:2C58795D</v>
      </c>
      <c r="B337" s="3" t="str">
        <f>新!A336</f>
        <v>Animal Crossing\Cards\Series 3</v>
      </c>
      <c r="C337" s="3" t="str">
        <f>新!B336</f>
        <v>[AC] 219 - Anchovy.bin</v>
      </c>
      <c r="D337" s="2" t="str">
        <f>IFERROR(INDEX(旧!A:A,MATCH(测试!A337,旧!E:E,0)),0)</f>
        <v>Animal Crossing\Cards - Series 3</v>
      </c>
      <c r="E337" s="2" t="str">
        <f>IFERROR(INDEX(旧!B:B,MATCH(测试!A337,旧!E:E,0)),0)</f>
        <v>[AC] 219 - Anchovy.bin</v>
      </c>
      <c r="F337" s="9">
        <f>IFERROR(IF(B337=INDEX(转换!B:B,MATCH(D337,转换!A:A,0)),0,1),1)</f>
        <v>0</v>
      </c>
      <c r="G337" s="9">
        <f t="shared" si="10"/>
        <v>0</v>
      </c>
      <c r="H337" s="9" t="str">
        <f t="shared" si="11"/>
        <v>-</v>
      </c>
    </row>
    <row r="338" spans="1:8" x14ac:dyDescent="0.3">
      <c r="A338" s="3" t="str">
        <f>新!E337</f>
        <v>CRC32:05C0E5B4</v>
      </c>
      <c r="B338" s="3" t="str">
        <f>新!A337</f>
        <v>Animal Crossing\Cards\Series 3</v>
      </c>
      <c r="C338" s="3" t="str">
        <f>新!B337</f>
        <v>[AC] 220 - Tabby.bin</v>
      </c>
      <c r="D338" s="2" t="str">
        <f>IFERROR(INDEX(旧!A:A,MATCH(测试!A338,旧!E:E,0)),0)</f>
        <v>Animal Crossing\Cards - Series 3</v>
      </c>
      <c r="E338" s="2" t="str">
        <f>IFERROR(INDEX(旧!B:B,MATCH(测试!A338,旧!E:E,0)),0)</f>
        <v>[AC] 220 - Tabby.bin</v>
      </c>
      <c r="F338" s="9">
        <f>IFERROR(IF(B338=INDEX(转换!B:B,MATCH(D338,转换!A:A,0)),0,1),1)</f>
        <v>0</v>
      </c>
      <c r="G338" s="9">
        <f t="shared" si="10"/>
        <v>0</v>
      </c>
      <c r="H338" s="9" t="str">
        <f t="shared" si="11"/>
        <v>-</v>
      </c>
    </row>
    <row r="339" spans="1:8" x14ac:dyDescent="0.3">
      <c r="A339" s="3" t="str">
        <f>新!E338</f>
        <v>CRC32:5E4F8281</v>
      </c>
      <c r="B339" s="3" t="str">
        <f>新!A338</f>
        <v>Animal Crossing\Cards\Series 3</v>
      </c>
      <c r="C339" s="3" t="str">
        <f>新!B338</f>
        <v>[AC] 221 - Kody.bin</v>
      </c>
      <c r="D339" s="2" t="str">
        <f>IFERROR(INDEX(旧!A:A,MATCH(测试!A339,旧!E:E,0)),0)</f>
        <v>Animal Crossing\Cards - Series 3</v>
      </c>
      <c r="E339" s="2" t="str">
        <f>IFERROR(INDEX(旧!B:B,MATCH(测试!A339,旧!E:E,0)),0)</f>
        <v>[AC] 221 - Kody.bin</v>
      </c>
      <c r="F339" s="9">
        <f>IFERROR(IF(B339=INDEX(转换!B:B,MATCH(D339,转换!A:A,0)),0,1),1)</f>
        <v>0</v>
      </c>
      <c r="G339" s="9">
        <f t="shared" si="10"/>
        <v>0</v>
      </c>
      <c r="H339" s="9" t="str">
        <f t="shared" si="11"/>
        <v>-</v>
      </c>
    </row>
    <row r="340" spans="1:8" x14ac:dyDescent="0.3">
      <c r="A340" s="3" t="str">
        <f>新!E339</f>
        <v>CRC32:944CAEB2</v>
      </c>
      <c r="B340" s="3" t="str">
        <f>新!A339</f>
        <v>Animal Crossing\Cards\Series 3</v>
      </c>
      <c r="C340" s="3" t="str">
        <f>新!B339</f>
        <v>[AC] 222 - Miranda.bin</v>
      </c>
      <c r="D340" s="2" t="str">
        <f>IFERROR(INDEX(旧!A:A,MATCH(测试!A340,旧!E:E,0)),0)</f>
        <v>Animal Crossing\Cards - Series 3</v>
      </c>
      <c r="E340" s="2" t="str">
        <f>IFERROR(INDEX(旧!B:B,MATCH(测试!A340,旧!E:E,0)),0)</f>
        <v>[AC] 222 - Miranda.bin</v>
      </c>
      <c r="F340" s="9">
        <f>IFERROR(IF(B340=INDEX(转换!B:B,MATCH(D340,转换!A:A,0)),0,1),1)</f>
        <v>0</v>
      </c>
      <c r="G340" s="9">
        <f t="shared" si="10"/>
        <v>0</v>
      </c>
      <c r="H340" s="9" t="str">
        <f t="shared" si="11"/>
        <v>-</v>
      </c>
    </row>
    <row r="341" spans="1:8" x14ac:dyDescent="0.3">
      <c r="A341" s="3" t="str">
        <f>新!E340</f>
        <v>CRC32:A875847B</v>
      </c>
      <c r="B341" s="3" t="str">
        <f>新!A340</f>
        <v>Animal Crossing\Cards\Series 3</v>
      </c>
      <c r="C341" s="3" t="str">
        <f>新!B340</f>
        <v>[AC] 223 - Del.bin</v>
      </c>
      <c r="D341" s="2" t="str">
        <f>IFERROR(INDEX(旧!A:A,MATCH(测试!A341,旧!E:E,0)),0)</f>
        <v>Animal Crossing\Cards - Series 3</v>
      </c>
      <c r="E341" s="2" t="str">
        <f>IFERROR(INDEX(旧!B:B,MATCH(测试!A341,旧!E:E,0)),0)</f>
        <v>[AC] 223 - Del.bin</v>
      </c>
      <c r="F341" s="9">
        <f>IFERROR(IF(B341=INDEX(转换!B:B,MATCH(D341,转换!A:A,0)),0,1),1)</f>
        <v>0</v>
      </c>
      <c r="G341" s="9">
        <f t="shared" si="10"/>
        <v>0</v>
      </c>
      <c r="H341" s="9" t="str">
        <f t="shared" si="11"/>
        <v>-</v>
      </c>
    </row>
    <row r="342" spans="1:8" x14ac:dyDescent="0.3">
      <c r="A342" s="3" t="str">
        <f>新!E341</f>
        <v>CRC32:665E1D25</v>
      </c>
      <c r="B342" s="3" t="str">
        <f>新!A341</f>
        <v>Animal Crossing\Cards\Series 3</v>
      </c>
      <c r="C342" s="3" t="str">
        <f>新!B341</f>
        <v>[AC] 224 - Paula.bin</v>
      </c>
      <c r="D342" s="2" t="str">
        <f>IFERROR(INDEX(旧!A:A,MATCH(测试!A342,旧!E:E,0)),0)</f>
        <v>Animal Crossing\Cards - Series 3</v>
      </c>
      <c r="E342" s="2" t="str">
        <f>IFERROR(INDEX(旧!B:B,MATCH(测试!A342,旧!E:E,0)),0)</f>
        <v>[AC] 224 - Paula.bin</v>
      </c>
      <c r="F342" s="9">
        <f>IFERROR(IF(B342=INDEX(转换!B:B,MATCH(D342,转换!A:A,0)),0,1),1)</f>
        <v>0</v>
      </c>
      <c r="G342" s="9">
        <f t="shared" si="10"/>
        <v>0</v>
      </c>
      <c r="H342" s="9" t="str">
        <f t="shared" si="11"/>
        <v>-</v>
      </c>
    </row>
    <row r="343" spans="1:8" x14ac:dyDescent="0.3">
      <c r="A343" s="3" t="str">
        <f>新!E342</f>
        <v>CRC32:CD75A5EE</v>
      </c>
      <c r="B343" s="3" t="str">
        <f>新!A342</f>
        <v>Animal Crossing\Cards\Series 3</v>
      </c>
      <c r="C343" s="3" t="str">
        <f>新!B342</f>
        <v>[AC] 225 - Ken.bin</v>
      </c>
      <c r="D343" s="2" t="str">
        <f>IFERROR(INDEX(旧!A:A,MATCH(测试!A343,旧!E:E,0)),0)</f>
        <v>Animal Crossing\Cards - Series 3</v>
      </c>
      <c r="E343" s="2" t="str">
        <f>IFERROR(INDEX(旧!B:B,MATCH(测试!A343,旧!E:E,0)),0)</f>
        <v>[AC] 225 - Ken.bin</v>
      </c>
      <c r="F343" s="9">
        <f>IFERROR(IF(B343=INDEX(转换!B:B,MATCH(D343,转换!A:A,0)),0,1),1)</f>
        <v>0</v>
      </c>
      <c r="G343" s="9">
        <f t="shared" si="10"/>
        <v>0</v>
      </c>
      <c r="H343" s="9" t="str">
        <f t="shared" si="11"/>
        <v>-</v>
      </c>
    </row>
    <row r="344" spans="1:8" x14ac:dyDescent="0.3">
      <c r="A344" s="3" t="str">
        <f>新!E343</f>
        <v>CRC32:633D2D74</v>
      </c>
      <c r="B344" s="3" t="str">
        <f>新!A343</f>
        <v>Animal Crossing\Cards\Series 3</v>
      </c>
      <c r="C344" s="3" t="str">
        <f>新!B343</f>
        <v>[AC] 226 - Mitzi.bin</v>
      </c>
      <c r="D344" s="2" t="str">
        <f>IFERROR(INDEX(旧!A:A,MATCH(测试!A344,旧!E:E,0)),0)</f>
        <v>Animal Crossing\Cards - Series 3</v>
      </c>
      <c r="E344" s="2" t="str">
        <f>IFERROR(INDEX(旧!B:B,MATCH(测试!A344,旧!E:E,0)),0)</f>
        <v>[AC] 226 - Mitzi.bin</v>
      </c>
      <c r="F344" s="9">
        <f>IFERROR(IF(B344=INDEX(转换!B:B,MATCH(D344,转换!A:A,0)),0,1),1)</f>
        <v>0</v>
      </c>
      <c r="G344" s="9">
        <f t="shared" si="10"/>
        <v>0</v>
      </c>
      <c r="H344" s="9" t="str">
        <f t="shared" si="11"/>
        <v>-</v>
      </c>
    </row>
    <row r="345" spans="1:8" x14ac:dyDescent="0.3">
      <c r="A345" s="3" t="str">
        <f>新!E344</f>
        <v>CRC32:84240333</v>
      </c>
      <c r="B345" s="3" t="str">
        <f>新!A344</f>
        <v>Animal Crossing\Cards\Series 3</v>
      </c>
      <c r="C345" s="3" t="str">
        <f>新!B344</f>
        <v>[AC] 227 - Rodeo.bin</v>
      </c>
      <c r="D345" s="2" t="str">
        <f>IFERROR(INDEX(旧!A:A,MATCH(测试!A345,旧!E:E,0)),0)</f>
        <v>Animal Crossing\Cards - Series 3</v>
      </c>
      <c r="E345" s="2" t="str">
        <f>IFERROR(INDEX(旧!B:B,MATCH(测试!A345,旧!E:E,0)),0)</f>
        <v>[AC] 227 - Rodeo.bin</v>
      </c>
      <c r="F345" s="9">
        <f>IFERROR(IF(B345=INDEX(转换!B:B,MATCH(D345,转换!A:A,0)),0,1),1)</f>
        <v>0</v>
      </c>
      <c r="G345" s="9">
        <f t="shared" si="10"/>
        <v>0</v>
      </c>
      <c r="H345" s="9" t="str">
        <f t="shared" si="11"/>
        <v>-</v>
      </c>
    </row>
    <row r="346" spans="1:8" x14ac:dyDescent="0.3">
      <c r="A346" s="3" t="str">
        <f>新!E345</f>
        <v>CRC32:9544E3A0</v>
      </c>
      <c r="B346" s="3" t="str">
        <f>新!A345</f>
        <v>Animal Crossing\Cards\Series 3</v>
      </c>
      <c r="C346" s="3" t="str">
        <f>新!B345</f>
        <v>[AC] 228 - Bubbles.bin</v>
      </c>
      <c r="D346" s="2" t="str">
        <f>IFERROR(INDEX(旧!A:A,MATCH(测试!A346,旧!E:E,0)),0)</f>
        <v>Animal Crossing\Cards - Series 3</v>
      </c>
      <c r="E346" s="2" t="str">
        <f>IFERROR(INDEX(旧!B:B,MATCH(测试!A346,旧!E:E,0)),0)</f>
        <v>[AC] 228 - Bubbles.bin</v>
      </c>
      <c r="F346" s="9">
        <f>IFERROR(IF(B346=INDEX(转换!B:B,MATCH(D346,转换!A:A,0)),0,1),1)</f>
        <v>0</v>
      </c>
      <c r="G346" s="9">
        <f t="shared" si="10"/>
        <v>0</v>
      </c>
      <c r="H346" s="9" t="str">
        <f t="shared" si="11"/>
        <v>-</v>
      </c>
    </row>
    <row r="347" spans="1:8" x14ac:dyDescent="0.3">
      <c r="A347" s="3" t="str">
        <f>新!E346</f>
        <v>CRC32:50007B2D</v>
      </c>
      <c r="B347" s="3" t="str">
        <f>新!A346</f>
        <v>Animal Crossing\Cards\Series 3</v>
      </c>
      <c r="C347" s="3" t="str">
        <f>新!B346</f>
        <v>[AC] 229 - Cousteau.bin</v>
      </c>
      <c r="D347" s="2" t="str">
        <f>IFERROR(INDEX(旧!A:A,MATCH(测试!A347,旧!E:E,0)),0)</f>
        <v>Animal Crossing\Cards - Series 3</v>
      </c>
      <c r="E347" s="2" t="str">
        <f>IFERROR(INDEX(旧!B:B,MATCH(测试!A347,旧!E:E,0)),0)</f>
        <v>[AC] 229 - Cousteau.bin</v>
      </c>
      <c r="F347" s="9">
        <f>IFERROR(IF(B347=INDEX(转换!B:B,MATCH(D347,转换!A:A,0)),0,1),1)</f>
        <v>0</v>
      </c>
      <c r="G347" s="9">
        <f t="shared" si="10"/>
        <v>0</v>
      </c>
      <c r="H347" s="9" t="str">
        <f t="shared" si="11"/>
        <v>-</v>
      </c>
    </row>
    <row r="348" spans="1:8" x14ac:dyDescent="0.3">
      <c r="A348" s="3" t="str">
        <f>新!E347</f>
        <v>CRC32:C9197A94</v>
      </c>
      <c r="B348" s="3" t="str">
        <f>新!A347</f>
        <v>Animal Crossing\Cards\Series 3</v>
      </c>
      <c r="C348" s="3" t="str">
        <f>新!B347</f>
        <v>[AC] 230 - Velma.bin</v>
      </c>
      <c r="D348" s="2" t="str">
        <f>IFERROR(INDEX(旧!A:A,MATCH(测试!A348,旧!E:E,0)),0)</f>
        <v>Animal Crossing\Cards - Series 3</v>
      </c>
      <c r="E348" s="2" t="str">
        <f>IFERROR(INDEX(旧!B:B,MATCH(测试!A348,旧!E:E,0)),0)</f>
        <v>[AC] 230 - Velma.bin</v>
      </c>
      <c r="F348" s="9">
        <f>IFERROR(IF(B348=INDEX(转换!B:B,MATCH(D348,转换!A:A,0)),0,1),1)</f>
        <v>0</v>
      </c>
      <c r="G348" s="9">
        <f t="shared" si="10"/>
        <v>0</v>
      </c>
      <c r="H348" s="9" t="str">
        <f t="shared" si="11"/>
        <v>-</v>
      </c>
    </row>
    <row r="349" spans="1:8" x14ac:dyDescent="0.3">
      <c r="A349" s="3" t="str">
        <f>新!E348</f>
        <v>CRC32:37492D05</v>
      </c>
      <c r="B349" s="3" t="str">
        <f>新!A348</f>
        <v>Animal Crossing\Cards\Series 3</v>
      </c>
      <c r="C349" s="3" t="str">
        <f>新!B348</f>
        <v>[AC] 231 - Elvis.bin</v>
      </c>
      <c r="D349" s="2" t="str">
        <f>IFERROR(INDEX(旧!A:A,MATCH(测试!A349,旧!E:E,0)),0)</f>
        <v>Animal Crossing\Cards - Series 3</v>
      </c>
      <c r="E349" s="2" t="str">
        <f>IFERROR(INDEX(旧!B:B,MATCH(测试!A349,旧!E:E,0)),0)</f>
        <v>[AC] 231 - Elvis.bin</v>
      </c>
      <c r="F349" s="9">
        <f>IFERROR(IF(B349=INDEX(转换!B:B,MATCH(D349,转换!A:A,0)),0,1),1)</f>
        <v>0</v>
      </c>
      <c r="G349" s="9">
        <f t="shared" si="10"/>
        <v>0</v>
      </c>
      <c r="H349" s="9" t="str">
        <f t="shared" si="11"/>
        <v>-</v>
      </c>
    </row>
    <row r="350" spans="1:8" x14ac:dyDescent="0.3">
      <c r="A350" s="3" t="str">
        <f>新!E349</f>
        <v>CRC32:C531198F</v>
      </c>
      <c r="B350" s="3" t="str">
        <f>新!A349</f>
        <v>Animal Crossing\Cards\Series 3</v>
      </c>
      <c r="C350" s="3" t="str">
        <f>新!B349</f>
        <v>[AC] 232 - Canberra.bin</v>
      </c>
      <c r="D350" s="2" t="str">
        <f>IFERROR(INDEX(旧!A:A,MATCH(测试!A350,旧!E:E,0)),0)</f>
        <v>Animal Crossing\Cards - Series 3</v>
      </c>
      <c r="E350" s="2" t="str">
        <f>IFERROR(INDEX(旧!B:B,MATCH(测试!A350,旧!E:E,0)),0)</f>
        <v>[AC] 232 - Canberra.bin</v>
      </c>
      <c r="F350" s="9">
        <f>IFERROR(IF(B350=INDEX(转换!B:B,MATCH(D350,转换!A:A,0)),0,1),1)</f>
        <v>0</v>
      </c>
      <c r="G350" s="9">
        <f t="shared" si="10"/>
        <v>0</v>
      </c>
      <c r="H350" s="9" t="str">
        <f t="shared" si="11"/>
        <v>-</v>
      </c>
    </row>
    <row r="351" spans="1:8" x14ac:dyDescent="0.3">
      <c r="A351" s="3" t="str">
        <f>新!E350</f>
        <v>CRC32:1D2E649B</v>
      </c>
      <c r="B351" s="3" t="str">
        <f>新!A350</f>
        <v>Animal Crossing\Cards\Series 3</v>
      </c>
      <c r="C351" s="3" t="str">
        <f>新!B350</f>
        <v>[AC] 233 - Colton.bin</v>
      </c>
      <c r="D351" s="2" t="str">
        <f>IFERROR(INDEX(旧!A:A,MATCH(测试!A351,旧!E:E,0)),0)</f>
        <v>Animal Crossing\Cards - Series 3</v>
      </c>
      <c r="E351" s="2" t="str">
        <f>IFERROR(INDEX(旧!B:B,MATCH(测试!A351,旧!E:E,0)),0)</f>
        <v>[AC] 233 - Colton.bin</v>
      </c>
      <c r="F351" s="9">
        <f>IFERROR(IF(B351=INDEX(转换!B:B,MATCH(D351,转换!A:A,0)),0,1),1)</f>
        <v>0</v>
      </c>
      <c r="G351" s="9">
        <f t="shared" si="10"/>
        <v>0</v>
      </c>
      <c r="H351" s="9" t="str">
        <f t="shared" si="11"/>
        <v>-</v>
      </c>
    </row>
    <row r="352" spans="1:8" x14ac:dyDescent="0.3">
      <c r="A352" s="3" t="str">
        <f>新!E351</f>
        <v>CRC32:9D33C511</v>
      </c>
      <c r="B352" s="3" t="str">
        <f>新!A351</f>
        <v>Animal Crossing\Cards\Series 3</v>
      </c>
      <c r="C352" s="3" t="str">
        <f>新!B351</f>
        <v>[AC] 234 - Marina.bin</v>
      </c>
      <c r="D352" s="2" t="str">
        <f>IFERROR(INDEX(旧!A:A,MATCH(测试!A352,旧!E:E,0)),0)</f>
        <v>Animal Crossing\Cards - Series 3</v>
      </c>
      <c r="E352" s="2" t="str">
        <f>IFERROR(INDEX(旧!B:B,MATCH(测试!A352,旧!E:E,0)),0)</f>
        <v>[AC] 234 - Marina.bin</v>
      </c>
      <c r="F352" s="9">
        <f>IFERROR(IF(B352=INDEX(转换!B:B,MATCH(D352,转换!A:A,0)),0,1),1)</f>
        <v>0</v>
      </c>
      <c r="G352" s="9">
        <f t="shared" si="10"/>
        <v>0</v>
      </c>
      <c r="H352" s="9" t="str">
        <f t="shared" si="11"/>
        <v>-</v>
      </c>
    </row>
    <row r="353" spans="1:8" x14ac:dyDescent="0.3">
      <c r="A353" s="3" t="str">
        <f>新!E352</f>
        <v>CRC32:8B0E6D83</v>
      </c>
      <c r="B353" s="3" t="str">
        <f>新!A352</f>
        <v>Animal Crossing\Cards\Series 3</v>
      </c>
      <c r="C353" s="3" t="str">
        <f>新!B352</f>
        <v>[AC] 235 - Spork-Crackle.bin</v>
      </c>
      <c r="D353" s="2" t="str">
        <f>IFERROR(INDEX(旧!A:A,MATCH(测试!A353,旧!E:E,0)),0)</f>
        <v>Animal Crossing\Cards - Series 3</v>
      </c>
      <c r="E353" s="2" t="str">
        <f>IFERROR(INDEX(旧!B:B,MATCH(测试!A353,旧!E:E,0)),0)</f>
        <v>[AC] 235 - Spork-Crackle.bin</v>
      </c>
      <c r="F353" s="9">
        <f>IFERROR(IF(B353=INDEX(转换!B:B,MATCH(D353,转换!A:A,0)),0,1),1)</f>
        <v>0</v>
      </c>
      <c r="G353" s="9">
        <f t="shared" si="10"/>
        <v>0</v>
      </c>
      <c r="H353" s="9" t="str">
        <f t="shared" si="11"/>
        <v>-</v>
      </c>
    </row>
    <row r="354" spans="1:8" x14ac:dyDescent="0.3">
      <c r="A354" s="3" t="str">
        <f>新!E353</f>
        <v>CRC32:644D2455</v>
      </c>
      <c r="B354" s="3" t="str">
        <f>新!A353</f>
        <v>Animal Crossing\Cards\Series 3</v>
      </c>
      <c r="C354" s="3" t="str">
        <f>新!B353</f>
        <v>[AC] 236 - Freckles.bin</v>
      </c>
      <c r="D354" s="2" t="str">
        <f>IFERROR(INDEX(旧!A:A,MATCH(测试!A354,旧!E:E,0)),0)</f>
        <v>Animal Crossing\Cards - Series 3</v>
      </c>
      <c r="E354" s="2" t="str">
        <f>IFERROR(INDEX(旧!B:B,MATCH(测试!A354,旧!E:E,0)),0)</f>
        <v>[AC] 236 - Freckles.bin</v>
      </c>
      <c r="F354" s="9">
        <f>IFERROR(IF(B354=INDEX(转换!B:B,MATCH(D354,转换!A:A,0)),0,1),1)</f>
        <v>0</v>
      </c>
      <c r="G354" s="9">
        <f t="shared" si="10"/>
        <v>0</v>
      </c>
      <c r="H354" s="9" t="str">
        <f t="shared" si="11"/>
        <v>-</v>
      </c>
    </row>
    <row r="355" spans="1:8" x14ac:dyDescent="0.3">
      <c r="A355" s="3" t="str">
        <f>新!E354</f>
        <v>CRC32:3C302317</v>
      </c>
      <c r="B355" s="3" t="str">
        <f>新!A354</f>
        <v>Animal Crossing\Cards\Series 3</v>
      </c>
      <c r="C355" s="3" t="str">
        <f>新!B354</f>
        <v>[AC] 237 - Bam.bin</v>
      </c>
      <c r="D355" s="2" t="str">
        <f>IFERROR(INDEX(旧!A:A,MATCH(测试!A355,旧!E:E,0)),0)</f>
        <v>Animal Crossing\Cards - Series 3</v>
      </c>
      <c r="E355" s="2" t="str">
        <f>IFERROR(INDEX(旧!B:B,MATCH(测试!A355,旧!E:E,0)),0)</f>
        <v>[AC] 237 - Bam.bin</v>
      </c>
      <c r="F355" s="9">
        <f>IFERROR(IF(B355=INDEX(转换!B:B,MATCH(D355,转换!A:A,0)),0,1),1)</f>
        <v>0</v>
      </c>
      <c r="G355" s="9">
        <f t="shared" si="10"/>
        <v>0</v>
      </c>
      <c r="H355" s="9" t="str">
        <f t="shared" si="11"/>
        <v>-</v>
      </c>
    </row>
    <row r="356" spans="1:8" x14ac:dyDescent="0.3">
      <c r="A356" s="3" t="str">
        <f>新!E355</f>
        <v>CRC32:BFA7FFA5</v>
      </c>
      <c r="B356" s="3" t="str">
        <f>新!A355</f>
        <v>Animal Crossing\Cards\Series 3</v>
      </c>
      <c r="C356" s="3" t="str">
        <f>新!B355</f>
        <v>[AC] 238 - Friga.bin</v>
      </c>
      <c r="D356" s="2" t="str">
        <f>IFERROR(INDEX(旧!A:A,MATCH(测试!A356,旧!E:E,0)),0)</f>
        <v>Animal Crossing\Cards - Series 3</v>
      </c>
      <c r="E356" s="2" t="str">
        <f>IFERROR(INDEX(旧!B:B,MATCH(测试!A356,旧!E:E,0)),0)</f>
        <v>[AC] 238 - Friga.bin</v>
      </c>
      <c r="F356" s="9">
        <f>IFERROR(IF(B356=INDEX(转换!B:B,MATCH(D356,转换!A:A,0)),0,1),1)</f>
        <v>0</v>
      </c>
      <c r="G356" s="9">
        <f t="shared" si="10"/>
        <v>0</v>
      </c>
      <c r="H356" s="9" t="str">
        <f t="shared" si="11"/>
        <v>-</v>
      </c>
    </row>
    <row r="357" spans="1:8" x14ac:dyDescent="0.3">
      <c r="A357" s="3" t="str">
        <f>新!E356</f>
        <v>CRC32:42C61E9D</v>
      </c>
      <c r="B357" s="3" t="str">
        <f>新!A356</f>
        <v>Animal Crossing\Cards\Series 3</v>
      </c>
      <c r="C357" s="3" t="str">
        <f>新!B356</f>
        <v>[AC] 239 - Ricky.bin</v>
      </c>
      <c r="D357" s="2" t="str">
        <f>IFERROR(INDEX(旧!A:A,MATCH(测试!A357,旧!E:E,0)),0)</f>
        <v>Animal Crossing\Cards - Series 3</v>
      </c>
      <c r="E357" s="2" t="str">
        <f>IFERROR(INDEX(旧!B:B,MATCH(测试!A357,旧!E:E,0)),0)</f>
        <v>[AC] 239 - Ricky.bin</v>
      </c>
      <c r="F357" s="9">
        <f>IFERROR(IF(B357=INDEX(转换!B:B,MATCH(D357,转换!A:A,0)),0,1),1)</f>
        <v>0</v>
      </c>
      <c r="G357" s="9">
        <f t="shared" si="10"/>
        <v>0</v>
      </c>
      <c r="H357" s="9" t="str">
        <f t="shared" si="11"/>
        <v>-</v>
      </c>
    </row>
    <row r="358" spans="1:8" x14ac:dyDescent="0.3">
      <c r="A358" s="3" t="str">
        <f>新!E357</f>
        <v>CRC32:2BF53028</v>
      </c>
      <c r="B358" s="3" t="str">
        <f>新!A357</f>
        <v>Animal Crossing\Cards\Series 3</v>
      </c>
      <c r="C358" s="3" t="str">
        <f>新!B357</f>
        <v>[AC] 240 - Deirdre.bin</v>
      </c>
      <c r="D358" s="2" t="str">
        <f>IFERROR(INDEX(旧!A:A,MATCH(测试!A358,旧!E:E,0)),0)</f>
        <v>Animal Crossing\Cards - Series 3</v>
      </c>
      <c r="E358" s="2" t="str">
        <f>IFERROR(INDEX(旧!B:B,MATCH(测试!A358,旧!E:E,0)),0)</f>
        <v>[AC] 240 - Deirdre.bin</v>
      </c>
      <c r="F358" s="9">
        <f>IFERROR(IF(B358=INDEX(转换!B:B,MATCH(D358,转换!A:A,0)),0,1),1)</f>
        <v>0</v>
      </c>
      <c r="G358" s="9">
        <f t="shared" si="10"/>
        <v>0</v>
      </c>
      <c r="H358" s="9" t="str">
        <f t="shared" si="11"/>
        <v>-</v>
      </c>
    </row>
    <row r="359" spans="1:8" x14ac:dyDescent="0.3">
      <c r="A359" s="3" t="str">
        <f>新!E358</f>
        <v>CRC32:E43524E7</v>
      </c>
      <c r="B359" s="3" t="str">
        <f>新!A358</f>
        <v>Animal Crossing\Cards\Series 3</v>
      </c>
      <c r="C359" s="3" t="str">
        <f>新!B358</f>
        <v>[AC] 241 - Hans.bin</v>
      </c>
      <c r="D359" s="2" t="str">
        <f>IFERROR(INDEX(旧!A:A,MATCH(测试!A359,旧!E:E,0)),0)</f>
        <v>Animal Crossing\Cards - Series 3</v>
      </c>
      <c r="E359" s="2" t="str">
        <f>IFERROR(INDEX(旧!B:B,MATCH(测试!A359,旧!E:E,0)),0)</f>
        <v>[AC] 241 - Hans.bin</v>
      </c>
      <c r="F359" s="9">
        <f>IFERROR(IF(B359=INDEX(转换!B:B,MATCH(D359,转换!A:A,0)),0,1),1)</f>
        <v>0</v>
      </c>
      <c r="G359" s="9">
        <f t="shared" si="10"/>
        <v>0</v>
      </c>
      <c r="H359" s="9" t="str">
        <f t="shared" si="11"/>
        <v>-</v>
      </c>
    </row>
    <row r="360" spans="1:8" x14ac:dyDescent="0.3">
      <c r="A360" s="3" t="str">
        <f>新!E359</f>
        <v>CRC32:58632846</v>
      </c>
      <c r="B360" s="3" t="str">
        <f>新!A359</f>
        <v>Animal Crossing\Cards\Series 3</v>
      </c>
      <c r="C360" s="3" t="str">
        <f>新!B359</f>
        <v>[AC] 242 - Chevre.bin</v>
      </c>
      <c r="D360" s="2" t="str">
        <f>IFERROR(INDEX(旧!A:A,MATCH(测试!A360,旧!E:E,0)),0)</f>
        <v>Animal Crossing\Cards - Series 3</v>
      </c>
      <c r="E360" s="2" t="str">
        <f>IFERROR(INDEX(旧!B:B,MATCH(测试!A360,旧!E:E,0)),0)</f>
        <v>[AC] 242 - Chevre.bin</v>
      </c>
      <c r="F360" s="9">
        <f>IFERROR(IF(B360=INDEX(转换!B:B,MATCH(D360,转换!A:A,0)),0,1),1)</f>
        <v>0</v>
      </c>
      <c r="G360" s="9">
        <f t="shared" si="10"/>
        <v>0</v>
      </c>
      <c r="H360" s="9" t="str">
        <f t="shared" si="11"/>
        <v>-</v>
      </c>
    </row>
    <row r="361" spans="1:8" x14ac:dyDescent="0.3">
      <c r="A361" s="3" t="str">
        <f>新!E360</f>
        <v>CRC32:02B6F528</v>
      </c>
      <c r="B361" s="3" t="str">
        <f>新!A360</f>
        <v>Animal Crossing\Cards\Series 3</v>
      </c>
      <c r="C361" s="3" t="str">
        <f>新!B360</f>
        <v>[AC] 243 - Drago.bin</v>
      </c>
      <c r="D361" s="2" t="str">
        <f>IFERROR(INDEX(旧!A:A,MATCH(测试!A361,旧!E:E,0)),0)</f>
        <v>Animal Crossing\Cards - Series 3</v>
      </c>
      <c r="E361" s="2" t="str">
        <f>IFERROR(INDEX(旧!B:B,MATCH(测试!A361,旧!E:E,0)),0)</f>
        <v>[AC] 243 - Drago.bin</v>
      </c>
      <c r="F361" s="9">
        <f>IFERROR(IF(B361=INDEX(转换!B:B,MATCH(D361,转换!A:A,0)),0,1),1)</f>
        <v>0</v>
      </c>
      <c r="G361" s="9">
        <f t="shared" si="10"/>
        <v>0</v>
      </c>
      <c r="H361" s="9" t="str">
        <f t="shared" si="11"/>
        <v>-</v>
      </c>
    </row>
    <row r="362" spans="1:8" x14ac:dyDescent="0.3">
      <c r="A362" s="3" t="str">
        <f>新!E361</f>
        <v>CRC32:C976CD7B</v>
      </c>
      <c r="B362" s="3" t="str">
        <f>新!A361</f>
        <v>Animal Crossing\Cards\Series 3</v>
      </c>
      <c r="C362" s="3" t="str">
        <f>新!B361</f>
        <v>[AC] 244 - Tangy.bin</v>
      </c>
      <c r="D362" s="2" t="str">
        <f>IFERROR(INDEX(旧!A:A,MATCH(测试!A362,旧!E:E,0)),0)</f>
        <v>Animal Crossing\Cards - Series 3</v>
      </c>
      <c r="E362" s="2" t="str">
        <f>IFERROR(INDEX(旧!B:B,MATCH(测试!A362,旧!E:E,0)),0)</f>
        <v>[AC] 244 - Tangy.bin</v>
      </c>
      <c r="F362" s="9">
        <f>IFERROR(IF(B362=INDEX(转换!B:B,MATCH(D362,转换!A:A,0)),0,1),1)</f>
        <v>0</v>
      </c>
      <c r="G362" s="9">
        <f t="shared" si="10"/>
        <v>0</v>
      </c>
      <c r="H362" s="9" t="str">
        <f t="shared" si="11"/>
        <v>-</v>
      </c>
    </row>
    <row r="363" spans="1:8" x14ac:dyDescent="0.3">
      <c r="A363" s="3" t="str">
        <f>新!E362</f>
        <v>CRC32:1D43DE78</v>
      </c>
      <c r="B363" s="3" t="str">
        <f>新!A362</f>
        <v>Animal Crossing\Cards\Series 3</v>
      </c>
      <c r="C363" s="3" t="str">
        <f>新!B362</f>
        <v>[AC] 245 - Mac.bin</v>
      </c>
      <c r="D363" s="2" t="str">
        <f>IFERROR(INDEX(旧!A:A,MATCH(测试!A363,旧!E:E,0)),0)</f>
        <v>Animal Crossing\Cards - Series 3</v>
      </c>
      <c r="E363" s="2" t="str">
        <f>IFERROR(INDEX(旧!B:B,MATCH(测试!A363,旧!E:E,0)),0)</f>
        <v>[AC] 245 - Mac.bin</v>
      </c>
      <c r="F363" s="9">
        <f>IFERROR(IF(B363=INDEX(转换!B:B,MATCH(D363,转换!A:A,0)),0,1),1)</f>
        <v>0</v>
      </c>
      <c r="G363" s="9">
        <f t="shared" si="10"/>
        <v>0</v>
      </c>
      <c r="H363" s="9" t="str">
        <f t="shared" si="11"/>
        <v>-</v>
      </c>
    </row>
    <row r="364" spans="1:8" x14ac:dyDescent="0.3">
      <c r="A364" s="3" t="str">
        <f>新!E363</f>
        <v>CRC32:45ED9D82</v>
      </c>
      <c r="B364" s="3" t="str">
        <f>新!A363</f>
        <v>Animal Crossing\Cards\Series 3</v>
      </c>
      <c r="C364" s="3" t="str">
        <f>新!B363</f>
        <v>[AC] 246 - Eloise.bin</v>
      </c>
      <c r="D364" s="2" t="str">
        <f>IFERROR(INDEX(旧!A:A,MATCH(测试!A364,旧!E:E,0)),0)</f>
        <v>Animal Crossing\Cards - Series 3</v>
      </c>
      <c r="E364" s="2" t="str">
        <f>IFERROR(INDEX(旧!B:B,MATCH(测试!A364,旧!E:E,0)),0)</f>
        <v>[AC] 246 - Eloise.bin</v>
      </c>
      <c r="F364" s="9">
        <f>IFERROR(IF(B364=INDEX(转换!B:B,MATCH(D364,转换!A:A,0)),0,1),1)</f>
        <v>0</v>
      </c>
      <c r="G364" s="9">
        <f t="shared" ref="G364:G427" si="12">IF(E364=C364,0,1)</f>
        <v>0</v>
      </c>
      <c r="H364" s="9" t="str">
        <f t="shared" si="11"/>
        <v>-</v>
      </c>
    </row>
    <row r="365" spans="1:8" x14ac:dyDescent="0.3">
      <c r="A365" s="3" t="str">
        <f>新!E364</f>
        <v>CRC32:3F24DFE5</v>
      </c>
      <c r="B365" s="3" t="str">
        <f>新!A364</f>
        <v>Animal Crossing\Cards\Series 3</v>
      </c>
      <c r="C365" s="3" t="str">
        <f>新!B364</f>
        <v>[AC] 247 - Wart Jr..bin</v>
      </c>
      <c r="D365" s="2" t="str">
        <f>IFERROR(INDEX(旧!A:A,MATCH(测试!A365,旧!E:E,0)),0)</f>
        <v>Animal Crossing\Cards - Series 3</v>
      </c>
      <c r="E365" s="2" t="str">
        <f>IFERROR(INDEX(旧!B:B,MATCH(测试!A365,旧!E:E,0)),0)</f>
        <v>[AC] 247 - Wart Jr..bin</v>
      </c>
      <c r="F365" s="9">
        <f>IFERROR(IF(B365=INDEX(转换!B:B,MATCH(D365,转换!A:A,0)),0,1),1)</f>
        <v>0</v>
      </c>
      <c r="G365" s="9">
        <f t="shared" si="12"/>
        <v>0</v>
      </c>
      <c r="H365" s="9" t="str">
        <f t="shared" si="11"/>
        <v>-</v>
      </c>
    </row>
    <row r="366" spans="1:8" x14ac:dyDescent="0.3">
      <c r="A366" s="3" t="str">
        <f>新!E365</f>
        <v>CRC32:7F68385F</v>
      </c>
      <c r="B366" s="3" t="str">
        <f>新!A365</f>
        <v>Animal Crossing\Cards\Series 3</v>
      </c>
      <c r="C366" s="3" t="str">
        <f>新!B365</f>
        <v>[AC] 248 - Hazel.bin</v>
      </c>
      <c r="D366" s="2" t="str">
        <f>IFERROR(INDEX(旧!A:A,MATCH(测试!A366,旧!E:E,0)),0)</f>
        <v>Animal Crossing\Cards - Series 3</v>
      </c>
      <c r="E366" s="2" t="str">
        <f>IFERROR(INDEX(旧!B:B,MATCH(测试!A366,旧!E:E,0)),0)</f>
        <v>[AC] 248 - Hazel.bin</v>
      </c>
      <c r="F366" s="9">
        <f>IFERROR(IF(B366=INDEX(转换!B:B,MATCH(D366,转换!A:A,0)),0,1),1)</f>
        <v>0</v>
      </c>
      <c r="G366" s="9">
        <f t="shared" si="12"/>
        <v>0</v>
      </c>
      <c r="H366" s="9" t="str">
        <f t="shared" si="11"/>
        <v>-</v>
      </c>
    </row>
    <row r="367" spans="1:8" x14ac:dyDescent="0.3">
      <c r="A367" s="3" t="str">
        <f>新!E366</f>
        <v>CRC32:51B61A42</v>
      </c>
      <c r="B367" s="3" t="str">
        <f>新!A366</f>
        <v>Animal Crossing\Cards\Series 3</v>
      </c>
      <c r="C367" s="3" t="str">
        <f>新!B366</f>
        <v>[AC] 249 - Beardo.bin</v>
      </c>
      <c r="D367" s="2" t="str">
        <f>IFERROR(INDEX(旧!A:A,MATCH(测试!A367,旧!E:E,0)),0)</f>
        <v>Animal Crossing\Cards - Series 3</v>
      </c>
      <c r="E367" s="2" t="str">
        <f>IFERROR(INDEX(旧!B:B,MATCH(测试!A367,旧!E:E,0)),0)</f>
        <v>[AC] 249 - Beardo.bin</v>
      </c>
      <c r="F367" s="9">
        <f>IFERROR(IF(B367=INDEX(转换!B:B,MATCH(D367,转换!A:A,0)),0,1),1)</f>
        <v>0</v>
      </c>
      <c r="G367" s="9">
        <f t="shared" si="12"/>
        <v>0</v>
      </c>
      <c r="H367" s="9" t="str">
        <f t="shared" si="11"/>
        <v>-</v>
      </c>
    </row>
    <row r="368" spans="1:8" x14ac:dyDescent="0.3">
      <c r="A368" s="3" t="str">
        <f>新!E367</f>
        <v>CRC32:185A2FA3</v>
      </c>
      <c r="B368" s="3" t="str">
        <f>新!A367</f>
        <v>Animal Crossing\Cards\Series 3</v>
      </c>
      <c r="C368" s="3" t="str">
        <f>新!B367</f>
        <v>[AC] 250 - Ava.bin</v>
      </c>
      <c r="D368" s="2" t="str">
        <f>IFERROR(INDEX(旧!A:A,MATCH(测试!A368,旧!E:E,0)),0)</f>
        <v>Animal Crossing\Cards - Series 3</v>
      </c>
      <c r="E368" s="2" t="str">
        <f>IFERROR(INDEX(旧!B:B,MATCH(测试!A368,旧!E:E,0)),0)</f>
        <v>[AC] 250 - Ava.bin</v>
      </c>
      <c r="F368" s="9">
        <f>IFERROR(IF(B368=INDEX(转换!B:B,MATCH(D368,转换!A:A,0)),0,1),1)</f>
        <v>0</v>
      </c>
      <c r="G368" s="9">
        <f t="shared" si="12"/>
        <v>0</v>
      </c>
      <c r="H368" s="9" t="str">
        <f t="shared" si="11"/>
        <v>-</v>
      </c>
    </row>
    <row r="369" spans="1:8" x14ac:dyDescent="0.3">
      <c r="A369" s="3" t="str">
        <f>新!E368</f>
        <v>CRC32:1944C5BA</v>
      </c>
      <c r="B369" s="3" t="str">
        <f>新!A368</f>
        <v>Animal Crossing\Cards\Series 3</v>
      </c>
      <c r="C369" s="3" t="str">
        <f>新!B368</f>
        <v>[AC] 251 - Chester.bin</v>
      </c>
      <c r="D369" s="2" t="str">
        <f>IFERROR(INDEX(旧!A:A,MATCH(测试!A369,旧!E:E,0)),0)</f>
        <v>Animal Crossing\Cards - Series 3</v>
      </c>
      <c r="E369" s="2" t="str">
        <f>IFERROR(INDEX(旧!B:B,MATCH(测试!A369,旧!E:E,0)),0)</f>
        <v>[AC] 251 - Chester.bin</v>
      </c>
      <c r="F369" s="9">
        <f>IFERROR(IF(B369=INDEX(转换!B:B,MATCH(D369,转换!A:A,0)),0,1),1)</f>
        <v>0</v>
      </c>
      <c r="G369" s="9">
        <f t="shared" si="12"/>
        <v>0</v>
      </c>
      <c r="H369" s="9" t="str">
        <f t="shared" si="11"/>
        <v>-</v>
      </c>
    </row>
    <row r="370" spans="1:8" x14ac:dyDescent="0.3">
      <c r="A370" s="3" t="str">
        <f>新!E369</f>
        <v>CRC32:BD6A5399</v>
      </c>
      <c r="B370" s="3" t="str">
        <f>新!A369</f>
        <v>Animal Crossing\Cards\Series 3</v>
      </c>
      <c r="C370" s="3" t="str">
        <f>新!B369</f>
        <v>[AC] 252 - Merry.bin</v>
      </c>
      <c r="D370" s="2" t="str">
        <f>IFERROR(INDEX(旧!A:A,MATCH(测试!A370,旧!E:E,0)),0)</f>
        <v>Animal Crossing\Cards - Series 3</v>
      </c>
      <c r="E370" s="2" t="str">
        <f>IFERROR(INDEX(旧!B:B,MATCH(测试!A370,旧!E:E,0)),0)</f>
        <v>[AC] 252 - Merry.bin</v>
      </c>
      <c r="F370" s="9">
        <f>IFERROR(IF(B370=INDEX(转换!B:B,MATCH(D370,转换!A:A,0)),0,1),1)</f>
        <v>0</v>
      </c>
      <c r="G370" s="9">
        <f t="shared" si="12"/>
        <v>0</v>
      </c>
      <c r="H370" s="9" t="str">
        <f t="shared" si="11"/>
        <v>-</v>
      </c>
    </row>
    <row r="371" spans="1:8" x14ac:dyDescent="0.3">
      <c r="A371" s="3" t="str">
        <f>新!E370</f>
        <v>CRC32:995E3CC0</v>
      </c>
      <c r="B371" s="3" t="str">
        <f>新!A370</f>
        <v>Animal Crossing\Cards\Series 3</v>
      </c>
      <c r="C371" s="3" t="str">
        <f>新!B370</f>
        <v>[AC] 253 - Genji.bin</v>
      </c>
      <c r="D371" s="2" t="str">
        <f>IFERROR(INDEX(旧!A:A,MATCH(测试!A371,旧!E:E,0)),0)</f>
        <v>Animal Crossing\Cards - Series 3</v>
      </c>
      <c r="E371" s="2" t="str">
        <f>IFERROR(INDEX(旧!B:B,MATCH(测试!A371,旧!E:E,0)),0)</f>
        <v>[AC] 253 - Genji.bin</v>
      </c>
      <c r="F371" s="9">
        <f>IFERROR(IF(B371=INDEX(转换!B:B,MATCH(D371,转换!A:A,0)),0,1),1)</f>
        <v>0</v>
      </c>
      <c r="G371" s="9">
        <f t="shared" si="12"/>
        <v>0</v>
      </c>
      <c r="H371" s="9" t="str">
        <f t="shared" si="11"/>
        <v>-</v>
      </c>
    </row>
    <row r="372" spans="1:8" x14ac:dyDescent="0.3">
      <c r="A372" s="3" t="str">
        <f>新!E371</f>
        <v>CRC32:53B9FCDC</v>
      </c>
      <c r="B372" s="3" t="str">
        <f>新!A371</f>
        <v>Animal Crossing\Cards\Series 3</v>
      </c>
      <c r="C372" s="3" t="str">
        <f>新!B371</f>
        <v>[AC] 254 - Greta.bin</v>
      </c>
      <c r="D372" s="2" t="str">
        <f>IFERROR(INDEX(旧!A:A,MATCH(测试!A372,旧!E:E,0)),0)</f>
        <v>Animal Crossing\Cards - Series 3</v>
      </c>
      <c r="E372" s="2" t="str">
        <f>IFERROR(INDEX(旧!B:B,MATCH(测试!A372,旧!E:E,0)),0)</f>
        <v>[AC] 254 - Greta.bin</v>
      </c>
      <c r="F372" s="9">
        <f>IFERROR(IF(B372=INDEX(转换!B:B,MATCH(D372,转换!A:A,0)),0,1),1)</f>
        <v>0</v>
      </c>
      <c r="G372" s="9">
        <f t="shared" si="12"/>
        <v>0</v>
      </c>
      <c r="H372" s="9" t="str">
        <f t="shared" si="11"/>
        <v>-</v>
      </c>
    </row>
    <row r="373" spans="1:8" x14ac:dyDescent="0.3">
      <c r="A373" s="3" t="str">
        <f>新!E372</f>
        <v>CRC32:0A233710</v>
      </c>
      <c r="B373" s="3" t="str">
        <f>新!A372</f>
        <v>Animal Crossing\Cards\Series 3</v>
      </c>
      <c r="C373" s="3" t="str">
        <f>新!B372</f>
        <v>[AC] 255 - Wolfgang.bin</v>
      </c>
      <c r="D373" s="2" t="str">
        <f>IFERROR(INDEX(旧!A:A,MATCH(测试!A373,旧!E:E,0)),0)</f>
        <v>Animal Crossing\Cards - Series 3</v>
      </c>
      <c r="E373" s="2" t="str">
        <f>IFERROR(INDEX(旧!B:B,MATCH(测试!A373,旧!E:E,0)),0)</f>
        <v>[AC] 255 - Wolfgang.bin</v>
      </c>
      <c r="F373" s="9">
        <f>IFERROR(IF(B373=INDEX(转换!B:B,MATCH(D373,转换!A:A,0)),0,1),1)</f>
        <v>0</v>
      </c>
      <c r="G373" s="9">
        <f t="shared" si="12"/>
        <v>0</v>
      </c>
      <c r="H373" s="9" t="str">
        <f t="shared" si="11"/>
        <v>-</v>
      </c>
    </row>
    <row r="374" spans="1:8" x14ac:dyDescent="0.3">
      <c r="A374" s="3" t="str">
        <f>新!E373</f>
        <v>CRC32:7A50BFAE</v>
      </c>
      <c r="B374" s="3" t="str">
        <f>新!A373</f>
        <v>Animal Crossing\Cards\Series 3</v>
      </c>
      <c r="C374" s="3" t="str">
        <f>新!B373</f>
        <v>[AC] 256 - Diva.bin</v>
      </c>
      <c r="D374" s="2" t="str">
        <f>IFERROR(INDEX(旧!A:A,MATCH(测试!A374,旧!E:E,0)),0)</f>
        <v>Animal Crossing\Cards - Series 3</v>
      </c>
      <c r="E374" s="2" t="str">
        <f>IFERROR(INDEX(旧!B:B,MATCH(测试!A374,旧!E:E,0)),0)</f>
        <v>[AC] 256 - Diva.bin</v>
      </c>
      <c r="F374" s="9">
        <f>IFERROR(IF(B374=INDEX(转换!B:B,MATCH(D374,转换!A:A,0)),0,1),1)</f>
        <v>0</v>
      </c>
      <c r="G374" s="9">
        <f t="shared" si="12"/>
        <v>0</v>
      </c>
      <c r="H374" s="9" t="str">
        <f t="shared" si="11"/>
        <v>-</v>
      </c>
    </row>
    <row r="375" spans="1:8" x14ac:dyDescent="0.3">
      <c r="A375" s="3" t="str">
        <f>新!E374</f>
        <v>CRC32:93D2D484</v>
      </c>
      <c r="B375" s="3" t="str">
        <f>新!A374</f>
        <v>Animal Crossing\Cards\Series 3</v>
      </c>
      <c r="C375" s="3" t="str">
        <f>新!B374</f>
        <v>[AC] 257 - Klaus.bin</v>
      </c>
      <c r="D375" s="2" t="str">
        <f>IFERROR(INDEX(旧!A:A,MATCH(测试!A375,旧!E:E,0)),0)</f>
        <v>Animal Crossing\Cards - Series 3</v>
      </c>
      <c r="E375" s="2" t="str">
        <f>IFERROR(INDEX(旧!B:B,MATCH(测试!A375,旧!E:E,0)),0)</f>
        <v>[AC] 257 - Klaus.bin</v>
      </c>
      <c r="F375" s="9">
        <f>IFERROR(IF(B375=INDEX(转换!B:B,MATCH(D375,转换!A:A,0)),0,1),1)</f>
        <v>0</v>
      </c>
      <c r="G375" s="9">
        <f t="shared" si="12"/>
        <v>0</v>
      </c>
      <c r="H375" s="9" t="str">
        <f t="shared" si="11"/>
        <v>-</v>
      </c>
    </row>
    <row r="376" spans="1:8" x14ac:dyDescent="0.3">
      <c r="A376" s="3" t="str">
        <f>新!E375</f>
        <v>CRC32:454117DB</v>
      </c>
      <c r="B376" s="3" t="str">
        <f>新!A375</f>
        <v>Animal Crossing\Cards\Series 3</v>
      </c>
      <c r="C376" s="3" t="str">
        <f>新!B375</f>
        <v>[AC] 258 - Daisy.bin</v>
      </c>
      <c r="D376" s="2" t="str">
        <f>IFERROR(INDEX(旧!A:A,MATCH(测试!A376,旧!E:E,0)),0)</f>
        <v>Animal Crossing\Cards - Series 3</v>
      </c>
      <c r="E376" s="2" t="str">
        <f>IFERROR(INDEX(旧!B:B,MATCH(测试!A376,旧!E:E,0)),0)</f>
        <v>[AC] 258 - Daisy.bin</v>
      </c>
      <c r="F376" s="9">
        <f>IFERROR(IF(B376=INDEX(转换!B:B,MATCH(D376,转换!A:A,0)),0,1),1)</f>
        <v>0</v>
      </c>
      <c r="G376" s="9">
        <f t="shared" si="12"/>
        <v>0</v>
      </c>
      <c r="H376" s="9" t="str">
        <f t="shared" si="11"/>
        <v>-</v>
      </c>
    </row>
    <row r="377" spans="1:8" x14ac:dyDescent="0.3">
      <c r="A377" s="3" t="str">
        <f>新!E376</f>
        <v>CRC32:9C2DEE78</v>
      </c>
      <c r="B377" s="3" t="str">
        <f>新!A376</f>
        <v>Animal Crossing\Cards\Series 3</v>
      </c>
      <c r="C377" s="3" t="str">
        <f>新!B376</f>
        <v>[AC] 259 - Stinky.bin</v>
      </c>
      <c r="D377" s="2" t="str">
        <f>IFERROR(INDEX(旧!A:A,MATCH(测试!A377,旧!E:E,0)),0)</f>
        <v>Animal Crossing\Cards - Series 3</v>
      </c>
      <c r="E377" s="2" t="str">
        <f>IFERROR(INDEX(旧!B:B,MATCH(测试!A377,旧!E:E,0)),0)</f>
        <v>[AC] 259 - Stinky.bin</v>
      </c>
      <c r="F377" s="9">
        <f>IFERROR(IF(B377=INDEX(转换!B:B,MATCH(D377,转换!A:A,0)),0,1),1)</f>
        <v>0</v>
      </c>
      <c r="G377" s="9">
        <f t="shared" si="12"/>
        <v>0</v>
      </c>
      <c r="H377" s="9" t="str">
        <f t="shared" si="11"/>
        <v>-</v>
      </c>
    </row>
    <row r="378" spans="1:8" x14ac:dyDescent="0.3">
      <c r="A378" s="3" t="str">
        <f>新!E377</f>
        <v>CRC32:4CB6CAAC</v>
      </c>
      <c r="B378" s="3" t="str">
        <f>新!A377</f>
        <v>Animal Crossing\Cards\Series 3</v>
      </c>
      <c r="C378" s="3" t="str">
        <f>新!B377</f>
        <v>[AC] 260 - Tammi.bin</v>
      </c>
      <c r="D378" s="2" t="str">
        <f>IFERROR(INDEX(旧!A:A,MATCH(测试!A378,旧!E:E,0)),0)</f>
        <v>Animal Crossing\Cards - Series 3</v>
      </c>
      <c r="E378" s="2" t="str">
        <f>IFERROR(INDEX(旧!B:B,MATCH(测试!A378,旧!E:E,0)),0)</f>
        <v>[AC] 260 - Tammi.bin</v>
      </c>
      <c r="F378" s="9">
        <f>IFERROR(IF(B378=INDEX(转换!B:B,MATCH(D378,转换!A:A,0)),0,1),1)</f>
        <v>0</v>
      </c>
      <c r="G378" s="9">
        <f t="shared" si="12"/>
        <v>0</v>
      </c>
      <c r="H378" s="9" t="str">
        <f t="shared" si="11"/>
        <v>-</v>
      </c>
    </row>
    <row r="379" spans="1:8" x14ac:dyDescent="0.3">
      <c r="A379" s="3" t="str">
        <f>新!E378</f>
        <v>CRC32:8BCEA320</v>
      </c>
      <c r="B379" s="3" t="str">
        <f>新!A378</f>
        <v>Animal Crossing\Cards\Series 3</v>
      </c>
      <c r="C379" s="3" t="str">
        <f>新!B378</f>
        <v>[AC] 261 - Tucker.bin</v>
      </c>
      <c r="D379" s="2" t="str">
        <f>IFERROR(INDEX(旧!A:A,MATCH(测试!A379,旧!E:E,0)),0)</f>
        <v>Animal Crossing\Cards - Series 3</v>
      </c>
      <c r="E379" s="2" t="str">
        <f>IFERROR(INDEX(旧!B:B,MATCH(测试!A379,旧!E:E,0)),0)</f>
        <v>[AC] 261 - Tucker.bin</v>
      </c>
      <c r="F379" s="9">
        <f>IFERROR(IF(B379=INDEX(转换!B:B,MATCH(D379,转换!A:A,0)),0,1),1)</f>
        <v>0</v>
      </c>
      <c r="G379" s="9">
        <f t="shared" si="12"/>
        <v>0</v>
      </c>
      <c r="H379" s="9" t="str">
        <f t="shared" si="11"/>
        <v>-</v>
      </c>
    </row>
    <row r="380" spans="1:8" x14ac:dyDescent="0.3">
      <c r="A380" s="3" t="str">
        <f>新!E379</f>
        <v>CRC32:093A9D8B</v>
      </c>
      <c r="B380" s="3" t="str">
        <f>新!A379</f>
        <v>Animal Crossing\Cards\Series 3</v>
      </c>
      <c r="C380" s="3" t="str">
        <f>新!B379</f>
        <v>[AC] 262 - Blanche.bin</v>
      </c>
      <c r="D380" s="2" t="str">
        <f>IFERROR(INDEX(旧!A:A,MATCH(测试!A380,旧!E:E,0)),0)</f>
        <v>Animal Crossing\Cards - Series 3</v>
      </c>
      <c r="E380" s="2" t="str">
        <f>IFERROR(INDEX(旧!B:B,MATCH(测试!A380,旧!E:E,0)),0)</f>
        <v>[AC] 262 - Blanche.bin</v>
      </c>
      <c r="F380" s="9">
        <f>IFERROR(IF(B380=INDEX(转换!B:B,MATCH(D380,转换!A:A,0)),0,1),1)</f>
        <v>0</v>
      </c>
      <c r="G380" s="9">
        <f t="shared" si="12"/>
        <v>0</v>
      </c>
      <c r="H380" s="9" t="str">
        <f t="shared" si="11"/>
        <v>-</v>
      </c>
    </row>
    <row r="381" spans="1:8" x14ac:dyDescent="0.3">
      <c r="A381" s="3" t="str">
        <f>新!E380</f>
        <v>CRC32:1CAA856E</v>
      </c>
      <c r="B381" s="3" t="str">
        <f>新!A380</f>
        <v>Animal Crossing\Cards\Series 3</v>
      </c>
      <c r="C381" s="3" t="str">
        <f>新!B380</f>
        <v>[AC] 263 - Gaston.bin</v>
      </c>
      <c r="D381" s="2" t="str">
        <f>IFERROR(INDEX(旧!A:A,MATCH(测试!A381,旧!E:E,0)),0)</f>
        <v>Animal Crossing\Cards - Series 3</v>
      </c>
      <c r="E381" s="2" t="str">
        <f>IFERROR(INDEX(旧!B:B,MATCH(测试!A381,旧!E:E,0)),0)</f>
        <v>[AC] 263 - Gaston.bin</v>
      </c>
      <c r="F381" s="9">
        <f>IFERROR(IF(B381=INDEX(转换!B:B,MATCH(D381,转换!A:A,0)),0,1),1)</f>
        <v>0</v>
      </c>
      <c r="G381" s="9">
        <f t="shared" si="12"/>
        <v>0</v>
      </c>
      <c r="H381" s="9" t="str">
        <f t="shared" si="11"/>
        <v>-</v>
      </c>
    </row>
    <row r="382" spans="1:8" x14ac:dyDescent="0.3">
      <c r="A382" s="3" t="str">
        <f>新!E381</f>
        <v>CRC32:4E578C03</v>
      </c>
      <c r="B382" s="3" t="str">
        <f>新!A381</f>
        <v>Animal Crossing\Cards\Series 3</v>
      </c>
      <c r="C382" s="3" t="str">
        <f>新!B381</f>
        <v>[AC] 264 - Marshal.bin</v>
      </c>
      <c r="D382" s="2" t="str">
        <f>IFERROR(INDEX(旧!A:A,MATCH(测试!A382,旧!E:E,0)),0)</f>
        <v>Animal Crossing\Cards - Series 3</v>
      </c>
      <c r="E382" s="2" t="str">
        <f>IFERROR(INDEX(旧!B:B,MATCH(测试!A382,旧!E:E,0)),0)</f>
        <v>[AC] 264 - Marshal.bin</v>
      </c>
      <c r="F382" s="9">
        <f>IFERROR(IF(B382=INDEX(转换!B:B,MATCH(D382,转换!A:A,0)),0,1),1)</f>
        <v>0</v>
      </c>
      <c r="G382" s="9">
        <f t="shared" si="12"/>
        <v>0</v>
      </c>
      <c r="H382" s="9" t="str">
        <f t="shared" si="11"/>
        <v>-</v>
      </c>
    </row>
    <row r="383" spans="1:8" x14ac:dyDescent="0.3">
      <c r="A383" s="3" t="str">
        <f>新!E382</f>
        <v>CRC32:3FC15A49</v>
      </c>
      <c r="B383" s="3" t="str">
        <f>新!A382</f>
        <v>Animal Crossing\Cards\Series 3</v>
      </c>
      <c r="C383" s="3" t="str">
        <f>新!B382</f>
        <v>[AC] 265 - Gala.bin</v>
      </c>
      <c r="D383" s="2" t="str">
        <f>IFERROR(INDEX(旧!A:A,MATCH(测试!A383,旧!E:E,0)),0)</f>
        <v>Animal Crossing\Cards - Series 3</v>
      </c>
      <c r="E383" s="2" t="str">
        <f>IFERROR(INDEX(旧!B:B,MATCH(测试!A383,旧!E:E,0)),0)</f>
        <v>[AC] 265 - Gala.bin</v>
      </c>
      <c r="F383" s="9">
        <f>IFERROR(IF(B383=INDEX(转换!B:B,MATCH(D383,转换!A:A,0)),0,1),1)</f>
        <v>0</v>
      </c>
      <c r="G383" s="9">
        <f t="shared" si="12"/>
        <v>0</v>
      </c>
      <c r="H383" s="9" t="str">
        <f t="shared" si="11"/>
        <v>-</v>
      </c>
    </row>
    <row r="384" spans="1:8" x14ac:dyDescent="0.3">
      <c r="A384" s="3" t="str">
        <f>新!E383</f>
        <v>CRC32:827F8986</v>
      </c>
      <c r="B384" s="3" t="str">
        <f>新!A383</f>
        <v>Animal Crossing\Cards\Series 3</v>
      </c>
      <c r="C384" s="3" t="str">
        <f>新!B383</f>
        <v>[AC] 266 - Joey.bin</v>
      </c>
      <c r="D384" s="2" t="str">
        <f>IFERROR(INDEX(旧!A:A,MATCH(测试!A384,旧!E:E,0)),0)</f>
        <v>Animal Crossing\Cards - Series 3</v>
      </c>
      <c r="E384" s="2" t="str">
        <f>IFERROR(INDEX(旧!B:B,MATCH(测试!A384,旧!E:E,0)),0)</f>
        <v>[AC] 266 - Joey.bin</v>
      </c>
      <c r="F384" s="9">
        <f>IFERROR(IF(B384=INDEX(转换!B:B,MATCH(D384,转换!A:A,0)),0,1),1)</f>
        <v>0</v>
      </c>
      <c r="G384" s="9">
        <f t="shared" si="12"/>
        <v>0</v>
      </c>
      <c r="H384" s="9" t="str">
        <f t="shared" si="11"/>
        <v>-</v>
      </c>
    </row>
    <row r="385" spans="1:8" x14ac:dyDescent="0.3">
      <c r="A385" s="3" t="str">
        <f>新!E384</f>
        <v>CRC32:73AB93E7</v>
      </c>
      <c r="B385" s="3" t="str">
        <f>新!A384</f>
        <v>Animal Crossing\Cards\Series 3</v>
      </c>
      <c r="C385" s="3" t="str">
        <f>新!B384</f>
        <v>[AC] 267 - Pippy.bin</v>
      </c>
      <c r="D385" s="2" t="str">
        <f>IFERROR(INDEX(旧!A:A,MATCH(测试!A385,旧!E:E,0)),0)</f>
        <v>Animal Crossing\Cards - Series 3</v>
      </c>
      <c r="E385" s="2" t="str">
        <f>IFERROR(INDEX(旧!B:B,MATCH(测试!A385,旧!E:E,0)),0)</f>
        <v>[AC] 267 - Pippy.bin</v>
      </c>
      <c r="F385" s="9">
        <f>IFERROR(IF(B385=INDEX(转换!B:B,MATCH(D385,转换!A:A,0)),0,1),1)</f>
        <v>0</v>
      </c>
      <c r="G385" s="9">
        <f t="shared" si="12"/>
        <v>0</v>
      </c>
      <c r="H385" s="9" t="str">
        <f t="shared" si="11"/>
        <v>-</v>
      </c>
    </row>
    <row r="386" spans="1:8" x14ac:dyDescent="0.3">
      <c r="A386" s="3" t="str">
        <f>新!E385</f>
        <v>CRC32:8853CFB4</v>
      </c>
      <c r="B386" s="3" t="str">
        <f>新!A385</f>
        <v>Animal Crossing\Cards\Series 3</v>
      </c>
      <c r="C386" s="3" t="str">
        <f>新!B385</f>
        <v>[AC] 268 - Buck.bin</v>
      </c>
      <c r="D386" s="2" t="str">
        <f>IFERROR(INDEX(旧!A:A,MATCH(测试!A386,旧!E:E,0)),0)</f>
        <v>Animal Crossing\Cards - Series 3</v>
      </c>
      <c r="E386" s="2" t="str">
        <f>IFERROR(INDEX(旧!B:B,MATCH(测试!A386,旧!E:E,0)),0)</f>
        <v>[AC] 268 - Buck.bin</v>
      </c>
      <c r="F386" s="9">
        <f>IFERROR(IF(B386=INDEX(转换!B:B,MATCH(D386,转换!A:A,0)),0,1),1)</f>
        <v>0</v>
      </c>
      <c r="G386" s="9">
        <f t="shared" si="12"/>
        <v>0</v>
      </c>
      <c r="H386" s="9" t="str">
        <f t="shared" si="11"/>
        <v>-</v>
      </c>
    </row>
    <row r="387" spans="1:8" x14ac:dyDescent="0.3">
      <c r="A387" s="3" t="str">
        <f>新!E386</f>
        <v>CRC32:60DC47E8</v>
      </c>
      <c r="B387" s="3" t="str">
        <f>新!A386</f>
        <v>Animal Crossing\Cards\Series 3</v>
      </c>
      <c r="C387" s="3" t="str">
        <f>新!B386</f>
        <v>[AC] 269 - Bree.bin</v>
      </c>
      <c r="D387" s="2" t="str">
        <f>IFERROR(INDEX(旧!A:A,MATCH(测试!A387,旧!E:E,0)),0)</f>
        <v>Animal Crossing\Cards - Series 3</v>
      </c>
      <c r="E387" s="2" t="str">
        <f>IFERROR(INDEX(旧!B:B,MATCH(测试!A387,旧!E:E,0)),0)</f>
        <v>[AC] 269 - Bree.bin</v>
      </c>
      <c r="F387" s="9">
        <f>IFERROR(IF(B387=INDEX(转换!B:B,MATCH(D387,转换!A:A,0)),0,1),1)</f>
        <v>0</v>
      </c>
      <c r="G387" s="9">
        <f t="shared" si="12"/>
        <v>0</v>
      </c>
      <c r="H387" s="9" t="str">
        <f t="shared" si="11"/>
        <v>-</v>
      </c>
    </row>
    <row r="388" spans="1:8" x14ac:dyDescent="0.3">
      <c r="A388" s="3" t="str">
        <f>新!E387</f>
        <v>CRC32:A35A2CB1</v>
      </c>
      <c r="B388" s="3" t="str">
        <f>新!A387</f>
        <v>Animal Crossing\Cards\Series 3</v>
      </c>
      <c r="C388" s="3" t="str">
        <f>新!B387</f>
        <v>[AC] 270 - Rooney.bin</v>
      </c>
      <c r="D388" s="2" t="str">
        <f>IFERROR(INDEX(旧!A:A,MATCH(测试!A388,旧!E:E,0)),0)</f>
        <v>Animal Crossing\Cards - Series 3</v>
      </c>
      <c r="E388" s="2" t="str">
        <f>IFERROR(INDEX(旧!B:B,MATCH(测试!A388,旧!E:E,0)),0)</f>
        <v>[AC] 270 - Rooney.bin</v>
      </c>
      <c r="F388" s="9">
        <f>IFERROR(IF(B388=INDEX(转换!B:B,MATCH(D388,转换!A:A,0)),0,1),1)</f>
        <v>0</v>
      </c>
      <c r="G388" s="9">
        <f t="shared" si="12"/>
        <v>0</v>
      </c>
      <c r="H388" s="9" t="str">
        <f t="shared" ref="H388:H451" si="13">_xlfn.IFS(F388+G388=0,"-",F388+G388=1,"文件名错误",F388+G388=2,"无此文件")</f>
        <v>-</v>
      </c>
    </row>
    <row r="389" spans="1:8" x14ac:dyDescent="0.3">
      <c r="A389" s="3" t="str">
        <f>新!E388</f>
        <v>CRC32:5D330E9B</v>
      </c>
      <c r="B389" s="3" t="str">
        <f>新!A388</f>
        <v>Animal Crossing\Cards\Series 3</v>
      </c>
      <c r="C389" s="3" t="str">
        <f>新!B388</f>
        <v>[AC] 271 - Curlos.bin</v>
      </c>
      <c r="D389" s="2" t="str">
        <f>IFERROR(INDEX(旧!A:A,MATCH(测试!A389,旧!E:E,0)),0)</f>
        <v>Animal Crossing\Cards - Series 3</v>
      </c>
      <c r="E389" s="2" t="str">
        <f>IFERROR(INDEX(旧!B:B,MATCH(测试!A389,旧!E:E,0)),0)</f>
        <v>[AC] 271 - Curlos.bin</v>
      </c>
      <c r="F389" s="9">
        <f>IFERROR(IF(B389=INDEX(转换!B:B,MATCH(D389,转换!A:A,0)),0,1),1)</f>
        <v>0</v>
      </c>
      <c r="G389" s="9">
        <f t="shared" si="12"/>
        <v>0</v>
      </c>
      <c r="H389" s="9" t="str">
        <f t="shared" si="13"/>
        <v>-</v>
      </c>
    </row>
    <row r="390" spans="1:8" x14ac:dyDescent="0.3">
      <c r="A390" s="3" t="str">
        <f>新!E389</f>
        <v>CRC32:ABAF8E80</v>
      </c>
      <c r="B390" s="3" t="str">
        <f>新!A389</f>
        <v>Animal Crossing\Cards\Series 3</v>
      </c>
      <c r="C390" s="3" t="str">
        <f>新!B389</f>
        <v>[AC] 272 - Skye.bin</v>
      </c>
      <c r="D390" s="2" t="str">
        <f>IFERROR(INDEX(旧!A:A,MATCH(测试!A390,旧!E:E,0)),0)</f>
        <v>Animal Crossing\Cards - Series 3</v>
      </c>
      <c r="E390" s="2" t="str">
        <f>IFERROR(INDEX(旧!B:B,MATCH(测试!A390,旧!E:E,0)),0)</f>
        <v>[AC] 272 - Skye.bin</v>
      </c>
      <c r="F390" s="9">
        <f>IFERROR(IF(B390=INDEX(转换!B:B,MATCH(D390,转换!A:A,0)),0,1),1)</f>
        <v>0</v>
      </c>
      <c r="G390" s="9">
        <f t="shared" si="12"/>
        <v>0</v>
      </c>
      <c r="H390" s="9" t="str">
        <f t="shared" si="13"/>
        <v>-</v>
      </c>
    </row>
    <row r="391" spans="1:8" x14ac:dyDescent="0.3">
      <c r="A391" s="3" t="str">
        <f>新!E390</f>
        <v>CRC32:9CCF251D</v>
      </c>
      <c r="B391" s="3" t="str">
        <f>新!A390</f>
        <v>Animal Crossing\Cards\Series 3</v>
      </c>
      <c r="C391" s="3" t="str">
        <f>新!B390</f>
        <v>[AC] 273 - Moe.bin</v>
      </c>
      <c r="D391" s="2" t="str">
        <f>IFERROR(INDEX(旧!A:A,MATCH(测试!A391,旧!E:E,0)),0)</f>
        <v>Animal Crossing\Cards - Series 3</v>
      </c>
      <c r="E391" s="2" t="str">
        <f>IFERROR(INDEX(旧!B:B,MATCH(测试!A391,旧!E:E,0)),0)</f>
        <v>[AC] 273 - Moe.bin</v>
      </c>
      <c r="F391" s="9">
        <f>IFERROR(IF(B391=INDEX(转换!B:B,MATCH(D391,转换!A:A,0)),0,1),1)</f>
        <v>0</v>
      </c>
      <c r="G391" s="9">
        <f t="shared" si="12"/>
        <v>0</v>
      </c>
      <c r="H391" s="9" t="str">
        <f t="shared" si="13"/>
        <v>-</v>
      </c>
    </row>
    <row r="392" spans="1:8" x14ac:dyDescent="0.3">
      <c r="A392" s="3" t="str">
        <f>新!E391</f>
        <v>CRC32:4CE80ACD</v>
      </c>
      <c r="B392" s="3" t="str">
        <f>新!A391</f>
        <v>Animal Crossing\Cards\Series 3</v>
      </c>
      <c r="C392" s="3" t="str">
        <f>新!B391</f>
        <v>[AC] 274 - Flora.bin</v>
      </c>
      <c r="D392" s="2" t="str">
        <f>IFERROR(INDEX(旧!A:A,MATCH(测试!A392,旧!E:E,0)),0)</f>
        <v>Animal Crossing\Cards - Series 3</v>
      </c>
      <c r="E392" s="2" t="str">
        <f>IFERROR(INDEX(旧!B:B,MATCH(测试!A392,旧!E:E,0)),0)</f>
        <v>[AC] 274 - Flora.bin</v>
      </c>
      <c r="F392" s="9">
        <f>IFERROR(IF(B392=INDEX(转换!B:B,MATCH(D392,转换!A:A,0)),0,1),1)</f>
        <v>0</v>
      </c>
      <c r="G392" s="9">
        <f t="shared" si="12"/>
        <v>0</v>
      </c>
      <c r="H392" s="9" t="str">
        <f t="shared" si="13"/>
        <v>-</v>
      </c>
    </row>
    <row r="393" spans="1:8" x14ac:dyDescent="0.3">
      <c r="A393" s="3" t="str">
        <f>新!E392</f>
        <v>CRC32:2155C640</v>
      </c>
      <c r="B393" s="3" t="str">
        <f>新!A392</f>
        <v>Animal Crossing\Cards\Series 3</v>
      </c>
      <c r="C393" s="3" t="str">
        <f>新!B392</f>
        <v>[AC] 275 - Hamlet.bin</v>
      </c>
      <c r="D393" s="2" t="str">
        <f>IFERROR(INDEX(旧!A:A,MATCH(测试!A393,旧!E:E,0)),0)</f>
        <v>Animal Crossing\Cards - Series 3</v>
      </c>
      <c r="E393" s="2" t="str">
        <f>IFERROR(INDEX(旧!B:B,MATCH(测试!A393,旧!E:E,0)),0)</f>
        <v>[AC] 275 - Hamlet.bin</v>
      </c>
      <c r="F393" s="9">
        <f>IFERROR(IF(B393=INDEX(转换!B:B,MATCH(D393,转换!A:A,0)),0,1),1)</f>
        <v>0</v>
      </c>
      <c r="G393" s="9">
        <f t="shared" si="12"/>
        <v>0</v>
      </c>
      <c r="H393" s="9" t="str">
        <f t="shared" si="13"/>
        <v>-</v>
      </c>
    </row>
    <row r="394" spans="1:8" x14ac:dyDescent="0.3">
      <c r="A394" s="3" t="str">
        <f>新!E393</f>
        <v>CRC32:3DF73775</v>
      </c>
      <c r="B394" s="3" t="str">
        <f>新!A393</f>
        <v>Animal Crossing\Cards\Series 3</v>
      </c>
      <c r="C394" s="3" t="str">
        <f>新!B393</f>
        <v>[AC] 276 - Astrid.bin</v>
      </c>
      <c r="D394" s="2" t="str">
        <f>IFERROR(INDEX(旧!A:A,MATCH(测试!A394,旧!E:E,0)),0)</f>
        <v>Animal Crossing\Cards - Series 3</v>
      </c>
      <c r="E394" s="2" t="str">
        <f>IFERROR(INDEX(旧!B:B,MATCH(测试!A394,旧!E:E,0)),0)</f>
        <v>[AC] 276 - Astrid.bin</v>
      </c>
      <c r="F394" s="9">
        <f>IFERROR(IF(B394=INDEX(转换!B:B,MATCH(D394,转换!A:A,0)),0,1),1)</f>
        <v>0</v>
      </c>
      <c r="G394" s="9">
        <f t="shared" si="12"/>
        <v>0</v>
      </c>
      <c r="H394" s="9" t="str">
        <f t="shared" si="13"/>
        <v>-</v>
      </c>
    </row>
    <row r="395" spans="1:8" x14ac:dyDescent="0.3">
      <c r="A395" s="3" t="str">
        <f>新!E394</f>
        <v>CRC32:55A1F902</v>
      </c>
      <c r="B395" s="3" t="str">
        <f>新!A394</f>
        <v>Animal Crossing\Cards\Series 3</v>
      </c>
      <c r="C395" s="3" t="str">
        <f>新!B394</f>
        <v>[AC] 277 - Monty.bin</v>
      </c>
      <c r="D395" s="2" t="str">
        <f>IFERROR(INDEX(旧!A:A,MATCH(测试!A395,旧!E:E,0)),0)</f>
        <v>Animal Crossing\Cards - Series 3</v>
      </c>
      <c r="E395" s="2" t="str">
        <f>IFERROR(INDEX(旧!B:B,MATCH(测试!A395,旧!E:E,0)),0)</f>
        <v>[AC] 277 - Monty.bin</v>
      </c>
      <c r="F395" s="9">
        <f>IFERROR(IF(B395=INDEX(转换!B:B,MATCH(D395,转换!A:A,0)),0,1),1)</f>
        <v>0</v>
      </c>
      <c r="G395" s="9">
        <f t="shared" si="12"/>
        <v>0</v>
      </c>
      <c r="H395" s="9" t="str">
        <f t="shared" si="13"/>
        <v>-</v>
      </c>
    </row>
    <row r="396" spans="1:8" x14ac:dyDescent="0.3">
      <c r="A396" s="3" t="str">
        <f>新!E395</f>
        <v>CRC32:A63C2DC4</v>
      </c>
      <c r="B396" s="3" t="str">
        <f>新!A395</f>
        <v>Animal Crossing\Cards\Series 3</v>
      </c>
      <c r="C396" s="3" t="str">
        <f>新!B395</f>
        <v>[AC] 278 - Dora.bin</v>
      </c>
      <c r="D396" s="2" t="str">
        <f>IFERROR(INDEX(旧!A:A,MATCH(测试!A396,旧!E:E,0)),0)</f>
        <v>Animal Crossing\Cards - Series 3</v>
      </c>
      <c r="E396" s="2" t="str">
        <f>IFERROR(INDEX(旧!B:B,MATCH(测试!A396,旧!E:E,0)),0)</f>
        <v>[AC] 278 - Dora.bin</v>
      </c>
      <c r="F396" s="9">
        <f>IFERROR(IF(B396=INDEX(转换!B:B,MATCH(D396,转换!A:A,0)),0,1),1)</f>
        <v>0</v>
      </c>
      <c r="G396" s="9">
        <f t="shared" si="12"/>
        <v>0</v>
      </c>
      <c r="H396" s="9" t="str">
        <f t="shared" si="13"/>
        <v>-</v>
      </c>
    </row>
    <row r="397" spans="1:8" x14ac:dyDescent="0.3">
      <c r="A397" s="3" t="str">
        <f>新!E396</f>
        <v>CRC32:4A3362A1</v>
      </c>
      <c r="B397" s="3" t="str">
        <f>新!A396</f>
        <v>Animal Crossing\Cards\Series 3</v>
      </c>
      <c r="C397" s="3" t="str">
        <f>新!B396</f>
        <v>[AC] 279 - Biskit.bin</v>
      </c>
      <c r="D397" s="2" t="str">
        <f>IFERROR(INDEX(旧!A:A,MATCH(测试!A397,旧!E:E,0)),0)</f>
        <v>Animal Crossing\Cards - Series 3</v>
      </c>
      <c r="E397" s="2" t="str">
        <f>IFERROR(INDEX(旧!B:B,MATCH(测试!A397,旧!E:E,0)),0)</f>
        <v>[AC] 279 - Biskit.bin</v>
      </c>
      <c r="F397" s="9">
        <f>IFERROR(IF(B397=INDEX(转换!B:B,MATCH(D397,转换!A:A,0)),0,1),1)</f>
        <v>0</v>
      </c>
      <c r="G397" s="9">
        <f t="shared" si="12"/>
        <v>0</v>
      </c>
      <c r="H397" s="9" t="str">
        <f t="shared" si="13"/>
        <v>-</v>
      </c>
    </row>
    <row r="398" spans="1:8" x14ac:dyDescent="0.3">
      <c r="A398" s="3" t="str">
        <f>新!E397</f>
        <v>CRC32:E0696B6C</v>
      </c>
      <c r="B398" s="3" t="str">
        <f>新!A397</f>
        <v>Animal Crossing\Cards\Series 3</v>
      </c>
      <c r="C398" s="3" t="str">
        <f>新!B397</f>
        <v>[AC] 280 - Victoria.bin</v>
      </c>
      <c r="D398" s="2" t="str">
        <f>IFERROR(INDEX(旧!A:A,MATCH(测试!A398,旧!E:E,0)),0)</f>
        <v>Animal Crossing\Cards - Series 3</v>
      </c>
      <c r="E398" s="2" t="str">
        <f>IFERROR(INDEX(旧!B:B,MATCH(测试!A398,旧!E:E,0)),0)</f>
        <v>[AC] 280 - Victoria.bin</v>
      </c>
      <c r="F398" s="9">
        <f>IFERROR(IF(B398=INDEX(转换!B:B,MATCH(D398,转换!A:A,0)),0,1),1)</f>
        <v>0</v>
      </c>
      <c r="G398" s="9">
        <f t="shared" si="12"/>
        <v>0</v>
      </c>
      <c r="H398" s="9" t="str">
        <f t="shared" si="13"/>
        <v>-</v>
      </c>
    </row>
    <row r="399" spans="1:8" x14ac:dyDescent="0.3">
      <c r="A399" s="3" t="str">
        <f>新!E398</f>
        <v>CRC32:D52C4740</v>
      </c>
      <c r="B399" s="3" t="str">
        <f>新!A398</f>
        <v>Animal Crossing\Cards\Series 3</v>
      </c>
      <c r="C399" s="3" t="str">
        <f>新!B398</f>
        <v>[AC] 281 - Lyman.bin</v>
      </c>
      <c r="D399" s="2" t="str">
        <f>IFERROR(INDEX(旧!A:A,MATCH(测试!A399,旧!E:E,0)),0)</f>
        <v>Animal Crossing\Cards - Series 3</v>
      </c>
      <c r="E399" s="2" t="str">
        <f>IFERROR(INDEX(旧!B:B,MATCH(测试!A399,旧!E:E,0)),0)</f>
        <v>[AC] 281 - Lyman.bin</v>
      </c>
      <c r="F399" s="9">
        <f>IFERROR(IF(B399=INDEX(转换!B:B,MATCH(D399,转换!A:A,0)),0,1),1)</f>
        <v>0</v>
      </c>
      <c r="G399" s="9">
        <f t="shared" si="12"/>
        <v>0</v>
      </c>
      <c r="H399" s="9" t="str">
        <f t="shared" si="13"/>
        <v>-</v>
      </c>
    </row>
    <row r="400" spans="1:8" x14ac:dyDescent="0.3">
      <c r="A400" s="3" t="str">
        <f>新!E399</f>
        <v>CRC32:60C8E434</v>
      </c>
      <c r="B400" s="3" t="str">
        <f>新!A399</f>
        <v>Animal Crossing\Cards\Series 3</v>
      </c>
      <c r="C400" s="3" t="str">
        <f>新!B399</f>
        <v>[AC] 282 - Violet.bin</v>
      </c>
      <c r="D400" s="2" t="str">
        <f>IFERROR(INDEX(旧!A:A,MATCH(测试!A400,旧!E:E,0)),0)</f>
        <v>Animal Crossing\Cards - Series 3</v>
      </c>
      <c r="E400" s="2" t="str">
        <f>IFERROR(INDEX(旧!B:B,MATCH(测试!A400,旧!E:E,0)),0)</f>
        <v>[AC] 282 - Violet.bin</v>
      </c>
      <c r="F400" s="9">
        <f>IFERROR(IF(B400=INDEX(转换!B:B,MATCH(D400,转换!A:A,0)),0,1),1)</f>
        <v>0</v>
      </c>
      <c r="G400" s="9">
        <f t="shared" si="12"/>
        <v>0</v>
      </c>
      <c r="H400" s="9" t="str">
        <f t="shared" si="13"/>
        <v>-</v>
      </c>
    </row>
    <row r="401" spans="1:8" x14ac:dyDescent="0.3">
      <c r="A401" s="3" t="str">
        <f>新!E400</f>
        <v>CRC32:A4A9DDD4</v>
      </c>
      <c r="B401" s="3" t="str">
        <f>新!A400</f>
        <v>Animal Crossing\Cards\Series 3</v>
      </c>
      <c r="C401" s="3" t="str">
        <f>新!B400</f>
        <v>[AC] 283 - Frank.bin</v>
      </c>
      <c r="D401" s="2" t="str">
        <f>IFERROR(INDEX(旧!A:A,MATCH(测试!A401,旧!E:E,0)),0)</f>
        <v>Animal Crossing\Cards - Series 3</v>
      </c>
      <c r="E401" s="2" t="str">
        <f>IFERROR(INDEX(旧!B:B,MATCH(测试!A401,旧!E:E,0)),0)</f>
        <v>[AC] 283 - Frank.bin</v>
      </c>
      <c r="F401" s="9">
        <f>IFERROR(IF(B401=INDEX(转换!B:B,MATCH(D401,转换!A:A,0)),0,1),1)</f>
        <v>0</v>
      </c>
      <c r="G401" s="9">
        <f t="shared" si="12"/>
        <v>0</v>
      </c>
      <c r="H401" s="9" t="str">
        <f t="shared" si="13"/>
        <v>-</v>
      </c>
    </row>
    <row r="402" spans="1:8" x14ac:dyDescent="0.3">
      <c r="A402" s="3" t="str">
        <f>新!E401</f>
        <v>CRC32:8803225A</v>
      </c>
      <c r="B402" s="3" t="str">
        <f>新!A401</f>
        <v>Animal Crossing\Cards\Series 3</v>
      </c>
      <c r="C402" s="3" t="str">
        <f>新!B401</f>
        <v>[AC] 284 - Chadder.bin</v>
      </c>
      <c r="D402" s="2" t="str">
        <f>IFERROR(INDEX(旧!A:A,MATCH(测试!A402,旧!E:E,0)),0)</f>
        <v>Animal Crossing\Cards - Series 3</v>
      </c>
      <c r="E402" s="2" t="str">
        <f>IFERROR(INDEX(旧!B:B,MATCH(测试!A402,旧!E:E,0)),0)</f>
        <v>[AC] 284 - Chadder.bin</v>
      </c>
      <c r="F402" s="9">
        <f>IFERROR(IF(B402=INDEX(转换!B:B,MATCH(D402,转换!A:A,0)),0,1),1)</f>
        <v>0</v>
      </c>
      <c r="G402" s="9">
        <f t="shared" si="12"/>
        <v>0</v>
      </c>
      <c r="H402" s="9" t="str">
        <f t="shared" si="13"/>
        <v>-</v>
      </c>
    </row>
    <row r="403" spans="1:8" x14ac:dyDescent="0.3">
      <c r="A403" s="3" t="str">
        <f>新!E402</f>
        <v>CRC32:243EFA06</v>
      </c>
      <c r="B403" s="3" t="str">
        <f>新!A402</f>
        <v>Animal Crossing\Cards\Series 3</v>
      </c>
      <c r="C403" s="3" t="str">
        <f>新!B402</f>
        <v>[AC] 285 - Merengue.bin</v>
      </c>
      <c r="D403" s="2" t="str">
        <f>IFERROR(INDEX(旧!A:A,MATCH(测试!A403,旧!E:E,0)),0)</f>
        <v>Animal Crossing\Cards - Series 3</v>
      </c>
      <c r="E403" s="2" t="str">
        <f>IFERROR(INDEX(旧!B:B,MATCH(测试!A403,旧!E:E,0)),0)</f>
        <v>[AC] 285 - Merengue.bin</v>
      </c>
      <c r="F403" s="9">
        <f>IFERROR(IF(B403=INDEX(转换!B:B,MATCH(D403,转换!A:A,0)),0,1),1)</f>
        <v>0</v>
      </c>
      <c r="G403" s="9">
        <f t="shared" si="12"/>
        <v>0</v>
      </c>
      <c r="H403" s="9" t="str">
        <f t="shared" si="13"/>
        <v>-</v>
      </c>
    </row>
    <row r="404" spans="1:8" x14ac:dyDescent="0.3">
      <c r="A404" s="3" t="str">
        <f>新!E403</f>
        <v>CRC32:27EC2F2E</v>
      </c>
      <c r="B404" s="3" t="str">
        <f>新!A403</f>
        <v>Animal Crossing\Cards\Series 3</v>
      </c>
      <c r="C404" s="3" t="str">
        <f>新!B403</f>
        <v>[AC] 286 - Cube.bin</v>
      </c>
      <c r="D404" s="2" t="str">
        <f>IFERROR(INDEX(旧!A:A,MATCH(测试!A404,旧!E:E,0)),0)</f>
        <v>Animal Crossing\Cards - Series 3</v>
      </c>
      <c r="E404" s="2" t="str">
        <f>IFERROR(INDEX(旧!B:B,MATCH(测试!A404,旧!E:E,0)),0)</f>
        <v>[AC] 286 - Cube.bin</v>
      </c>
      <c r="F404" s="9">
        <f>IFERROR(IF(B404=INDEX(转换!B:B,MATCH(D404,转换!A:A,0)),0,1),1)</f>
        <v>0</v>
      </c>
      <c r="G404" s="9">
        <f t="shared" si="12"/>
        <v>0</v>
      </c>
      <c r="H404" s="9" t="str">
        <f t="shared" si="13"/>
        <v>-</v>
      </c>
    </row>
    <row r="405" spans="1:8" x14ac:dyDescent="0.3">
      <c r="A405" s="3" t="str">
        <f>新!E404</f>
        <v>CRC32:B5A8B09F</v>
      </c>
      <c r="B405" s="3" t="str">
        <f>新!A404</f>
        <v>Animal Crossing\Cards\Series 3</v>
      </c>
      <c r="C405" s="3" t="str">
        <f>新!B404</f>
        <v>[AC] 287 - Claudia.bin</v>
      </c>
      <c r="D405" s="2" t="str">
        <f>IFERROR(INDEX(旧!A:A,MATCH(测试!A405,旧!E:E,0)),0)</f>
        <v>Animal Crossing\Cards - Series 3</v>
      </c>
      <c r="E405" s="2" t="str">
        <f>IFERROR(INDEX(旧!B:B,MATCH(测试!A405,旧!E:E,0)),0)</f>
        <v>[AC] 287 - Claudia.bin</v>
      </c>
      <c r="F405" s="9">
        <f>IFERROR(IF(B405=INDEX(转换!B:B,MATCH(D405,转换!A:A,0)),0,1),1)</f>
        <v>0</v>
      </c>
      <c r="G405" s="9">
        <f t="shared" si="12"/>
        <v>0</v>
      </c>
      <c r="H405" s="9" t="str">
        <f t="shared" si="13"/>
        <v>-</v>
      </c>
    </row>
    <row r="406" spans="1:8" x14ac:dyDescent="0.3">
      <c r="A406" s="3" t="str">
        <f>新!E405</f>
        <v>CRC32:4A645395</v>
      </c>
      <c r="B406" s="3" t="str">
        <f>新!A405</f>
        <v>Animal Crossing\Cards\Series 3</v>
      </c>
      <c r="C406" s="3" t="str">
        <f>新!B405</f>
        <v>[AC] 288 - Curly.bin</v>
      </c>
      <c r="D406" s="2" t="str">
        <f>IFERROR(INDEX(旧!A:A,MATCH(测试!A406,旧!E:E,0)),0)</f>
        <v>Animal Crossing\Cards - Series 3</v>
      </c>
      <c r="E406" s="2" t="str">
        <f>IFERROR(INDEX(旧!B:B,MATCH(测试!A406,旧!E:E,0)),0)</f>
        <v>[AC] 288 - Curly.bin</v>
      </c>
      <c r="F406" s="9">
        <f>IFERROR(IF(B406=INDEX(转换!B:B,MATCH(D406,转换!A:A,0)),0,1),1)</f>
        <v>0</v>
      </c>
      <c r="G406" s="9">
        <f t="shared" si="12"/>
        <v>0</v>
      </c>
      <c r="H406" s="9" t="str">
        <f t="shared" si="13"/>
        <v>-</v>
      </c>
    </row>
    <row r="407" spans="1:8" x14ac:dyDescent="0.3">
      <c r="A407" s="3" t="str">
        <f>新!E406</f>
        <v>CRC32:19D385E5</v>
      </c>
      <c r="B407" s="3" t="str">
        <f>新!A406</f>
        <v>Animal Crossing\Cards\Series 3</v>
      </c>
      <c r="C407" s="3" t="str">
        <f>新!B406</f>
        <v>[AC] 289 - Boomer.bin</v>
      </c>
      <c r="D407" s="2" t="str">
        <f>IFERROR(INDEX(旧!A:A,MATCH(测试!A407,旧!E:E,0)),0)</f>
        <v>Animal Crossing\Cards - Series 3</v>
      </c>
      <c r="E407" s="2" t="str">
        <f>IFERROR(INDEX(旧!B:B,MATCH(测试!A407,旧!E:E,0)),0)</f>
        <v>[AC] 289 - Boomer.bin</v>
      </c>
      <c r="F407" s="9">
        <f>IFERROR(IF(B407=INDEX(转换!B:B,MATCH(D407,转换!A:A,0)),0,1),1)</f>
        <v>0</v>
      </c>
      <c r="G407" s="9">
        <f t="shared" si="12"/>
        <v>0</v>
      </c>
      <c r="H407" s="9" t="str">
        <f t="shared" si="13"/>
        <v>-</v>
      </c>
    </row>
    <row r="408" spans="1:8" x14ac:dyDescent="0.3">
      <c r="A408" s="3" t="str">
        <f>新!E407</f>
        <v>CRC32:FE7BD606</v>
      </c>
      <c r="B408" s="3" t="str">
        <f>新!A407</f>
        <v>Animal Crossing\Cards\Series 3</v>
      </c>
      <c r="C408" s="3" t="str">
        <f>新!B407</f>
        <v>[AC] 290 - Caroline.bin</v>
      </c>
      <c r="D408" s="2" t="str">
        <f>IFERROR(INDEX(旧!A:A,MATCH(测试!A408,旧!E:E,0)),0)</f>
        <v>Animal Crossing\Cards - Series 3</v>
      </c>
      <c r="E408" s="2" t="str">
        <f>IFERROR(INDEX(旧!B:B,MATCH(测试!A408,旧!E:E,0)),0)</f>
        <v>[AC] 290 - Caroline.bin</v>
      </c>
      <c r="F408" s="9">
        <f>IFERROR(IF(B408=INDEX(转换!B:B,MATCH(D408,转换!A:A,0)),0,1),1)</f>
        <v>0</v>
      </c>
      <c r="G408" s="9">
        <f t="shared" si="12"/>
        <v>0</v>
      </c>
      <c r="H408" s="9" t="str">
        <f t="shared" si="13"/>
        <v>-</v>
      </c>
    </row>
    <row r="409" spans="1:8" x14ac:dyDescent="0.3">
      <c r="A409" s="3" t="str">
        <f>新!E408</f>
        <v>CRC32:A68F4844</v>
      </c>
      <c r="B409" s="3" t="str">
        <f>新!A408</f>
        <v>Animal Crossing\Cards\Series 3</v>
      </c>
      <c r="C409" s="3" t="str">
        <f>新!B408</f>
        <v>[AC] 291 - Sparro.bin</v>
      </c>
      <c r="D409" s="2" t="str">
        <f>IFERROR(INDEX(旧!A:A,MATCH(测试!A409,旧!E:E,0)),0)</f>
        <v>Animal Crossing\Cards - Series 3</v>
      </c>
      <c r="E409" s="2" t="str">
        <f>IFERROR(INDEX(旧!B:B,MATCH(测试!A409,旧!E:E,0)),0)</f>
        <v>[AC] 291 - Sparro.bin</v>
      </c>
      <c r="F409" s="9">
        <f>IFERROR(IF(B409=INDEX(转换!B:B,MATCH(D409,转换!A:A,0)),0,1),1)</f>
        <v>0</v>
      </c>
      <c r="G409" s="9">
        <f t="shared" si="12"/>
        <v>0</v>
      </c>
      <c r="H409" s="9" t="str">
        <f t="shared" si="13"/>
        <v>-</v>
      </c>
    </row>
    <row r="410" spans="1:8" x14ac:dyDescent="0.3">
      <c r="A410" s="3" t="str">
        <f>新!E409</f>
        <v>CRC32:6CCCD74B</v>
      </c>
      <c r="B410" s="3" t="str">
        <f>新!A409</f>
        <v>Animal Crossing\Cards\Series 3</v>
      </c>
      <c r="C410" s="3" t="str">
        <f>新!B409</f>
        <v>[AC] 292 - Baabara.bin</v>
      </c>
      <c r="D410" s="2" t="str">
        <f>IFERROR(INDEX(旧!A:A,MATCH(测试!A410,旧!E:E,0)),0)</f>
        <v>Animal Crossing\Cards - Series 3</v>
      </c>
      <c r="E410" s="2" t="str">
        <f>IFERROR(INDEX(旧!B:B,MATCH(测试!A410,旧!E:E,0)),0)</f>
        <v>[AC] 292 - Baabara.bin</v>
      </c>
      <c r="F410" s="9">
        <f>IFERROR(IF(B410=INDEX(转换!B:B,MATCH(D410,转换!A:A,0)),0,1),1)</f>
        <v>0</v>
      </c>
      <c r="G410" s="9">
        <f t="shared" si="12"/>
        <v>0</v>
      </c>
      <c r="H410" s="9" t="str">
        <f t="shared" si="13"/>
        <v>-</v>
      </c>
    </row>
    <row r="411" spans="1:8" x14ac:dyDescent="0.3">
      <c r="A411" s="3" t="str">
        <f>新!E410</f>
        <v>CRC32:9BED1A0D</v>
      </c>
      <c r="B411" s="3" t="str">
        <f>新!A410</f>
        <v>Animal Crossing\Cards\Series 3</v>
      </c>
      <c r="C411" s="3" t="str">
        <f>新!B410</f>
        <v>[AC] 293 - Rolf.bin</v>
      </c>
      <c r="D411" s="2" t="str">
        <f>IFERROR(INDEX(旧!A:A,MATCH(测试!A411,旧!E:E,0)),0)</f>
        <v>Animal Crossing\Cards - Series 3</v>
      </c>
      <c r="E411" s="2" t="str">
        <f>IFERROR(INDEX(旧!B:B,MATCH(测试!A411,旧!E:E,0)),0)</f>
        <v>[AC] 293 - Rolf.bin</v>
      </c>
      <c r="F411" s="9">
        <f>IFERROR(IF(B411=INDEX(转换!B:B,MATCH(D411,转换!A:A,0)),0,1),1)</f>
        <v>0</v>
      </c>
      <c r="G411" s="9">
        <f t="shared" si="12"/>
        <v>0</v>
      </c>
      <c r="H411" s="9" t="str">
        <f t="shared" si="13"/>
        <v>-</v>
      </c>
    </row>
    <row r="412" spans="1:8" x14ac:dyDescent="0.3">
      <c r="A412" s="3" t="str">
        <f>新!E411</f>
        <v>CRC32:8749DEAF</v>
      </c>
      <c r="B412" s="3" t="str">
        <f>新!A411</f>
        <v>Animal Crossing\Cards\Series 3</v>
      </c>
      <c r="C412" s="3" t="str">
        <f>新!B411</f>
        <v>[AC] 294 - Maple.bin</v>
      </c>
      <c r="D412" s="2" t="str">
        <f>IFERROR(INDEX(旧!A:A,MATCH(测试!A412,旧!E:E,0)),0)</f>
        <v>Animal Crossing\Cards - Series 3</v>
      </c>
      <c r="E412" s="2" t="str">
        <f>IFERROR(INDEX(旧!B:B,MATCH(测试!A412,旧!E:E,0)),0)</f>
        <v>[AC] 294 - Maple.bin</v>
      </c>
      <c r="F412" s="9">
        <f>IFERROR(IF(B412=INDEX(转换!B:B,MATCH(D412,转换!A:A,0)),0,1),1)</f>
        <v>0</v>
      </c>
      <c r="G412" s="9">
        <f t="shared" si="12"/>
        <v>0</v>
      </c>
      <c r="H412" s="9" t="str">
        <f t="shared" si="13"/>
        <v>-</v>
      </c>
    </row>
    <row r="413" spans="1:8" x14ac:dyDescent="0.3">
      <c r="A413" s="3" t="str">
        <f>新!E412</f>
        <v>CRC32:BF3D1764</v>
      </c>
      <c r="B413" s="3" t="str">
        <f>新!A412</f>
        <v>Animal Crossing\Cards\Series 3</v>
      </c>
      <c r="C413" s="3" t="str">
        <f>新!B412</f>
        <v>[AC] 295 - Antonio.bin</v>
      </c>
      <c r="D413" s="2" t="str">
        <f>IFERROR(INDEX(旧!A:A,MATCH(测试!A413,旧!E:E,0)),0)</f>
        <v>Animal Crossing\Cards - Series 3</v>
      </c>
      <c r="E413" s="2" t="str">
        <f>IFERROR(INDEX(旧!B:B,MATCH(测试!A413,旧!E:E,0)),0)</f>
        <v>[AC] 295 - Antonio.bin</v>
      </c>
      <c r="F413" s="9">
        <f>IFERROR(IF(B413=INDEX(转换!B:B,MATCH(D413,转换!A:A,0)),0,1),1)</f>
        <v>0</v>
      </c>
      <c r="G413" s="9">
        <f t="shared" si="12"/>
        <v>0</v>
      </c>
      <c r="H413" s="9" t="str">
        <f t="shared" si="13"/>
        <v>-</v>
      </c>
    </row>
    <row r="414" spans="1:8" x14ac:dyDescent="0.3">
      <c r="A414" s="3" t="str">
        <f>新!E413</f>
        <v>CRC32:F50A95BF</v>
      </c>
      <c r="B414" s="3" t="str">
        <f>新!A413</f>
        <v>Animal Crossing\Cards\Series 3</v>
      </c>
      <c r="C414" s="3" t="str">
        <f>新!B413</f>
        <v>[AC] 296 - Soleil.bin</v>
      </c>
      <c r="D414" s="2" t="str">
        <f>IFERROR(INDEX(旧!A:A,MATCH(测试!A414,旧!E:E,0)),0)</f>
        <v>Animal Crossing\Cards - Series 3</v>
      </c>
      <c r="E414" s="2" t="str">
        <f>IFERROR(INDEX(旧!B:B,MATCH(测试!A414,旧!E:E,0)),0)</f>
        <v>[AC] 296 - Soleil.bin</v>
      </c>
      <c r="F414" s="9">
        <f>IFERROR(IF(B414=INDEX(转换!B:B,MATCH(D414,转换!A:A,0)),0,1),1)</f>
        <v>0</v>
      </c>
      <c r="G414" s="9">
        <f t="shared" si="12"/>
        <v>0</v>
      </c>
      <c r="H414" s="9" t="str">
        <f t="shared" si="13"/>
        <v>-</v>
      </c>
    </row>
    <row r="415" spans="1:8" x14ac:dyDescent="0.3">
      <c r="A415" s="3" t="str">
        <f>新!E414</f>
        <v>CRC32:B341F345</v>
      </c>
      <c r="B415" s="3" t="str">
        <f>新!A414</f>
        <v>Animal Crossing\Cards\Series 3</v>
      </c>
      <c r="C415" s="3" t="str">
        <f>新!B414</f>
        <v>[AC] 297 - Apollo.bin</v>
      </c>
      <c r="D415" s="2" t="str">
        <f>IFERROR(INDEX(旧!A:A,MATCH(测试!A415,旧!E:E,0)),0)</f>
        <v>Animal Crossing\Cards - Series 3</v>
      </c>
      <c r="E415" s="2" t="str">
        <f>IFERROR(INDEX(旧!B:B,MATCH(测试!A415,旧!E:E,0)),0)</f>
        <v>[AC] 297 - Apollo.bin</v>
      </c>
      <c r="F415" s="9">
        <f>IFERROR(IF(B415=INDEX(转换!B:B,MATCH(D415,转换!A:A,0)),0,1),1)</f>
        <v>0</v>
      </c>
      <c r="G415" s="9">
        <f t="shared" si="12"/>
        <v>0</v>
      </c>
      <c r="H415" s="9" t="str">
        <f t="shared" si="13"/>
        <v>-</v>
      </c>
    </row>
    <row r="416" spans="1:8" x14ac:dyDescent="0.3">
      <c r="A416" s="3" t="str">
        <f>新!E415</f>
        <v>CRC32:8A2BB350</v>
      </c>
      <c r="B416" s="3" t="str">
        <f>新!A415</f>
        <v>Animal Crossing\Cards\Series 3</v>
      </c>
      <c r="C416" s="3" t="str">
        <f>新!B415</f>
        <v>[AC] 298 - Derwin.bin</v>
      </c>
      <c r="D416" s="2" t="str">
        <f>IFERROR(INDEX(旧!A:A,MATCH(测试!A416,旧!E:E,0)),0)</f>
        <v>Animal Crossing\Cards - Series 3</v>
      </c>
      <c r="E416" s="2" t="str">
        <f>IFERROR(INDEX(旧!B:B,MATCH(测试!A416,旧!E:E,0)),0)</f>
        <v>[AC] 298 - Derwin.bin</v>
      </c>
      <c r="F416" s="9">
        <f>IFERROR(IF(B416=INDEX(转换!B:B,MATCH(D416,转换!A:A,0)),0,1),1)</f>
        <v>0</v>
      </c>
      <c r="G416" s="9">
        <f t="shared" si="12"/>
        <v>0</v>
      </c>
      <c r="H416" s="9" t="str">
        <f t="shared" si="13"/>
        <v>-</v>
      </c>
    </row>
    <row r="417" spans="1:8" x14ac:dyDescent="0.3">
      <c r="A417" s="3" t="str">
        <f>新!E416</f>
        <v>CRC32:75E715C6</v>
      </c>
      <c r="B417" s="3" t="str">
        <f>新!A416</f>
        <v>Animal Crossing\Cards\Series 3</v>
      </c>
      <c r="C417" s="3" t="str">
        <f>新!B416</f>
        <v>[AC] 299 - Francine.bin</v>
      </c>
      <c r="D417" s="2" t="str">
        <f>IFERROR(INDEX(旧!A:A,MATCH(测试!A417,旧!E:E,0)),0)</f>
        <v>Animal Crossing\Cards - Series 3</v>
      </c>
      <c r="E417" s="2" t="str">
        <f>IFERROR(INDEX(旧!B:B,MATCH(测试!A417,旧!E:E,0)),0)</f>
        <v>[AC] 299 - Francine.bin</v>
      </c>
      <c r="F417" s="9">
        <f>IFERROR(IF(B417=INDEX(转换!B:B,MATCH(D417,转换!A:A,0)),0,1),1)</f>
        <v>0</v>
      </c>
      <c r="G417" s="9">
        <f t="shared" si="12"/>
        <v>0</v>
      </c>
      <c r="H417" s="9" t="str">
        <f t="shared" si="13"/>
        <v>-</v>
      </c>
    </row>
    <row r="418" spans="1:8" x14ac:dyDescent="0.3">
      <c r="A418" s="3" t="str">
        <f>新!E417</f>
        <v>CRC32:56333EB2</v>
      </c>
      <c r="B418" s="3" t="str">
        <f>新!A417</f>
        <v>Animal Crossing\Cards\Series 3</v>
      </c>
      <c r="C418" s="3" t="str">
        <f>新!B417</f>
        <v>[AC] 300 - Chrissy.bin</v>
      </c>
      <c r="D418" s="2" t="str">
        <f>IFERROR(INDEX(旧!A:A,MATCH(测试!A418,旧!E:E,0)),0)</f>
        <v>Animal Crossing\Cards - Series 3</v>
      </c>
      <c r="E418" s="2" t="str">
        <f>IFERROR(INDEX(旧!B:B,MATCH(测试!A418,旧!E:E,0)),0)</f>
        <v>[AC] 300 - Chrissy.bin</v>
      </c>
      <c r="F418" s="9">
        <f>IFERROR(IF(B418=INDEX(转换!B:B,MATCH(D418,转换!A:A,0)),0,1),1)</f>
        <v>0</v>
      </c>
      <c r="G418" s="9">
        <f t="shared" si="12"/>
        <v>0</v>
      </c>
      <c r="H418" s="9" t="str">
        <f t="shared" si="13"/>
        <v>-</v>
      </c>
    </row>
    <row r="419" spans="1:8" x14ac:dyDescent="0.3">
      <c r="A419" s="3" t="str">
        <f>新!E418</f>
        <v>CRC32:4B73733D</v>
      </c>
      <c r="B419" s="3" t="str">
        <f>新!A418</f>
        <v>Animal Crossing\Cards\Series 4</v>
      </c>
      <c r="C419" s="3" t="str">
        <f>新!B418</f>
        <v>[AC] 301 - Isabelle (Dress).bin</v>
      </c>
      <c r="D419" s="2" t="str">
        <f>IFERROR(INDEX(旧!A:A,MATCH(测试!A419,旧!E:E,0)),0)</f>
        <v>Animal Crossing\Cards - Series 4</v>
      </c>
      <c r="E419" s="2" t="str">
        <f>IFERROR(INDEX(旧!B:B,MATCH(测试!A419,旧!E:E,0)),0)</f>
        <v>[AC] 301 - Isabelle.bin</v>
      </c>
      <c r="F419" s="9">
        <f>IFERROR(IF(B419=INDEX(转换!B:B,MATCH(D419,转换!A:A,0)),0,1),1)</f>
        <v>0</v>
      </c>
      <c r="G419" s="9">
        <f t="shared" si="12"/>
        <v>1</v>
      </c>
      <c r="H419" s="9" t="str">
        <f t="shared" si="13"/>
        <v>文件名错误</v>
      </c>
    </row>
    <row r="420" spans="1:8" x14ac:dyDescent="0.3">
      <c r="A420" s="3" t="str">
        <f>新!E419</f>
        <v>CRC32:46774C3F</v>
      </c>
      <c r="B420" s="3" t="str">
        <f>新!A419</f>
        <v>Animal Crossing\Cards\Series 4</v>
      </c>
      <c r="C420" s="3" t="str">
        <f>新!B419</f>
        <v>[AC] 302 - Brewster.bin</v>
      </c>
      <c r="D420" s="2" t="str">
        <f>IFERROR(INDEX(旧!A:A,MATCH(测试!A420,旧!E:E,0)),0)</f>
        <v>Animal Crossing\Cards - Series 4</v>
      </c>
      <c r="E420" s="2" t="str">
        <f>IFERROR(INDEX(旧!B:B,MATCH(测试!A420,旧!E:E,0)),0)</f>
        <v>[AC] 302 - Brewster.bin</v>
      </c>
      <c r="F420" s="9">
        <f>IFERROR(IF(B420=INDEX(转换!B:B,MATCH(D420,转换!A:A,0)),0,1),1)</f>
        <v>0</v>
      </c>
      <c r="G420" s="9">
        <f t="shared" si="12"/>
        <v>0</v>
      </c>
      <c r="H420" s="9" t="str">
        <f t="shared" si="13"/>
        <v>-</v>
      </c>
    </row>
    <row r="421" spans="1:8" x14ac:dyDescent="0.3">
      <c r="A421" s="3" t="str">
        <f>新!E420</f>
        <v>CRC32:3E0CC945</v>
      </c>
      <c r="B421" s="3" t="str">
        <f>新!A420</f>
        <v>Animal Crossing\Cards\Series 4</v>
      </c>
      <c r="C421" s="3" t="str">
        <f>新!B420</f>
        <v>[AC] 303 - Katrina.bin</v>
      </c>
      <c r="D421" s="2" t="str">
        <f>IFERROR(INDEX(旧!A:A,MATCH(测试!A421,旧!E:E,0)),0)</f>
        <v>Animal Crossing\Cards - Series 4</v>
      </c>
      <c r="E421" s="2" t="str">
        <f>IFERROR(INDEX(旧!B:B,MATCH(测试!A421,旧!E:E,0)),0)</f>
        <v>[AC] 303 - Katrina.bin</v>
      </c>
      <c r="F421" s="9">
        <f>IFERROR(IF(B421=INDEX(转换!B:B,MATCH(D421,转换!A:A,0)),0,1),1)</f>
        <v>0</v>
      </c>
      <c r="G421" s="9">
        <f t="shared" si="12"/>
        <v>0</v>
      </c>
      <c r="H421" s="9" t="str">
        <f t="shared" si="13"/>
        <v>-</v>
      </c>
    </row>
    <row r="422" spans="1:8" x14ac:dyDescent="0.3">
      <c r="A422" s="3" t="str">
        <f>新!E421</f>
        <v>CRC32:611FC49F</v>
      </c>
      <c r="B422" s="3" t="str">
        <f>新!A421</f>
        <v>Animal Crossing\Cards\Series 4</v>
      </c>
      <c r="C422" s="3" t="str">
        <f>新!B421</f>
        <v>[AC] 304 - Phineas.bin</v>
      </c>
      <c r="D422" s="2" t="str">
        <f>IFERROR(INDEX(旧!A:A,MATCH(测试!A422,旧!E:E,0)),0)</f>
        <v>Animal Crossing\Cards - Series 4</v>
      </c>
      <c r="E422" s="2" t="str">
        <f>IFERROR(INDEX(旧!B:B,MATCH(测试!A422,旧!E:E,0)),0)</f>
        <v>[AC] 304 - Phineas.bin</v>
      </c>
      <c r="F422" s="9">
        <f>IFERROR(IF(B422=INDEX(转换!B:B,MATCH(D422,转换!A:A,0)),0,1),1)</f>
        <v>0</v>
      </c>
      <c r="G422" s="9">
        <f t="shared" si="12"/>
        <v>0</v>
      </c>
      <c r="H422" s="9" t="str">
        <f t="shared" si="13"/>
        <v>-</v>
      </c>
    </row>
    <row r="423" spans="1:8" x14ac:dyDescent="0.3">
      <c r="A423" s="3" t="str">
        <f>新!E422</f>
        <v>CRC32:384B4C6E</v>
      </c>
      <c r="B423" s="3" t="str">
        <f>新!A422</f>
        <v>Animal Crossing\Cards\Series 4</v>
      </c>
      <c r="C423" s="3" t="str">
        <f>新!B422</f>
        <v>[AC] 305 - Celeste.bin</v>
      </c>
      <c r="D423" s="2" t="str">
        <f>IFERROR(INDEX(旧!A:A,MATCH(测试!A423,旧!E:E,0)),0)</f>
        <v>Animal Crossing\Cards - Series 4</v>
      </c>
      <c r="E423" s="2" t="str">
        <f>IFERROR(INDEX(旧!B:B,MATCH(测试!A423,旧!E:E,0)),0)</f>
        <v>[AC] 305 - Celeste.bin</v>
      </c>
      <c r="F423" s="9">
        <f>IFERROR(IF(B423=INDEX(转换!B:B,MATCH(D423,转换!A:A,0)),0,1),1)</f>
        <v>0</v>
      </c>
      <c r="G423" s="9">
        <f t="shared" si="12"/>
        <v>0</v>
      </c>
      <c r="H423" s="9" t="str">
        <f t="shared" si="13"/>
        <v>-</v>
      </c>
    </row>
    <row r="424" spans="1:8" x14ac:dyDescent="0.3">
      <c r="A424" s="3" t="str">
        <f>新!E423</f>
        <v>CRC32:A857415C</v>
      </c>
      <c r="B424" s="3" t="str">
        <f>新!A423</f>
        <v>Animal Crossing\Cards\Series 4</v>
      </c>
      <c r="C424" s="3" t="str">
        <f>新!B423</f>
        <v>[AC] 306 - Tommy.bin</v>
      </c>
      <c r="D424" s="2" t="str">
        <f>IFERROR(INDEX(旧!A:A,MATCH(测试!A424,旧!E:E,0)),0)</f>
        <v>Animal Crossing\Cards - Series 4</v>
      </c>
      <c r="E424" s="2" t="str">
        <f>IFERROR(INDEX(旧!B:B,MATCH(测试!A424,旧!E:E,0)),0)</f>
        <v>[AC] 306 - Tommy.bin</v>
      </c>
      <c r="F424" s="9">
        <f>IFERROR(IF(B424=INDEX(转换!B:B,MATCH(D424,转换!A:A,0)),0,1),1)</f>
        <v>0</v>
      </c>
      <c r="G424" s="9">
        <f t="shared" si="12"/>
        <v>0</v>
      </c>
      <c r="H424" s="9" t="str">
        <f t="shared" si="13"/>
        <v>-</v>
      </c>
    </row>
    <row r="425" spans="1:8" x14ac:dyDescent="0.3">
      <c r="A425" s="3" t="str">
        <f>新!E424</f>
        <v>CRC32:BF88B2EC</v>
      </c>
      <c r="B425" s="3" t="str">
        <f>新!A424</f>
        <v>Animal Crossing\Cards\Series 4</v>
      </c>
      <c r="C425" s="3" t="str">
        <f>新!B424</f>
        <v>[AC] 307 - Gracie.bin</v>
      </c>
      <c r="D425" s="2" t="str">
        <f>IFERROR(INDEX(旧!A:A,MATCH(测试!A425,旧!E:E,0)),0)</f>
        <v>Animal Crossing\Cards - Series 4</v>
      </c>
      <c r="E425" s="2" t="str">
        <f>IFERROR(INDEX(旧!B:B,MATCH(测试!A425,旧!E:E,0)),0)</f>
        <v>[AC] 307 - Gracie.bin</v>
      </c>
      <c r="F425" s="9">
        <f>IFERROR(IF(B425=INDEX(转换!B:B,MATCH(D425,转换!A:A,0)),0,1),1)</f>
        <v>0</v>
      </c>
      <c r="G425" s="9">
        <f t="shared" si="12"/>
        <v>0</v>
      </c>
      <c r="H425" s="9" t="str">
        <f t="shared" si="13"/>
        <v>-</v>
      </c>
    </row>
    <row r="426" spans="1:8" x14ac:dyDescent="0.3">
      <c r="A426" s="3" t="str">
        <f>新!E425</f>
        <v>CRC32:A4300A17</v>
      </c>
      <c r="B426" s="3" t="str">
        <f>新!A425</f>
        <v>Animal Crossing\Cards\Series 4</v>
      </c>
      <c r="C426" s="3" t="str">
        <f>新!B425</f>
        <v>[AC] 308 - Leilani.bin</v>
      </c>
      <c r="D426" s="2" t="str">
        <f>IFERROR(INDEX(旧!A:A,MATCH(测试!A426,旧!E:E,0)),0)</f>
        <v>Animal Crossing\Cards - Series 4</v>
      </c>
      <c r="E426" s="2" t="str">
        <f>IFERROR(INDEX(旧!B:B,MATCH(测试!A426,旧!E:E,0)),0)</f>
        <v>[AC] 308 - Leilani.bin</v>
      </c>
      <c r="F426" s="9">
        <f>IFERROR(IF(B426=INDEX(转换!B:B,MATCH(D426,转换!A:A,0)),0,1),1)</f>
        <v>0</v>
      </c>
      <c r="G426" s="9">
        <f t="shared" si="12"/>
        <v>0</v>
      </c>
      <c r="H426" s="9" t="str">
        <f t="shared" si="13"/>
        <v>-</v>
      </c>
    </row>
    <row r="427" spans="1:8" x14ac:dyDescent="0.3">
      <c r="A427" s="3" t="str">
        <f>新!E426</f>
        <v>CRC32:82757DFA</v>
      </c>
      <c r="B427" s="3" t="str">
        <f>新!A426</f>
        <v>Animal Crossing\Cards\Series 4</v>
      </c>
      <c r="C427" s="3" t="str">
        <f>新!B426</f>
        <v>[AC] 309 - Resetti.bin</v>
      </c>
      <c r="D427" s="2" t="str">
        <f>IFERROR(INDEX(旧!A:A,MATCH(测试!A427,旧!E:E,0)),0)</f>
        <v>Animal Crossing\Cards - Series 4</v>
      </c>
      <c r="E427" s="2" t="str">
        <f>IFERROR(INDEX(旧!B:B,MATCH(测试!A427,旧!E:E,0)),0)</f>
        <v>[AC] 309 - Resetti.bin</v>
      </c>
      <c r="F427" s="9">
        <f>IFERROR(IF(B427=INDEX(转换!B:B,MATCH(D427,转换!A:A,0)),0,1),1)</f>
        <v>0</v>
      </c>
      <c r="G427" s="9">
        <f t="shared" si="12"/>
        <v>0</v>
      </c>
      <c r="H427" s="9" t="str">
        <f t="shared" si="13"/>
        <v>-</v>
      </c>
    </row>
    <row r="428" spans="1:8" x14ac:dyDescent="0.3">
      <c r="A428" s="3" t="str">
        <f>新!E427</f>
        <v>CRC32:4BB866BB</v>
      </c>
      <c r="B428" s="3" t="str">
        <f>新!A427</f>
        <v>Animal Crossing\Cards\Series 4</v>
      </c>
      <c r="C428" s="3" t="str">
        <f>新!B427</f>
        <v>[AC] 310 - Timmy.bin</v>
      </c>
      <c r="D428" s="2" t="str">
        <f>IFERROR(INDEX(旧!A:A,MATCH(测试!A428,旧!E:E,0)),0)</f>
        <v>Animal Crossing\Cards - Series 4</v>
      </c>
      <c r="E428" s="2" t="str">
        <f>IFERROR(INDEX(旧!B:B,MATCH(测试!A428,旧!E:E,0)),0)</f>
        <v>[AC] 310 - Timmy.bin</v>
      </c>
      <c r="F428" s="9">
        <f>IFERROR(IF(B428=INDEX(转换!B:B,MATCH(D428,转换!A:A,0)),0,1),1)</f>
        <v>0</v>
      </c>
      <c r="G428" s="9">
        <f t="shared" ref="G428:G491" si="14">IF(E428=C428,0,1)</f>
        <v>0</v>
      </c>
      <c r="H428" s="9" t="str">
        <f t="shared" si="13"/>
        <v>-</v>
      </c>
    </row>
    <row r="429" spans="1:8" x14ac:dyDescent="0.3">
      <c r="A429" s="3" t="str">
        <f>新!E428</f>
        <v>CRC32:1A9F8654</v>
      </c>
      <c r="B429" s="3" t="str">
        <f>新!A428</f>
        <v>Animal Crossing\Cards\Series 4</v>
      </c>
      <c r="C429" s="3" t="str">
        <f>新!B428</f>
        <v>[AC] 311 - Lottie.bin</v>
      </c>
      <c r="D429" s="2" t="str">
        <f>IFERROR(INDEX(旧!A:A,MATCH(测试!A429,旧!E:E,0)),0)</f>
        <v>Animal Crossing\Cards - Series 4</v>
      </c>
      <c r="E429" s="2" t="str">
        <f>IFERROR(INDEX(旧!B:B,MATCH(测试!A429,旧!E:E,0)),0)</f>
        <v>[AC] 311 - Lottie.bin</v>
      </c>
      <c r="F429" s="9">
        <f>IFERROR(IF(B429=INDEX(转换!B:B,MATCH(D429,转换!A:A,0)),0,1),1)</f>
        <v>0</v>
      </c>
      <c r="G429" s="9">
        <f t="shared" si="14"/>
        <v>0</v>
      </c>
      <c r="H429" s="9" t="str">
        <f t="shared" si="13"/>
        <v>-</v>
      </c>
    </row>
    <row r="430" spans="1:8" x14ac:dyDescent="0.3">
      <c r="A430" s="3" t="str">
        <f>新!E429</f>
        <v>CRC32:D2681136</v>
      </c>
      <c r="B430" s="3" t="str">
        <f>新!A429</f>
        <v>Animal Crossing\Cards\Series 4</v>
      </c>
      <c r="C430" s="3" t="str">
        <f>新!B429</f>
        <v>[AC] 312 - Shrunk.bin</v>
      </c>
      <c r="D430" s="2" t="str">
        <f>IFERROR(INDEX(旧!A:A,MATCH(测试!A430,旧!E:E,0)),0)</f>
        <v>Animal Crossing\Cards - Series 4</v>
      </c>
      <c r="E430" s="2" t="str">
        <f>IFERROR(INDEX(旧!B:B,MATCH(测试!A430,旧!E:E,0)),0)</f>
        <v>[AC] 312 - Shrunk.bin</v>
      </c>
      <c r="F430" s="9">
        <f>IFERROR(IF(B430=INDEX(转换!B:B,MATCH(D430,转换!A:A,0)),0,1),1)</f>
        <v>0</v>
      </c>
      <c r="G430" s="9">
        <f t="shared" si="14"/>
        <v>0</v>
      </c>
      <c r="H430" s="9" t="str">
        <f t="shared" si="13"/>
        <v>-</v>
      </c>
    </row>
    <row r="431" spans="1:8" x14ac:dyDescent="0.3">
      <c r="A431" s="3" t="str">
        <f>新!E430</f>
        <v>CRC32:C76B45FD</v>
      </c>
      <c r="B431" s="3" t="str">
        <f>新!A430</f>
        <v>Animal Crossing\Cards\Series 4</v>
      </c>
      <c r="C431" s="3" t="str">
        <f>新!B430</f>
        <v>[AC] 313 - Pavé.bin</v>
      </c>
      <c r="D431" s="2" t="str">
        <f>IFERROR(INDEX(旧!A:A,MATCH(测试!A431,旧!E:E,0)),0)</f>
        <v>Animal Crossing\Cards - Series 4</v>
      </c>
      <c r="E431" s="2" t="str">
        <f>IFERROR(INDEX(旧!B:B,MATCH(测试!A431,旧!E:E,0)),0)</f>
        <v>[AC] 313 - Pave.bin</v>
      </c>
      <c r="F431" s="9">
        <f>IFERROR(IF(B431=INDEX(转换!B:B,MATCH(D431,转换!A:A,0)),0,1),1)</f>
        <v>0</v>
      </c>
      <c r="G431" s="9">
        <f t="shared" si="14"/>
        <v>1</v>
      </c>
      <c r="H431" s="9" t="str">
        <f t="shared" si="13"/>
        <v>文件名错误</v>
      </c>
    </row>
    <row r="432" spans="1:8" x14ac:dyDescent="0.3">
      <c r="A432" s="3" t="str">
        <f>新!E431</f>
        <v>CRC32:C6AF1481</v>
      </c>
      <c r="B432" s="3" t="str">
        <f>新!A431</f>
        <v>Animal Crossing\Cards\Series 4</v>
      </c>
      <c r="C432" s="3" t="str">
        <f>新!B431</f>
        <v>[AC] 314 - Gulliver.bin</v>
      </c>
      <c r="D432" s="2" t="str">
        <f>IFERROR(INDEX(旧!A:A,MATCH(测试!A432,旧!E:E,0)),0)</f>
        <v>Animal Crossing\Cards - Series 4</v>
      </c>
      <c r="E432" s="2" t="str">
        <f>IFERROR(INDEX(旧!B:B,MATCH(测试!A432,旧!E:E,0)),0)</f>
        <v>[AC] 314 - Gulliver.bin</v>
      </c>
      <c r="F432" s="9">
        <f>IFERROR(IF(B432=INDEX(转换!B:B,MATCH(D432,转换!A:A,0)),0,1),1)</f>
        <v>0</v>
      </c>
      <c r="G432" s="9">
        <f t="shared" si="14"/>
        <v>0</v>
      </c>
      <c r="H432" s="9" t="str">
        <f t="shared" si="13"/>
        <v>-</v>
      </c>
    </row>
    <row r="433" spans="1:8" x14ac:dyDescent="0.3">
      <c r="A433" s="3" t="str">
        <f>新!E432</f>
        <v>CRC32:E7F785AA</v>
      </c>
      <c r="B433" s="3" t="str">
        <f>新!A432</f>
        <v>Animal Crossing\Cards\Series 4</v>
      </c>
      <c r="C433" s="3" t="str">
        <f>新!B432</f>
        <v>[AC] 315 - Redd.bin</v>
      </c>
      <c r="D433" s="2" t="str">
        <f>IFERROR(INDEX(旧!A:A,MATCH(测试!A433,旧!E:E,0)),0)</f>
        <v>Animal Crossing\Cards - Series 4</v>
      </c>
      <c r="E433" s="2" t="str">
        <f>IFERROR(INDEX(旧!B:B,MATCH(测试!A433,旧!E:E,0)),0)</f>
        <v>[AC] 315 - Redd.bin</v>
      </c>
      <c r="F433" s="9">
        <f>IFERROR(IF(B433=INDEX(转换!B:B,MATCH(D433,转换!A:A,0)),0,1),1)</f>
        <v>0</v>
      </c>
      <c r="G433" s="9">
        <f t="shared" si="14"/>
        <v>0</v>
      </c>
      <c r="H433" s="9" t="str">
        <f t="shared" si="13"/>
        <v>-</v>
      </c>
    </row>
    <row r="434" spans="1:8" x14ac:dyDescent="0.3">
      <c r="A434" s="3" t="str">
        <f>新!E433</f>
        <v>CRC32:D9F7C14D</v>
      </c>
      <c r="B434" s="3" t="str">
        <f>新!A433</f>
        <v>Animal Crossing\Cards\Series 4</v>
      </c>
      <c r="C434" s="3" t="str">
        <f>新!B433</f>
        <v>[AC] 316 - Zipper.bin</v>
      </c>
      <c r="D434" s="2" t="str">
        <f>IFERROR(INDEX(旧!A:A,MATCH(测试!A434,旧!E:E,0)),0)</f>
        <v>Animal Crossing\Cards - Series 4</v>
      </c>
      <c r="E434" s="2" t="str">
        <f>IFERROR(INDEX(旧!B:B,MATCH(测试!A434,旧!E:E,0)),0)</f>
        <v>[AC] 316 - Zipper.bin</v>
      </c>
      <c r="F434" s="9">
        <f>IFERROR(IF(B434=INDEX(转换!B:B,MATCH(D434,转换!A:A,0)),0,1),1)</f>
        <v>0</v>
      </c>
      <c r="G434" s="9">
        <f t="shared" si="14"/>
        <v>0</v>
      </c>
      <c r="H434" s="9" t="str">
        <f t="shared" si="13"/>
        <v>-</v>
      </c>
    </row>
    <row r="435" spans="1:8" x14ac:dyDescent="0.3">
      <c r="A435" s="3" t="str">
        <f>新!E434</f>
        <v>CRC32:142AB15E</v>
      </c>
      <c r="B435" s="3" t="str">
        <f>新!A434</f>
        <v>Animal Crossing\Cards\Series 4</v>
      </c>
      <c r="C435" s="3" t="str">
        <f>新!B434</f>
        <v>[AC] 317 - Goldie.bin</v>
      </c>
      <c r="D435" s="2" t="str">
        <f>IFERROR(INDEX(旧!A:A,MATCH(测试!A435,旧!E:E,0)),0)</f>
        <v>Animal Crossing\Cards - Series 4</v>
      </c>
      <c r="E435" s="2" t="str">
        <f>IFERROR(INDEX(旧!B:B,MATCH(测试!A435,旧!E:E,0)),0)</f>
        <v>[AC] 317 - Goldie.bin</v>
      </c>
      <c r="F435" s="9">
        <f>IFERROR(IF(B435=INDEX(转换!B:B,MATCH(D435,转换!A:A,0)),0,1),1)</f>
        <v>0</v>
      </c>
      <c r="G435" s="9">
        <f t="shared" si="14"/>
        <v>0</v>
      </c>
      <c r="H435" s="9" t="str">
        <f t="shared" si="13"/>
        <v>-</v>
      </c>
    </row>
    <row r="436" spans="1:8" x14ac:dyDescent="0.3">
      <c r="A436" s="3" t="str">
        <f>新!E435</f>
        <v>CRC32:9CA9BBFD</v>
      </c>
      <c r="B436" s="3" t="str">
        <f>新!A435</f>
        <v>Animal Crossing\Cards\Series 4</v>
      </c>
      <c r="C436" s="3" t="str">
        <f>新!B435</f>
        <v>[AC] 318 - Stitches.bin</v>
      </c>
      <c r="D436" s="2" t="str">
        <f>IFERROR(INDEX(旧!A:A,MATCH(测试!A436,旧!E:E,0)),0)</f>
        <v>Animal Crossing\Cards - Series 4</v>
      </c>
      <c r="E436" s="2" t="str">
        <f>IFERROR(INDEX(旧!B:B,MATCH(测试!A436,旧!E:E,0)),0)</f>
        <v>[AC] 318 - Stitches.bin</v>
      </c>
      <c r="F436" s="9">
        <f>IFERROR(IF(B436=INDEX(转换!B:B,MATCH(D436,转换!A:A,0)),0,1),1)</f>
        <v>0</v>
      </c>
      <c r="G436" s="9">
        <f t="shared" si="14"/>
        <v>0</v>
      </c>
      <c r="H436" s="9" t="str">
        <f t="shared" si="13"/>
        <v>-</v>
      </c>
    </row>
    <row r="437" spans="1:8" x14ac:dyDescent="0.3">
      <c r="A437" s="3" t="str">
        <f>新!E436</f>
        <v>CRC32:F0B73E0D</v>
      </c>
      <c r="B437" s="3" t="str">
        <f>新!A436</f>
        <v>Animal Crossing\Cards\Series 4</v>
      </c>
      <c r="C437" s="3" t="str">
        <f>新!B436</f>
        <v>[AC] 319 - Pinky.bin</v>
      </c>
      <c r="D437" s="2" t="str">
        <f>IFERROR(INDEX(旧!A:A,MATCH(测试!A437,旧!E:E,0)),0)</f>
        <v>Animal Crossing\Cards - Series 4</v>
      </c>
      <c r="E437" s="2" t="str">
        <f>IFERROR(INDEX(旧!B:B,MATCH(测试!A437,旧!E:E,0)),0)</f>
        <v>[AC] 319 - Pinky.bin</v>
      </c>
      <c r="F437" s="9">
        <f>IFERROR(IF(B437=INDEX(转换!B:B,MATCH(D437,转换!A:A,0)),0,1),1)</f>
        <v>0</v>
      </c>
      <c r="G437" s="9">
        <f t="shared" si="14"/>
        <v>0</v>
      </c>
      <c r="H437" s="9" t="str">
        <f t="shared" si="13"/>
        <v>-</v>
      </c>
    </row>
    <row r="438" spans="1:8" x14ac:dyDescent="0.3">
      <c r="A438" s="3" t="str">
        <f>新!E437</f>
        <v>CRC32:5A7AE736</v>
      </c>
      <c r="B438" s="3" t="str">
        <f>新!A437</f>
        <v>Animal Crossing\Cards\Series 4</v>
      </c>
      <c r="C438" s="3" t="str">
        <f>新!B437</f>
        <v>[AC] 320 - Mott.bin</v>
      </c>
      <c r="D438" s="2" t="str">
        <f>IFERROR(INDEX(旧!A:A,MATCH(测试!A438,旧!E:E,0)),0)</f>
        <v>Animal Crossing\Cards - Series 4</v>
      </c>
      <c r="E438" s="2" t="str">
        <f>IFERROR(INDEX(旧!B:B,MATCH(测试!A438,旧!E:E,0)),0)</f>
        <v>[AC] 320 - Mott.bin</v>
      </c>
      <c r="F438" s="9">
        <f>IFERROR(IF(B438=INDEX(转换!B:B,MATCH(D438,转换!A:A,0)),0,1),1)</f>
        <v>0</v>
      </c>
      <c r="G438" s="9">
        <f t="shared" si="14"/>
        <v>0</v>
      </c>
      <c r="H438" s="9" t="str">
        <f t="shared" si="13"/>
        <v>-</v>
      </c>
    </row>
    <row r="439" spans="1:8" x14ac:dyDescent="0.3">
      <c r="A439" s="3" t="str">
        <f>新!E438</f>
        <v>CRC32:BF094A14</v>
      </c>
      <c r="B439" s="3" t="str">
        <f>新!A438</f>
        <v>Animal Crossing\Cards\Series 4</v>
      </c>
      <c r="C439" s="3" t="str">
        <f>新!B438</f>
        <v>[AC] 321 - Mallary.bin</v>
      </c>
      <c r="D439" s="2" t="str">
        <f>IFERROR(INDEX(旧!A:A,MATCH(测试!A439,旧!E:E,0)),0)</f>
        <v>Animal Crossing\Cards - Series 4</v>
      </c>
      <c r="E439" s="2" t="str">
        <f>IFERROR(INDEX(旧!B:B,MATCH(测试!A439,旧!E:E,0)),0)</f>
        <v>[AC] 321 - Mallary.bin</v>
      </c>
      <c r="F439" s="9">
        <f>IFERROR(IF(B439=INDEX(转换!B:B,MATCH(D439,转换!A:A,0)),0,1),1)</f>
        <v>0</v>
      </c>
      <c r="G439" s="9">
        <f t="shared" si="14"/>
        <v>0</v>
      </c>
      <c r="H439" s="9" t="str">
        <f t="shared" si="13"/>
        <v>-</v>
      </c>
    </row>
    <row r="440" spans="1:8" x14ac:dyDescent="0.3">
      <c r="A440" s="3" t="str">
        <f>新!E439</f>
        <v>CRC32:0C77CA9C</v>
      </c>
      <c r="B440" s="3" t="str">
        <f>新!A439</f>
        <v>Animal Crossing\Cards\Series 4</v>
      </c>
      <c r="C440" s="3" t="str">
        <f>新!B439</f>
        <v>[AC] 322 - Rocco.bin</v>
      </c>
      <c r="D440" s="2" t="str">
        <f>IFERROR(INDEX(旧!A:A,MATCH(测试!A440,旧!E:E,0)),0)</f>
        <v>Animal Crossing\Cards - Series 4</v>
      </c>
      <c r="E440" s="2" t="str">
        <f>IFERROR(INDEX(旧!B:B,MATCH(测试!A440,旧!E:E,0)),0)</f>
        <v>[AC] 322 - Rocco.bin</v>
      </c>
      <c r="F440" s="9">
        <f>IFERROR(IF(B440=INDEX(转换!B:B,MATCH(D440,转换!A:A,0)),0,1),1)</f>
        <v>0</v>
      </c>
      <c r="G440" s="9">
        <f t="shared" si="14"/>
        <v>0</v>
      </c>
      <c r="H440" s="9" t="str">
        <f t="shared" si="13"/>
        <v>-</v>
      </c>
    </row>
    <row r="441" spans="1:8" x14ac:dyDescent="0.3">
      <c r="A441" s="3" t="str">
        <f>新!E440</f>
        <v>CRC32:041CDDD7</v>
      </c>
      <c r="B441" s="3" t="str">
        <f>新!A440</f>
        <v>Animal Crossing\Cards\Series 4</v>
      </c>
      <c r="C441" s="3" t="str">
        <f>新!B440</f>
        <v>[AC] 323 - Katt.bin</v>
      </c>
      <c r="D441" s="2" t="str">
        <f>IFERROR(INDEX(旧!A:A,MATCH(测试!A441,旧!E:E,0)),0)</f>
        <v>Animal Crossing\Cards - Series 4</v>
      </c>
      <c r="E441" s="2" t="str">
        <f>IFERROR(INDEX(旧!B:B,MATCH(测试!A441,旧!E:E,0)),0)</f>
        <v>[AC] 323 - Katt.bin</v>
      </c>
      <c r="F441" s="9">
        <f>IFERROR(IF(B441=INDEX(转换!B:B,MATCH(D441,转换!A:A,0)),0,1),1)</f>
        <v>0</v>
      </c>
      <c r="G441" s="9">
        <f t="shared" si="14"/>
        <v>0</v>
      </c>
      <c r="H441" s="9" t="str">
        <f t="shared" si="13"/>
        <v>-</v>
      </c>
    </row>
    <row r="442" spans="1:8" x14ac:dyDescent="0.3">
      <c r="A442" s="3" t="str">
        <f>新!E441</f>
        <v>CRC32:76207C1C</v>
      </c>
      <c r="B442" s="3" t="str">
        <f>新!A441</f>
        <v>Animal Crossing\Cards\Series 4</v>
      </c>
      <c r="C442" s="3" t="str">
        <f>新!B441</f>
        <v>[AC] 324 - Graham.bin</v>
      </c>
      <c r="D442" s="2" t="str">
        <f>IFERROR(INDEX(旧!A:A,MATCH(测试!A442,旧!E:E,0)),0)</f>
        <v>Animal Crossing\Cards - Series 4</v>
      </c>
      <c r="E442" s="2" t="str">
        <f>IFERROR(INDEX(旧!B:B,MATCH(测试!A442,旧!E:E,0)),0)</f>
        <v>[AC] 324 - Graham.bin</v>
      </c>
      <c r="F442" s="9">
        <f>IFERROR(IF(B442=INDEX(转换!B:B,MATCH(D442,转换!A:A,0)),0,1),1)</f>
        <v>0</v>
      </c>
      <c r="G442" s="9">
        <f t="shared" si="14"/>
        <v>0</v>
      </c>
      <c r="H442" s="9" t="str">
        <f t="shared" si="13"/>
        <v>-</v>
      </c>
    </row>
    <row r="443" spans="1:8" x14ac:dyDescent="0.3">
      <c r="A443" s="3" t="str">
        <f>新!E442</f>
        <v>CRC32:0BB2DBF9</v>
      </c>
      <c r="B443" s="3" t="str">
        <f>新!A442</f>
        <v>Animal Crossing\Cards\Series 4</v>
      </c>
      <c r="C443" s="3" t="str">
        <f>新!B442</f>
        <v>[AC] 325 - Peaches.bin</v>
      </c>
      <c r="D443" s="2" t="str">
        <f>IFERROR(INDEX(旧!A:A,MATCH(测试!A443,旧!E:E,0)),0)</f>
        <v>Animal Crossing\Cards - Series 4</v>
      </c>
      <c r="E443" s="2" t="str">
        <f>IFERROR(INDEX(旧!B:B,MATCH(测试!A443,旧!E:E,0)),0)</f>
        <v>[AC] 325 - Peaches.bin</v>
      </c>
      <c r="F443" s="9">
        <f>IFERROR(IF(B443=INDEX(转换!B:B,MATCH(D443,转换!A:A,0)),0,1),1)</f>
        <v>0</v>
      </c>
      <c r="G443" s="9">
        <f t="shared" si="14"/>
        <v>0</v>
      </c>
      <c r="H443" s="9" t="str">
        <f t="shared" si="13"/>
        <v>-</v>
      </c>
    </row>
    <row r="444" spans="1:8" x14ac:dyDescent="0.3">
      <c r="A444" s="3" t="str">
        <f>新!E443</f>
        <v>CRC32:05CF07EE</v>
      </c>
      <c r="B444" s="3" t="str">
        <f>新!A443</f>
        <v>Animal Crossing\Cards\Series 4</v>
      </c>
      <c r="C444" s="3" t="str">
        <f>新!B443</f>
        <v>[AC] 326 - Dizzy.bin</v>
      </c>
      <c r="D444" s="2" t="str">
        <f>IFERROR(INDEX(旧!A:A,MATCH(测试!A444,旧!E:E,0)),0)</f>
        <v>Animal Crossing\Cards - Series 4</v>
      </c>
      <c r="E444" s="2" t="str">
        <f>IFERROR(INDEX(旧!B:B,MATCH(测试!A444,旧!E:E,0)),0)</f>
        <v>[AC] 326 - Dizzy.bin</v>
      </c>
      <c r="F444" s="9">
        <f>IFERROR(IF(B444=INDEX(转换!B:B,MATCH(D444,转换!A:A,0)),0,1),1)</f>
        <v>0</v>
      </c>
      <c r="G444" s="9">
        <f t="shared" si="14"/>
        <v>0</v>
      </c>
      <c r="H444" s="9" t="str">
        <f t="shared" si="13"/>
        <v>-</v>
      </c>
    </row>
    <row r="445" spans="1:8" x14ac:dyDescent="0.3">
      <c r="A445" s="3" t="str">
        <f>新!E444</f>
        <v>CRC32:321B10BC</v>
      </c>
      <c r="B445" s="3" t="str">
        <f>新!A444</f>
        <v>Animal Crossing\Cards\Series 4</v>
      </c>
      <c r="C445" s="3" t="str">
        <f>新!B444</f>
        <v>[AC] 327 - Penelope.bin</v>
      </c>
      <c r="D445" s="2" t="str">
        <f>IFERROR(INDEX(旧!A:A,MATCH(测试!A445,旧!E:E,0)),0)</f>
        <v>Animal Crossing\Cards - Series 4</v>
      </c>
      <c r="E445" s="2" t="str">
        <f>IFERROR(INDEX(旧!B:B,MATCH(测试!A445,旧!E:E,0)),0)</f>
        <v>[AC] 327 - Penelope.bin</v>
      </c>
      <c r="F445" s="9">
        <f>IFERROR(IF(B445=INDEX(转换!B:B,MATCH(D445,转换!A:A,0)),0,1),1)</f>
        <v>0</v>
      </c>
      <c r="G445" s="9">
        <f t="shared" si="14"/>
        <v>0</v>
      </c>
      <c r="H445" s="9" t="str">
        <f t="shared" si="13"/>
        <v>-</v>
      </c>
    </row>
    <row r="446" spans="1:8" x14ac:dyDescent="0.3">
      <c r="A446" s="3" t="str">
        <f>新!E445</f>
        <v>CRC32:ADEEB8C3</v>
      </c>
      <c r="B446" s="3" t="str">
        <f>新!A445</f>
        <v>Animal Crossing\Cards\Series 4</v>
      </c>
      <c r="C446" s="3" t="str">
        <f>新!B445</f>
        <v>[AC] 328 - Boone.bin</v>
      </c>
      <c r="D446" s="2" t="str">
        <f>IFERROR(INDEX(旧!A:A,MATCH(测试!A446,旧!E:E,0)),0)</f>
        <v>Animal Crossing\Cards - Series 4</v>
      </c>
      <c r="E446" s="2" t="str">
        <f>IFERROR(INDEX(旧!B:B,MATCH(测试!A446,旧!E:E,0)),0)</f>
        <v>[AC] 328 - Boone.bin</v>
      </c>
      <c r="F446" s="9">
        <f>IFERROR(IF(B446=INDEX(转换!B:B,MATCH(D446,转换!A:A,0)),0,1),1)</f>
        <v>0</v>
      </c>
      <c r="G446" s="9">
        <f t="shared" si="14"/>
        <v>0</v>
      </c>
      <c r="H446" s="9" t="str">
        <f t="shared" si="13"/>
        <v>-</v>
      </c>
    </row>
    <row r="447" spans="1:8" x14ac:dyDescent="0.3">
      <c r="A447" s="3" t="str">
        <f>新!E446</f>
        <v>CRC32:1B668B74</v>
      </c>
      <c r="B447" s="3" t="str">
        <f>新!A446</f>
        <v>Animal Crossing\Cards\Series 4</v>
      </c>
      <c r="C447" s="3" t="str">
        <f>新!B446</f>
        <v>[AC] 329 - Broffina.bin</v>
      </c>
      <c r="D447" s="2" t="str">
        <f>IFERROR(INDEX(旧!A:A,MATCH(测试!A447,旧!E:E,0)),0)</f>
        <v>Animal Crossing\Cards - Series 4</v>
      </c>
      <c r="E447" s="2" t="str">
        <f>IFERROR(INDEX(旧!B:B,MATCH(测试!A447,旧!E:E,0)),0)</f>
        <v>[AC] 329 - Broffina.bin</v>
      </c>
      <c r="F447" s="9">
        <f>IFERROR(IF(B447=INDEX(转换!B:B,MATCH(D447,转换!A:A,0)),0,1),1)</f>
        <v>0</v>
      </c>
      <c r="G447" s="9">
        <f t="shared" si="14"/>
        <v>0</v>
      </c>
      <c r="H447" s="9" t="str">
        <f t="shared" si="13"/>
        <v>-</v>
      </c>
    </row>
    <row r="448" spans="1:8" x14ac:dyDescent="0.3">
      <c r="A448" s="3" t="str">
        <f>新!E447</f>
        <v>CRC32:0D3205A3</v>
      </c>
      <c r="B448" s="3" t="str">
        <f>新!A447</f>
        <v>Animal Crossing\Cards\Series 4</v>
      </c>
      <c r="C448" s="3" t="str">
        <f>新!B447</f>
        <v>[AC] 330 - Croque.bin</v>
      </c>
      <c r="D448" s="2" t="str">
        <f>IFERROR(INDEX(旧!A:A,MATCH(测试!A448,旧!E:E,0)),0)</f>
        <v>Animal Crossing\Cards - Series 4</v>
      </c>
      <c r="E448" s="2" t="str">
        <f>IFERROR(INDEX(旧!B:B,MATCH(测试!A448,旧!E:E,0)),0)</f>
        <v>[AC] 330 - Croque.bin</v>
      </c>
      <c r="F448" s="9">
        <f>IFERROR(IF(B448=INDEX(转换!B:B,MATCH(D448,转换!A:A,0)),0,1),1)</f>
        <v>0</v>
      </c>
      <c r="G448" s="9">
        <f t="shared" si="14"/>
        <v>0</v>
      </c>
      <c r="H448" s="9" t="str">
        <f t="shared" si="13"/>
        <v>-</v>
      </c>
    </row>
    <row r="449" spans="1:8" x14ac:dyDescent="0.3">
      <c r="A449" s="3" t="str">
        <f>新!E448</f>
        <v>CRC32:9C9447EE</v>
      </c>
      <c r="B449" s="3" t="str">
        <f>新!A448</f>
        <v>Animal Crossing\Cards\Series 4</v>
      </c>
      <c r="C449" s="3" t="str">
        <f>新!B448</f>
        <v>[AC] 331 - Pashmina.bin</v>
      </c>
      <c r="D449" s="2" t="str">
        <f>IFERROR(INDEX(旧!A:A,MATCH(测试!A449,旧!E:E,0)),0)</f>
        <v>Animal Crossing\Cards - Series 4</v>
      </c>
      <c r="E449" s="2" t="str">
        <f>IFERROR(INDEX(旧!B:B,MATCH(测试!A449,旧!E:E,0)),0)</f>
        <v>[AC] 331 - Pashmina.bin</v>
      </c>
      <c r="F449" s="9">
        <f>IFERROR(IF(B449=INDEX(转换!B:B,MATCH(D449,转换!A:A,0)),0,1),1)</f>
        <v>0</v>
      </c>
      <c r="G449" s="9">
        <f t="shared" si="14"/>
        <v>0</v>
      </c>
      <c r="H449" s="9" t="str">
        <f t="shared" si="13"/>
        <v>-</v>
      </c>
    </row>
    <row r="450" spans="1:8" x14ac:dyDescent="0.3">
      <c r="A450" s="3" t="str">
        <f>新!E449</f>
        <v>CRC32:411F6B6B</v>
      </c>
      <c r="B450" s="3" t="str">
        <f>新!A449</f>
        <v>Animal Crossing\Cards\Series 4</v>
      </c>
      <c r="C450" s="3" t="str">
        <f>新!B449</f>
        <v>[AC] 332 - Shep.bin</v>
      </c>
      <c r="D450" s="2" t="str">
        <f>IFERROR(INDEX(旧!A:A,MATCH(测试!A450,旧!E:E,0)),0)</f>
        <v>Animal Crossing\Cards - Series 4</v>
      </c>
      <c r="E450" s="2" t="str">
        <f>IFERROR(INDEX(旧!B:B,MATCH(测试!A450,旧!E:E,0)),0)</f>
        <v>[AC] 332 - Shep.bin</v>
      </c>
      <c r="F450" s="9">
        <f>IFERROR(IF(B450=INDEX(转换!B:B,MATCH(D450,转换!A:A,0)),0,1),1)</f>
        <v>0</v>
      </c>
      <c r="G450" s="9">
        <f t="shared" si="14"/>
        <v>0</v>
      </c>
      <c r="H450" s="9" t="str">
        <f t="shared" si="13"/>
        <v>-</v>
      </c>
    </row>
    <row r="451" spans="1:8" x14ac:dyDescent="0.3">
      <c r="A451" s="3" t="str">
        <f>新!E450</f>
        <v>CRC32:C8CCF733</v>
      </c>
      <c r="B451" s="3" t="str">
        <f>新!A450</f>
        <v>Animal Crossing\Cards\Series 4</v>
      </c>
      <c r="C451" s="3" t="str">
        <f>新!B450</f>
        <v>[AC] 333 - Lolly.bin</v>
      </c>
      <c r="D451" s="2" t="str">
        <f>IFERROR(INDEX(旧!A:A,MATCH(测试!A451,旧!E:E,0)),0)</f>
        <v>Animal Crossing\Cards - Series 4</v>
      </c>
      <c r="E451" s="2" t="str">
        <f>IFERROR(INDEX(旧!B:B,MATCH(测试!A451,旧!E:E,0)),0)</f>
        <v>[AC] 333 - Lolly.bin</v>
      </c>
      <c r="F451" s="9">
        <f>IFERROR(IF(B451=INDEX(转换!B:B,MATCH(D451,转换!A:A,0)),0,1),1)</f>
        <v>0</v>
      </c>
      <c r="G451" s="9">
        <f t="shared" si="14"/>
        <v>0</v>
      </c>
      <c r="H451" s="9" t="str">
        <f t="shared" si="13"/>
        <v>-</v>
      </c>
    </row>
    <row r="452" spans="1:8" x14ac:dyDescent="0.3">
      <c r="A452" s="3" t="str">
        <f>新!E451</f>
        <v>CRC32:A9C04E49</v>
      </c>
      <c r="B452" s="3" t="str">
        <f>新!A451</f>
        <v>Animal Crossing\Cards\Series 4</v>
      </c>
      <c r="C452" s="3" t="str">
        <f>新!B451</f>
        <v>[AC] 334 - Erik.bin</v>
      </c>
      <c r="D452" s="2" t="str">
        <f>IFERROR(INDEX(旧!A:A,MATCH(测试!A452,旧!E:E,0)),0)</f>
        <v>Animal Crossing\Cards - Series 4</v>
      </c>
      <c r="E452" s="2" t="str">
        <f>IFERROR(INDEX(旧!B:B,MATCH(测试!A452,旧!E:E,0)),0)</f>
        <v>[AC] 334 - Erik.bin</v>
      </c>
      <c r="F452" s="9">
        <f>IFERROR(IF(B452=INDEX(转换!B:B,MATCH(D452,转换!A:A,0)),0,1),1)</f>
        <v>0</v>
      </c>
      <c r="G452" s="9">
        <f t="shared" si="14"/>
        <v>0</v>
      </c>
      <c r="H452" s="9" t="str">
        <f t="shared" ref="H452:H515" si="15">_xlfn.IFS(F452+G452=0,"-",F452+G452=1,"文件名错误",F452+G452=2,"无此文件")</f>
        <v>-</v>
      </c>
    </row>
    <row r="453" spans="1:8" x14ac:dyDescent="0.3">
      <c r="A453" s="3" t="str">
        <f>新!E452</f>
        <v>CRC32:93F70135</v>
      </c>
      <c r="B453" s="3" t="str">
        <f>新!A452</f>
        <v>Animal Crossing\Cards\Series 4</v>
      </c>
      <c r="C453" s="3" t="str">
        <f>新!B452</f>
        <v>[AC] 335 - Dotty.bin</v>
      </c>
      <c r="D453" s="2" t="str">
        <f>IFERROR(INDEX(旧!A:A,MATCH(测试!A453,旧!E:E,0)),0)</f>
        <v>Animal Crossing\Cards - Series 4</v>
      </c>
      <c r="E453" s="2" t="str">
        <f>IFERROR(INDEX(旧!B:B,MATCH(测试!A453,旧!E:E,0)),0)</f>
        <v>[AC] 335 - Dotty.bin</v>
      </c>
      <c r="F453" s="9">
        <f>IFERROR(IF(B453=INDEX(转换!B:B,MATCH(D453,转换!A:A,0)),0,1),1)</f>
        <v>0</v>
      </c>
      <c r="G453" s="9">
        <f t="shared" si="14"/>
        <v>0</v>
      </c>
      <c r="H453" s="9" t="str">
        <f t="shared" si="15"/>
        <v>-</v>
      </c>
    </row>
    <row r="454" spans="1:8" x14ac:dyDescent="0.3">
      <c r="A454" s="3" t="str">
        <f>新!E453</f>
        <v>CRC32:8EA7E93E</v>
      </c>
      <c r="B454" s="3" t="str">
        <f>新!A453</f>
        <v>Animal Crossing\Cards\Series 4</v>
      </c>
      <c r="C454" s="3" t="str">
        <f>新!B453</f>
        <v>[AC] 336 - Pierce.bin</v>
      </c>
      <c r="D454" s="2" t="str">
        <f>IFERROR(INDEX(旧!A:A,MATCH(测试!A454,旧!E:E,0)),0)</f>
        <v>Animal Crossing\Cards - Series 4</v>
      </c>
      <c r="E454" s="2" t="str">
        <f>IFERROR(INDEX(旧!B:B,MATCH(测试!A454,旧!E:E,0)),0)</f>
        <v>[AC] 336 - Pierce.bin</v>
      </c>
      <c r="F454" s="9">
        <f>IFERROR(IF(B454=INDEX(转换!B:B,MATCH(D454,转换!A:A,0)),0,1),1)</f>
        <v>0</v>
      </c>
      <c r="G454" s="9">
        <f t="shared" si="14"/>
        <v>0</v>
      </c>
      <c r="H454" s="9" t="str">
        <f t="shared" si="15"/>
        <v>-</v>
      </c>
    </row>
    <row r="455" spans="1:8" x14ac:dyDescent="0.3">
      <c r="A455" s="3" t="str">
        <f>新!E454</f>
        <v>CRC32:4BBF12CD</v>
      </c>
      <c r="B455" s="3" t="str">
        <f>新!A454</f>
        <v>Animal Crossing\Cards\Series 4</v>
      </c>
      <c r="C455" s="3" t="str">
        <f>新!B454</f>
        <v>[AC] 337 - Queenie.bin</v>
      </c>
      <c r="D455" s="2" t="str">
        <f>IFERROR(INDEX(旧!A:A,MATCH(测试!A455,旧!E:E,0)),0)</f>
        <v>Animal Crossing\Cards - Series 4</v>
      </c>
      <c r="E455" s="2" t="str">
        <f>IFERROR(INDEX(旧!B:B,MATCH(测试!A455,旧!E:E,0)),0)</f>
        <v>[AC] 337 - Queenie.bin</v>
      </c>
      <c r="F455" s="9">
        <f>IFERROR(IF(B455=INDEX(转换!B:B,MATCH(D455,转换!A:A,0)),0,1),1)</f>
        <v>0</v>
      </c>
      <c r="G455" s="9">
        <f t="shared" si="14"/>
        <v>0</v>
      </c>
      <c r="H455" s="9" t="str">
        <f t="shared" si="15"/>
        <v>-</v>
      </c>
    </row>
    <row r="456" spans="1:8" x14ac:dyDescent="0.3">
      <c r="A456" s="3" t="str">
        <f>新!E455</f>
        <v>CRC32:74E69F3F</v>
      </c>
      <c r="B456" s="3" t="str">
        <f>新!A455</f>
        <v>Animal Crossing\Cards\Series 4</v>
      </c>
      <c r="C456" s="3" t="str">
        <f>新!B455</f>
        <v>[AC] 338 - Fang.bin</v>
      </c>
      <c r="D456" s="2" t="str">
        <f>IFERROR(INDEX(旧!A:A,MATCH(测试!A456,旧!E:E,0)),0)</f>
        <v>Animal Crossing\Cards - Series 4</v>
      </c>
      <c r="E456" s="2" t="str">
        <f>IFERROR(INDEX(旧!B:B,MATCH(测试!A456,旧!E:E,0)),0)</f>
        <v>[AC] 338 - Fang.bin</v>
      </c>
      <c r="F456" s="9">
        <f>IFERROR(IF(B456=INDEX(转换!B:B,MATCH(D456,转换!A:A,0)),0,1),1)</f>
        <v>0</v>
      </c>
      <c r="G456" s="9">
        <f t="shared" si="14"/>
        <v>0</v>
      </c>
      <c r="H456" s="9" t="str">
        <f t="shared" si="15"/>
        <v>-</v>
      </c>
    </row>
    <row r="457" spans="1:8" x14ac:dyDescent="0.3">
      <c r="A457" s="3" t="str">
        <f>新!E456</f>
        <v>CRC32:D4AC09D0</v>
      </c>
      <c r="B457" s="3" t="str">
        <f>新!A456</f>
        <v>Animal Crossing\Cards\Series 4</v>
      </c>
      <c r="C457" s="3" t="str">
        <f>新!B456</f>
        <v>[AC] 339 - Frita.bin</v>
      </c>
      <c r="D457" s="2" t="str">
        <f>IFERROR(INDEX(旧!A:A,MATCH(测试!A457,旧!E:E,0)),0)</f>
        <v>Animal Crossing\Cards - Series 4</v>
      </c>
      <c r="E457" s="2" t="str">
        <f>IFERROR(INDEX(旧!B:B,MATCH(测试!A457,旧!E:E,0)),0)</f>
        <v>[AC] 339 - Fritta.bin</v>
      </c>
      <c r="F457" s="9">
        <f>IFERROR(IF(B457=INDEX(转换!B:B,MATCH(D457,转换!A:A,0)),0,1),1)</f>
        <v>0</v>
      </c>
      <c r="G457" s="9">
        <f t="shared" si="14"/>
        <v>1</v>
      </c>
      <c r="H457" s="9" t="str">
        <f t="shared" si="15"/>
        <v>文件名错误</v>
      </c>
    </row>
    <row r="458" spans="1:8" x14ac:dyDescent="0.3">
      <c r="A458" s="3" t="str">
        <f>新!E457</f>
        <v>CRC32:25F4D761</v>
      </c>
      <c r="B458" s="3" t="str">
        <f>新!A457</f>
        <v>Animal Crossing\Cards\Series 4</v>
      </c>
      <c r="C458" s="3" t="str">
        <f>新!B457</f>
        <v>[AC] 340 - Tex.bin</v>
      </c>
      <c r="D458" s="2" t="str">
        <f>IFERROR(INDEX(旧!A:A,MATCH(测试!A458,旧!E:E,0)),0)</f>
        <v>Animal Crossing\Cards - Series 4</v>
      </c>
      <c r="E458" s="2" t="str">
        <f>IFERROR(INDEX(旧!B:B,MATCH(测试!A458,旧!E:E,0)),0)</f>
        <v>[AC] 340 - Tex.bin</v>
      </c>
      <c r="F458" s="9">
        <f>IFERROR(IF(B458=INDEX(转换!B:B,MATCH(D458,转换!A:A,0)),0,1),1)</f>
        <v>0</v>
      </c>
      <c r="G458" s="9">
        <f t="shared" si="14"/>
        <v>0</v>
      </c>
      <c r="H458" s="9" t="str">
        <f t="shared" si="15"/>
        <v>-</v>
      </c>
    </row>
    <row r="459" spans="1:8" x14ac:dyDescent="0.3">
      <c r="A459" s="3" t="str">
        <f>新!E458</f>
        <v>CRC32:3F50434E</v>
      </c>
      <c r="B459" s="3" t="str">
        <f>新!A458</f>
        <v>Animal Crossing\Cards\Series 4</v>
      </c>
      <c r="C459" s="3" t="str">
        <f>新!B458</f>
        <v>[AC] 341 - Melba.bin</v>
      </c>
      <c r="D459" s="2" t="str">
        <f>IFERROR(INDEX(旧!A:A,MATCH(测试!A459,旧!E:E,0)),0)</f>
        <v>Animal Crossing\Cards - Series 4</v>
      </c>
      <c r="E459" s="2" t="str">
        <f>IFERROR(INDEX(旧!B:B,MATCH(测试!A459,旧!E:E,0)),0)</f>
        <v>[AC] 341 - Melba.bin</v>
      </c>
      <c r="F459" s="9">
        <f>IFERROR(IF(B459=INDEX(转换!B:B,MATCH(D459,转换!A:A,0)),0,1),1)</f>
        <v>0</v>
      </c>
      <c r="G459" s="9">
        <f t="shared" si="14"/>
        <v>0</v>
      </c>
      <c r="H459" s="9" t="str">
        <f t="shared" si="15"/>
        <v>-</v>
      </c>
    </row>
    <row r="460" spans="1:8" x14ac:dyDescent="0.3">
      <c r="A460" s="3" t="str">
        <f>新!E459</f>
        <v>CRC32:CD934B9C</v>
      </c>
      <c r="B460" s="3" t="str">
        <f>新!A459</f>
        <v>Animal Crossing\Cards\Series 4</v>
      </c>
      <c r="C460" s="3" t="str">
        <f>新!B459</f>
        <v>[AC] 342 - Bones.bin</v>
      </c>
      <c r="D460" s="2" t="str">
        <f>IFERROR(INDEX(旧!A:A,MATCH(测试!A460,旧!E:E,0)),0)</f>
        <v>Animal Crossing\Cards - Series 4</v>
      </c>
      <c r="E460" s="2" t="str">
        <f>IFERROR(INDEX(旧!B:B,MATCH(测试!A460,旧!E:E,0)),0)</f>
        <v>[AC] 342 - Bones.bin</v>
      </c>
      <c r="F460" s="9">
        <f>IFERROR(IF(B460=INDEX(转换!B:B,MATCH(D460,转换!A:A,0)),0,1),1)</f>
        <v>0</v>
      </c>
      <c r="G460" s="9">
        <f t="shared" si="14"/>
        <v>0</v>
      </c>
      <c r="H460" s="9" t="str">
        <f t="shared" si="15"/>
        <v>-</v>
      </c>
    </row>
    <row r="461" spans="1:8" x14ac:dyDescent="0.3">
      <c r="A461" s="3" t="str">
        <f>新!E460</f>
        <v>CRC32:C394F32B</v>
      </c>
      <c r="B461" s="3" t="str">
        <f>新!A460</f>
        <v>Animal Crossing\Cards\Series 4</v>
      </c>
      <c r="C461" s="3" t="str">
        <f>新!B460</f>
        <v>[AC] 343 - Anabelle.bin</v>
      </c>
      <c r="D461" s="2" t="str">
        <f>IFERROR(INDEX(旧!A:A,MATCH(测试!A461,旧!E:E,0)),0)</f>
        <v>Animal Crossing\Cards - Series 4</v>
      </c>
      <c r="E461" s="2" t="str">
        <f>IFERROR(INDEX(旧!B:B,MATCH(测试!A461,旧!E:E,0)),0)</f>
        <v>[AC] 343 - Anabelle.bin</v>
      </c>
      <c r="F461" s="9">
        <f>IFERROR(IF(B461=INDEX(转换!B:B,MATCH(D461,转换!A:A,0)),0,1),1)</f>
        <v>0</v>
      </c>
      <c r="G461" s="9">
        <f t="shared" si="14"/>
        <v>0</v>
      </c>
      <c r="H461" s="9" t="str">
        <f t="shared" si="15"/>
        <v>-</v>
      </c>
    </row>
    <row r="462" spans="1:8" x14ac:dyDescent="0.3">
      <c r="A462" s="3" t="str">
        <f>新!E461</f>
        <v>CRC32:C3E6A632</v>
      </c>
      <c r="B462" s="3" t="str">
        <f>新!A461</f>
        <v>Animal Crossing\Cards\Series 4</v>
      </c>
      <c r="C462" s="3" t="str">
        <f>新!B461</f>
        <v>[AC] 344 - Rudy.bin</v>
      </c>
      <c r="D462" s="2" t="str">
        <f>IFERROR(INDEX(旧!A:A,MATCH(测试!A462,旧!E:E,0)),0)</f>
        <v>Animal Crossing\Cards - Series 4</v>
      </c>
      <c r="E462" s="2" t="str">
        <f>IFERROR(INDEX(旧!B:B,MATCH(测试!A462,旧!E:E,0)),0)</f>
        <v>[AC] 344 - Rudy.bin</v>
      </c>
      <c r="F462" s="9">
        <f>IFERROR(IF(B462=INDEX(转换!B:B,MATCH(D462,转换!A:A,0)),0,1),1)</f>
        <v>0</v>
      </c>
      <c r="G462" s="9">
        <f t="shared" si="14"/>
        <v>0</v>
      </c>
      <c r="H462" s="9" t="str">
        <f t="shared" si="15"/>
        <v>-</v>
      </c>
    </row>
    <row r="463" spans="1:8" x14ac:dyDescent="0.3">
      <c r="A463" s="3" t="str">
        <f>新!E462</f>
        <v>CRC32:070C6CA5</v>
      </c>
      <c r="B463" s="3" t="str">
        <f>新!A462</f>
        <v>Animal Crossing\Cards\Series 4</v>
      </c>
      <c r="C463" s="3" t="str">
        <f>新!B462</f>
        <v>[AC] 345 - Naomi.bin</v>
      </c>
      <c r="D463" s="2" t="str">
        <f>IFERROR(INDEX(旧!A:A,MATCH(测试!A463,旧!E:E,0)),0)</f>
        <v>Animal Crossing\Cards - Series 4</v>
      </c>
      <c r="E463" s="2" t="str">
        <f>IFERROR(INDEX(旧!B:B,MATCH(测试!A463,旧!E:E,0)),0)</f>
        <v>[AC] 345 - Naomi.bin</v>
      </c>
      <c r="F463" s="9">
        <f>IFERROR(IF(B463=INDEX(转换!B:B,MATCH(D463,转换!A:A,0)),0,1),1)</f>
        <v>0</v>
      </c>
      <c r="G463" s="9">
        <f t="shared" si="14"/>
        <v>0</v>
      </c>
      <c r="H463" s="9" t="str">
        <f t="shared" si="15"/>
        <v>-</v>
      </c>
    </row>
    <row r="464" spans="1:8" x14ac:dyDescent="0.3">
      <c r="A464" s="3" t="str">
        <f>新!E463</f>
        <v>CRC32:D12C6094</v>
      </c>
      <c r="B464" s="3" t="str">
        <f>新!A463</f>
        <v>Animal Crossing\Cards\Series 4</v>
      </c>
      <c r="C464" s="3" t="str">
        <f>新!B463</f>
        <v>[AC] 346 - Peewee.bin</v>
      </c>
      <c r="D464" s="2" t="str">
        <f>IFERROR(INDEX(旧!A:A,MATCH(测试!A464,旧!E:E,0)),0)</f>
        <v>Animal Crossing\Cards - Series 4</v>
      </c>
      <c r="E464" s="2" t="str">
        <f>IFERROR(INDEX(旧!B:B,MATCH(测试!A464,旧!E:E,0)),0)</f>
        <v>[AC] 346 - Peewee.bin</v>
      </c>
      <c r="F464" s="9">
        <f>IFERROR(IF(B464=INDEX(转换!B:B,MATCH(D464,转换!A:A,0)),0,1),1)</f>
        <v>0</v>
      </c>
      <c r="G464" s="9">
        <f t="shared" si="14"/>
        <v>0</v>
      </c>
      <c r="H464" s="9" t="str">
        <f t="shared" si="15"/>
        <v>-</v>
      </c>
    </row>
    <row r="465" spans="1:8" x14ac:dyDescent="0.3">
      <c r="A465" s="3" t="str">
        <f>新!E464</f>
        <v>CRC32:E886FD67</v>
      </c>
      <c r="B465" s="3" t="str">
        <f>新!A464</f>
        <v>Animal Crossing\Cards\Series 4</v>
      </c>
      <c r="C465" s="3" t="str">
        <f>新!B464</f>
        <v>[AC] 347 - Tammy.bin</v>
      </c>
      <c r="D465" s="2" t="str">
        <f>IFERROR(INDEX(旧!A:A,MATCH(测试!A465,旧!E:E,0)),0)</f>
        <v>Animal Crossing\Cards - Series 4</v>
      </c>
      <c r="E465" s="2" t="str">
        <f>IFERROR(INDEX(旧!B:B,MATCH(测试!A465,旧!E:E,0)),0)</f>
        <v>[AC] 347 - Tammy.bin</v>
      </c>
      <c r="F465" s="9">
        <f>IFERROR(IF(B465=INDEX(转换!B:B,MATCH(D465,转换!A:A,0)),0,1),1)</f>
        <v>0</v>
      </c>
      <c r="G465" s="9">
        <f t="shared" si="14"/>
        <v>0</v>
      </c>
      <c r="H465" s="9" t="str">
        <f t="shared" si="15"/>
        <v>-</v>
      </c>
    </row>
    <row r="466" spans="1:8" x14ac:dyDescent="0.3">
      <c r="A466" s="3" t="str">
        <f>新!E465</f>
        <v>CRC32:2280BBB6</v>
      </c>
      <c r="B466" s="3" t="str">
        <f>新!A465</f>
        <v>Animal Crossing\Cards\Series 4</v>
      </c>
      <c r="C466" s="3" t="str">
        <f>新!B465</f>
        <v>[AC] 348 - Olaf.bin</v>
      </c>
      <c r="D466" s="2" t="str">
        <f>IFERROR(INDEX(旧!A:A,MATCH(测试!A466,旧!E:E,0)),0)</f>
        <v>Animal Crossing\Cards - Series 4</v>
      </c>
      <c r="E466" s="2" t="str">
        <f>IFERROR(INDEX(旧!B:B,MATCH(测试!A466,旧!E:E,0)),0)</f>
        <v>[AC] 348 - Olaf.bin</v>
      </c>
      <c r="F466" s="9">
        <f>IFERROR(IF(B466=INDEX(转换!B:B,MATCH(D466,转换!A:A,0)),0,1),1)</f>
        <v>0</v>
      </c>
      <c r="G466" s="9">
        <f t="shared" si="14"/>
        <v>0</v>
      </c>
      <c r="H466" s="9" t="str">
        <f t="shared" si="15"/>
        <v>-</v>
      </c>
    </row>
    <row r="467" spans="1:8" x14ac:dyDescent="0.3">
      <c r="A467" s="3" t="str">
        <f>新!E466</f>
        <v>CRC32:E7F9339A</v>
      </c>
      <c r="B467" s="3" t="str">
        <f>新!A466</f>
        <v>Animal Crossing\Cards\Series 4</v>
      </c>
      <c r="C467" s="3" t="str">
        <f>新!B466</f>
        <v>[AC] 349 - Lucy.bin</v>
      </c>
      <c r="D467" s="2" t="str">
        <f>IFERROR(INDEX(旧!A:A,MATCH(测试!A467,旧!E:E,0)),0)</f>
        <v>Animal Crossing\Cards - Series 4</v>
      </c>
      <c r="E467" s="2" t="str">
        <f>IFERROR(INDEX(旧!B:B,MATCH(测试!A467,旧!E:E,0)),0)</f>
        <v>[AC] 349 - Lucy.bin</v>
      </c>
      <c r="F467" s="9">
        <f>IFERROR(IF(B467=INDEX(转换!B:B,MATCH(D467,转换!A:A,0)),0,1),1)</f>
        <v>0</v>
      </c>
      <c r="G467" s="9">
        <f t="shared" si="14"/>
        <v>0</v>
      </c>
      <c r="H467" s="9" t="str">
        <f t="shared" si="15"/>
        <v>-</v>
      </c>
    </row>
    <row r="468" spans="1:8" x14ac:dyDescent="0.3">
      <c r="A468" s="3" t="str">
        <f>新!E467</f>
        <v>CRC32:59DA0722</v>
      </c>
      <c r="B468" s="3" t="str">
        <f>新!A467</f>
        <v>Animal Crossing\Cards\Series 4</v>
      </c>
      <c r="C468" s="3" t="str">
        <f>新!B467</f>
        <v>[AC] 350 - Elmer.bin</v>
      </c>
      <c r="D468" s="2" t="str">
        <f>IFERROR(INDEX(旧!A:A,MATCH(测试!A468,旧!E:E,0)),0)</f>
        <v>Animal Crossing\Cards - Series 4</v>
      </c>
      <c r="E468" s="2" t="str">
        <f>IFERROR(INDEX(旧!B:B,MATCH(测试!A468,旧!E:E,0)),0)</f>
        <v>[AC] 350 - Elmer.bin</v>
      </c>
      <c r="F468" s="9">
        <f>IFERROR(IF(B468=INDEX(转换!B:B,MATCH(D468,转换!A:A,0)),0,1),1)</f>
        <v>0</v>
      </c>
      <c r="G468" s="9">
        <f t="shared" si="14"/>
        <v>0</v>
      </c>
      <c r="H468" s="9" t="str">
        <f t="shared" si="15"/>
        <v>-</v>
      </c>
    </row>
    <row r="469" spans="1:8" x14ac:dyDescent="0.3">
      <c r="A469" s="3" t="str">
        <f>新!E468</f>
        <v>CRC32:5B88E6AA</v>
      </c>
      <c r="B469" s="3" t="str">
        <f>新!A468</f>
        <v>Animal Crossing\Cards\Series 4</v>
      </c>
      <c r="C469" s="3" t="str">
        <f>新!B468</f>
        <v>[AC] 351 - Puddles.bin</v>
      </c>
      <c r="D469" s="2" t="str">
        <f>IFERROR(INDEX(旧!A:A,MATCH(测试!A469,旧!E:E,0)),0)</f>
        <v>Animal Crossing\Cards - Series 4</v>
      </c>
      <c r="E469" s="2" t="str">
        <f>IFERROR(INDEX(旧!B:B,MATCH(测试!A469,旧!E:E,0)),0)</f>
        <v>[AC] 351 - Puddles.bin</v>
      </c>
      <c r="F469" s="9">
        <f>IFERROR(IF(B469=INDEX(转换!B:B,MATCH(D469,转换!A:A,0)),0,1),1)</f>
        <v>0</v>
      </c>
      <c r="G469" s="9">
        <f t="shared" si="14"/>
        <v>0</v>
      </c>
      <c r="H469" s="9" t="str">
        <f t="shared" si="15"/>
        <v>-</v>
      </c>
    </row>
    <row r="470" spans="1:8" x14ac:dyDescent="0.3">
      <c r="A470" s="3" t="str">
        <f>新!E469</f>
        <v>CRC32:8E59EE63</v>
      </c>
      <c r="B470" s="3" t="str">
        <f>新!A469</f>
        <v>Animal Crossing\Cards\Series 4</v>
      </c>
      <c r="C470" s="3" t="str">
        <f>新!B469</f>
        <v>[AC] 352 - Rory.bin</v>
      </c>
      <c r="D470" s="2" t="str">
        <f>IFERROR(INDEX(旧!A:A,MATCH(测试!A470,旧!E:E,0)),0)</f>
        <v>Animal Crossing\Cards - Series 4</v>
      </c>
      <c r="E470" s="2" t="str">
        <f>IFERROR(INDEX(旧!B:B,MATCH(测试!A470,旧!E:E,0)),0)</f>
        <v>[AC] 352 - Rory.bin</v>
      </c>
      <c r="F470" s="9">
        <f>IFERROR(IF(B470=INDEX(转换!B:B,MATCH(D470,转换!A:A,0)),0,1),1)</f>
        <v>0</v>
      </c>
      <c r="G470" s="9">
        <f t="shared" si="14"/>
        <v>0</v>
      </c>
      <c r="H470" s="9" t="str">
        <f t="shared" si="15"/>
        <v>-</v>
      </c>
    </row>
    <row r="471" spans="1:8" x14ac:dyDescent="0.3">
      <c r="A471" s="3" t="str">
        <f>新!E470</f>
        <v>CRC32:D47EC976</v>
      </c>
      <c r="B471" s="3" t="str">
        <f>新!A470</f>
        <v>Animal Crossing\Cards\Series 4</v>
      </c>
      <c r="C471" s="3" t="str">
        <f>新!B470</f>
        <v>[AC] 353 - Elise.bin</v>
      </c>
      <c r="D471" s="2" t="str">
        <f>IFERROR(INDEX(旧!A:A,MATCH(测试!A471,旧!E:E,0)),0)</f>
        <v>Animal Crossing\Cards - Series 4</v>
      </c>
      <c r="E471" s="2" t="str">
        <f>IFERROR(INDEX(旧!B:B,MATCH(测试!A471,旧!E:E,0)),0)</f>
        <v>[AC] 353 - Elise.bin</v>
      </c>
      <c r="F471" s="9">
        <f>IFERROR(IF(B471=INDEX(转换!B:B,MATCH(D471,转换!A:A,0)),0,1),1)</f>
        <v>0</v>
      </c>
      <c r="G471" s="9">
        <f t="shared" si="14"/>
        <v>0</v>
      </c>
      <c r="H471" s="9" t="str">
        <f t="shared" si="15"/>
        <v>-</v>
      </c>
    </row>
    <row r="472" spans="1:8" x14ac:dyDescent="0.3">
      <c r="A472" s="3" t="str">
        <f>新!E471</f>
        <v>CRC32:B7491108</v>
      </c>
      <c r="B472" s="3" t="str">
        <f>新!A471</f>
        <v>Animal Crossing\Cards\Series 4</v>
      </c>
      <c r="C472" s="3" t="str">
        <f>新!B471</f>
        <v>[AC] 354 - Walt.bin</v>
      </c>
      <c r="D472" s="2" t="str">
        <f>IFERROR(INDEX(旧!A:A,MATCH(测试!A472,旧!E:E,0)),0)</f>
        <v>Animal Crossing\Cards - Series 4</v>
      </c>
      <c r="E472" s="2" t="str">
        <f>IFERROR(INDEX(旧!B:B,MATCH(测试!A472,旧!E:E,0)),0)</f>
        <v>[AC] 354 - Walt.bin</v>
      </c>
      <c r="F472" s="9">
        <f>IFERROR(IF(B472=INDEX(转换!B:B,MATCH(D472,转换!A:A,0)),0,1),1)</f>
        <v>0</v>
      </c>
      <c r="G472" s="9">
        <f t="shared" si="14"/>
        <v>0</v>
      </c>
      <c r="H472" s="9" t="str">
        <f t="shared" si="15"/>
        <v>-</v>
      </c>
    </row>
    <row r="473" spans="1:8" x14ac:dyDescent="0.3">
      <c r="A473" s="3" t="str">
        <f>新!E472</f>
        <v>CRC32:C14B4AAF</v>
      </c>
      <c r="B473" s="3" t="str">
        <f>新!A472</f>
        <v>Animal Crossing\Cards\Series 4</v>
      </c>
      <c r="C473" s="3" t="str">
        <f>新!B472</f>
        <v>[AC] 355 - Mira.bin</v>
      </c>
      <c r="D473" s="2" t="str">
        <f>IFERROR(INDEX(旧!A:A,MATCH(测试!A473,旧!E:E,0)),0)</f>
        <v>Animal Crossing\Cards - Series 4</v>
      </c>
      <c r="E473" s="2" t="str">
        <f>IFERROR(INDEX(旧!B:B,MATCH(测试!A473,旧!E:E,0)),0)</f>
        <v>[AC] 355 - Mira.bin</v>
      </c>
      <c r="F473" s="9">
        <f>IFERROR(IF(B473=INDEX(转换!B:B,MATCH(D473,转换!A:A,0)),0,1),1)</f>
        <v>0</v>
      </c>
      <c r="G473" s="9">
        <f t="shared" si="14"/>
        <v>0</v>
      </c>
      <c r="H473" s="9" t="str">
        <f t="shared" si="15"/>
        <v>-</v>
      </c>
    </row>
    <row r="474" spans="1:8" x14ac:dyDescent="0.3">
      <c r="A474" s="3" t="str">
        <f>新!E473</f>
        <v>CRC32:26E16E09</v>
      </c>
      <c r="B474" s="3" t="str">
        <f>新!A473</f>
        <v>Animal Crossing\Cards\Series 4</v>
      </c>
      <c r="C474" s="3" t="str">
        <f>新!B473</f>
        <v>[AC] 356 - Pietro.bin</v>
      </c>
      <c r="D474" s="2" t="str">
        <f>IFERROR(INDEX(旧!A:A,MATCH(测试!A474,旧!E:E,0)),0)</f>
        <v>Animal Crossing\Cards - Series 4</v>
      </c>
      <c r="E474" s="2" t="str">
        <f>IFERROR(INDEX(旧!B:B,MATCH(测试!A474,旧!E:E,0)),0)</f>
        <v>[AC] 356 - Pietro.bin</v>
      </c>
      <c r="F474" s="9">
        <f>IFERROR(IF(B474=INDEX(转换!B:B,MATCH(D474,转换!A:A,0)),0,1),1)</f>
        <v>0</v>
      </c>
      <c r="G474" s="9">
        <f t="shared" si="14"/>
        <v>0</v>
      </c>
      <c r="H474" s="9" t="str">
        <f t="shared" si="15"/>
        <v>-</v>
      </c>
    </row>
    <row r="475" spans="1:8" x14ac:dyDescent="0.3">
      <c r="A475" s="3" t="str">
        <f>新!E474</f>
        <v>CRC32:06FFD246</v>
      </c>
      <c r="B475" s="3" t="str">
        <f>新!A474</f>
        <v>Animal Crossing\Cards\Series 4</v>
      </c>
      <c r="C475" s="3" t="str">
        <f>新!B474</f>
        <v>[AC] 357 - Aurora.bin</v>
      </c>
      <c r="D475" s="2" t="str">
        <f>IFERROR(INDEX(旧!A:A,MATCH(测试!A475,旧!E:E,0)),0)</f>
        <v>Animal Crossing\Cards - Series 4</v>
      </c>
      <c r="E475" s="2" t="str">
        <f>IFERROR(INDEX(旧!B:B,MATCH(测试!A475,旧!E:E,0)),0)</f>
        <v>[AC] 357 - Aurora.bin</v>
      </c>
      <c r="F475" s="9">
        <f>IFERROR(IF(B475=INDEX(转换!B:B,MATCH(D475,转换!A:A,0)),0,1),1)</f>
        <v>0</v>
      </c>
      <c r="G475" s="9">
        <f t="shared" si="14"/>
        <v>0</v>
      </c>
      <c r="H475" s="9" t="str">
        <f t="shared" si="15"/>
        <v>-</v>
      </c>
    </row>
    <row r="476" spans="1:8" x14ac:dyDescent="0.3">
      <c r="A476" s="3" t="str">
        <f>新!E475</f>
        <v>CRC32:6F072ABC</v>
      </c>
      <c r="B476" s="3" t="str">
        <f>新!A475</f>
        <v>Animal Crossing\Cards\Series 4</v>
      </c>
      <c r="C476" s="3" t="str">
        <f>新!B475</f>
        <v>[AC] 358 - Papi.bin</v>
      </c>
      <c r="D476" s="2" t="str">
        <f>IFERROR(INDEX(旧!A:A,MATCH(测试!A476,旧!E:E,0)),0)</f>
        <v>Animal Crossing\Cards - Series 4</v>
      </c>
      <c r="E476" s="2" t="str">
        <f>IFERROR(INDEX(旧!B:B,MATCH(测试!A476,旧!E:E,0)),0)</f>
        <v>[AC] 358 - Papi.bin</v>
      </c>
      <c r="F476" s="9">
        <f>IFERROR(IF(B476=INDEX(转换!B:B,MATCH(D476,转换!A:A,0)),0,1),1)</f>
        <v>0</v>
      </c>
      <c r="G476" s="9">
        <f t="shared" si="14"/>
        <v>0</v>
      </c>
      <c r="H476" s="9" t="str">
        <f t="shared" si="15"/>
        <v>-</v>
      </c>
    </row>
    <row r="477" spans="1:8" x14ac:dyDescent="0.3">
      <c r="A477" s="3" t="str">
        <f>新!E476</f>
        <v>CRC32:9C88E9D8</v>
      </c>
      <c r="B477" s="3" t="str">
        <f>新!A476</f>
        <v>Animal Crossing\Cards\Series 4</v>
      </c>
      <c r="C477" s="3" t="str">
        <f>新!B476</f>
        <v>[AC] 359 - Apple.bin</v>
      </c>
      <c r="D477" s="2" t="str">
        <f>IFERROR(INDEX(旧!A:A,MATCH(测试!A477,旧!E:E,0)),0)</f>
        <v>Animal Crossing\Cards - Series 4</v>
      </c>
      <c r="E477" s="2" t="str">
        <f>IFERROR(INDEX(旧!B:B,MATCH(测试!A477,旧!E:E,0)),0)</f>
        <v>[AC] 359 - Apple.bin</v>
      </c>
      <c r="F477" s="9">
        <f>IFERROR(IF(B477=INDEX(转换!B:B,MATCH(D477,转换!A:A,0)),0,1),1)</f>
        <v>0</v>
      </c>
      <c r="G477" s="9">
        <f t="shared" si="14"/>
        <v>0</v>
      </c>
      <c r="H477" s="9" t="str">
        <f t="shared" si="15"/>
        <v>-</v>
      </c>
    </row>
    <row r="478" spans="1:8" x14ac:dyDescent="0.3">
      <c r="A478" s="3" t="str">
        <f>新!E477</f>
        <v>CRC32:F61C7C19</v>
      </c>
      <c r="B478" s="3" t="str">
        <f>新!A477</f>
        <v>Animal Crossing\Cards\Series 4</v>
      </c>
      <c r="C478" s="3" t="str">
        <f>新!B477</f>
        <v>[AC] 360 - Rod.bin</v>
      </c>
      <c r="D478" s="2" t="str">
        <f>IFERROR(INDEX(旧!A:A,MATCH(测试!A478,旧!E:E,0)),0)</f>
        <v>Animal Crossing\Cards - Series 4</v>
      </c>
      <c r="E478" s="2" t="str">
        <f>IFERROR(INDEX(旧!B:B,MATCH(测试!A478,旧!E:E,0)),0)</f>
        <v>[AC] 360 - Rod.bin</v>
      </c>
      <c r="F478" s="9">
        <f>IFERROR(IF(B478=INDEX(转换!B:B,MATCH(D478,转换!A:A,0)),0,1),1)</f>
        <v>0</v>
      </c>
      <c r="G478" s="9">
        <f t="shared" si="14"/>
        <v>0</v>
      </c>
      <c r="H478" s="9" t="str">
        <f t="shared" si="15"/>
        <v>-</v>
      </c>
    </row>
    <row r="479" spans="1:8" x14ac:dyDescent="0.3">
      <c r="A479" s="3" t="str">
        <f>新!E478</f>
        <v>CRC32:58C71778</v>
      </c>
      <c r="B479" s="3" t="str">
        <f>新!A478</f>
        <v>Animal Crossing\Cards\Series 4</v>
      </c>
      <c r="C479" s="3" t="str">
        <f>新!B478</f>
        <v>[AC] 361 - Purrl.bin</v>
      </c>
      <c r="D479" s="2" t="str">
        <f>IFERROR(INDEX(旧!A:A,MATCH(测试!A479,旧!E:E,0)),0)</f>
        <v>Animal Crossing\Cards - Series 4</v>
      </c>
      <c r="E479" s="2" t="str">
        <f>IFERROR(INDEX(旧!B:B,MATCH(测试!A479,旧!E:E,0)),0)</f>
        <v>[AC] 361 - Purrl.bin</v>
      </c>
      <c r="F479" s="9">
        <f>IFERROR(IF(B479=INDEX(转换!B:B,MATCH(D479,转换!A:A,0)),0,1),1)</f>
        <v>0</v>
      </c>
      <c r="G479" s="9">
        <f t="shared" si="14"/>
        <v>0</v>
      </c>
      <c r="H479" s="9" t="str">
        <f t="shared" si="15"/>
        <v>-</v>
      </c>
    </row>
    <row r="480" spans="1:8" x14ac:dyDescent="0.3">
      <c r="A480" s="3" t="str">
        <f>新!E479</f>
        <v>CRC32:0EC73066</v>
      </c>
      <c r="B480" s="3" t="str">
        <f>新!A479</f>
        <v>Animal Crossing\Cards\Series 4</v>
      </c>
      <c r="C480" s="3" t="str">
        <f>新!B479</f>
        <v>[AC] 362 - Static.bin</v>
      </c>
      <c r="D480" s="2" t="str">
        <f>IFERROR(INDEX(旧!A:A,MATCH(测试!A480,旧!E:E,0)),0)</f>
        <v>Animal Crossing\Cards - Series 4</v>
      </c>
      <c r="E480" s="2" t="str">
        <f>IFERROR(INDEX(旧!B:B,MATCH(测试!A480,旧!E:E,0)),0)</f>
        <v>[AC] 362 - Static.bin</v>
      </c>
      <c r="F480" s="9">
        <f>IFERROR(IF(B480=INDEX(转换!B:B,MATCH(D480,转换!A:A,0)),0,1),1)</f>
        <v>0</v>
      </c>
      <c r="G480" s="9">
        <f t="shared" si="14"/>
        <v>0</v>
      </c>
      <c r="H480" s="9" t="str">
        <f t="shared" si="15"/>
        <v>-</v>
      </c>
    </row>
    <row r="481" spans="1:8" x14ac:dyDescent="0.3">
      <c r="A481" s="3" t="str">
        <f>新!E480</f>
        <v>CRC32:F3D35D1F</v>
      </c>
      <c r="B481" s="3" t="str">
        <f>新!A480</f>
        <v>Animal Crossing\Cards\Series 4</v>
      </c>
      <c r="C481" s="3" t="str">
        <f>新!B480</f>
        <v>[AC] 363 - Celia.bin</v>
      </c>
      <c r="D481" s="2" t="str">
        <f>IFERROR(INDEX(旧!A:A,MATCH(测试!A481,旧!E:E,0)),0)</f>
        <v>Animal Crossing\Cards - Series 4</v>
      </c>
      <c r="E481" s="2" t="str">
        <f>IFERROR(INDEX(旧!B:B,MATCH(测试!A481,旧!E:E,0)),0)</f>
        <v>[AC] 363 - Celia.bin</v>
      </c>
      <c r="F481" s="9">
        <f>IFERROR(IF(B481=INDEX(转换!B:B,MATCH(D481,转换!A:A,0)),0,1),1)</f>
        <v>0</v>
      </c>
      <c r="G481" s="9">
        <f t="shared" si="14"/>
        <v>0</v>
      </c>
      <c r="H481" s="9" t="str">
        <f t="shared" si="15"/>
        <v>-</v>
      </c>
    </row>
    <row r="482" spans="1:8" x14ac:dyDescent="0.3">
      <c r="A482" s="3" t="str">
        <f>新!E481</f>
        <v>CRC32:9F819FF7</v>
      </c>
      <c r="B482" s="3" t="str">
        <f>新!A481</f>
        <v>Animal Crossing\Cards\Series 4</v>
      </c>
      <c r="C482" s="3" t="str">
        <f>新!B481</f>
        <v>[AC] 364 - Zucker.bin</v>
      </c>
      <c r="D482" s="2" t="str">
        <f>IFERROR(INDEX(旧!A:A,MATCH(测试!A482,旧!E:E,0)),0)</f>
        <v>Animal Crossing\Cards - Series 4</v>
      </c>
      <c r="E482" s="2" t="str">
        <f>IFERROR(INDEX(旧!B:B,MATCH(测试!A482,旧!E:E,0)),0)</f>
        <v>[AC] 364 - Zucker.bin</v>
      </c>
      <c r="F482" s="9">
        <f>IFERROR(IF(B482=INDEX(转换!B:B,MATCH(D482,转换!A:A,0)),0,1),1)</f>
        <v>0</v>
      </c>
      <c r="G482" s="9">
        <f t="shared" si="14"/>
        <v>0</v>
      </c>
      <c r="H482" s="9" t="str">
        <f t="shared" si="15"/>
        <v>-</v>
      </c>
    </row>
    <row r="483" spans="1:8" x14ac:dyDescent="0.3">
      <c r="A483" s="3" t="str">
        <f>新!E482</f>
        <v>CRC32:1ED1FEE9</v>
      </c>
      <c r="B483" s="3" t="str">
        <f>新!A482</f>
        <v>Animal Crossing\Cards\Series 4</v>
      </c>
      <c r="C483" s="3" t="str">
        <f>新!B482</f>
        <v>[AC] 365 - Peggy.bin</v>
      </c>
      <c r="D483" s="2" t="str">
        <f>IFERROR(INDEX(旧!A:A,MATCH(测试!A483,旧!E:E,0)),0)</f>
        <v>Animal Crossing\Cards - Series 4</v>
      </c>
      <c r="E483" s="2" t="str">
        <f>IFERROR(INDEX(旧!B:B,MATCH(测试!A483,旧!E:E,0)),0)</f>
        <v>[AC] 365 - Peggy.bin</v>
      </c>
      <c r="F483" s="9">
        <f>IFERROR(IF(B483=INDEX(转换!B:B,MATCH(D483,转换!A:A,0)),0,1),1)</f>
        <v>0</v>
      </c>
      <c r="G483" s="9">
        <f t="shared" si="14"/>
        <v>0</v>
      </c>
      <c r="H483" s="9" t="str">
        <f t="shared" si="15"/>
        <v>-</v>
      </c>
    </row>
    <row r="484" spans="1:8" x14ac:dyDescent="0.3">
      <c r="A484" s="3" t="str">
        <f>新!E483</f>
        <v>CRC32:FB80C9EC</v>
      </c>
      <c r="B484" s="3" t="str">
        <f>新!A483</f>
        <v>Animal Crossing\Cards\Series 4</v>
      </c>
      <c r="C484" s="3" t="str">
        <f>新!B483</f>
        <v>[AC] 366 - Ribbot.bin</v>
      </c>
      <c r="D484" s="2" t="str">
        <f>IFERROR(INDEX(旧!A:A,MATCH(测试!A484,旧!E:E,0)),0)</f>
        <v>Animal Crossing\Cards - Series 4</v>
      </c>
      <c r="E484" s="2" t="str">
        <f>IFERROR(INDEX(旧!B:B,MATCH(测试!A484,旧!E:E,0)),0)</f>
        <v>[AC] 366 - Ribbot.bin</v>
      </c>
      <c r="F484" s="9">
        <f>IFERROR(IF(B484=INDEX(转换!B:B,MATCH(D484,转换!A:A,0)),0,1),1)</f>
        <v>0</v>
      </c>
      <c r="G484" s="9">
        <f t="shared" si="14"/>
        <v>0</v>
      </c>
      <c r="H484" s="9" t="str">
        <f t="shared" si="15"/>
        <v>-</v>
      </c>
    </row>
    <row r="485" spans="1:8" x14ac:dyDescent="0.3">
      <c r="A485" s="3" t="str">
        <f>新!E484</f>
        <v>CRC32:51F1FC16</v>
      </c>
      <c r="B485" s="3" t="str">
        <f>新!A484</f>
        <v>Animal Crossing\Cards\Series 4</v>
      </c>
      <c r="C485" s="3" t="str">
        <f>新!B484</f>
        <v>[AC] 367 - Annalise.bin</v>
      </c>
      <c r="D485" s="2" t="str">
        <f>IFERROR(INDEX(旧!A:A,MATCH(测试!A485,旧!E:E,0)),0)</f>
        <v>Animal Crossing\Cards - Series 4</v>
      </c>
      <c r="E485" s="2" t="str">
        <f>IFERROR(INDEX(旧!B:B,MATCH(测试!A485,旧!E:E,0)),0)</f>
        <v>[AC] 367 - Annalise.bin</v>
      </c>
      <c r="F485" s="9">
        <f>IFERROR(IF(B485=INDEX(转换!B:B,MATCH(D485,转换!A:A,0)),0,1),1)</f>
        <v>0</v>
      </c>
      <c r="G485" s="9">
        <f t="shared" si="14"/>
        <v>0</v>
      </c>
      <c r="H485" s="9" t="str">
        <f t="shared" si="15"/>
        <v>-</v>
      </c>
    </row>
    <row r="486" spans="1:8" x14ac:dyDescent="0.3">
      <c r="A486" s="3" t="str">
        <f>新!E485</f>
        <v>CRC32:B2B81D50</v>
      </c>
      <c r="B486" s="3" t="str">
        <f>新!A485</f>
        <v>Animal Crossing\Cards\Series 4</v>
      </c>
      <c r="C486" s="3" t="str">
        <f>新!B485</f>
        <v>[AC] 368 - Chow.bin</v>
      </c>
      <c r="D486" s="2" t="str">
        <f>IFERROR(INDEX(旧!A:A,MATCH(测试!A486,旧!E:E,0)),0)</f>
        <v>Animal Crossing\Cards - Series 4</v>
      </c>
      <c r="E486" s="2" t="str">
        <f>IFERROR(INDEX(旧!B:B,MATCH(测试!A486,旧!E:E,0)),0)</f>
        <v>[AC] 368 - Chow.bin</v>
      </c>
      <c r="F486" s="9">
        <f>IFERROR(IF(B486=INDEX(转换!B:B,MATCH(D486,转换!A:A,0)),0,1),1)</f>
        <v>0</v>
      </c>
      <c r="G486" s="9">
        <f t="shared" si="14"/>
        <v>0</v>
      </c>
      <c r="H486" s="9" t="str">
        <f t="shared" si="15"/>
        <v>-</v>
      </c>
    </row>
    <row r="487" spans="1:8" x14ac:dyDescent="0.3">
      <c r="A487" s="3" t="str">
        <f>新!E486</f>
        <v>CRC32:707CC5BD</v>
      </c>
      <c r="B487" s="3" t="str">
        <f>新!A486</f>
        <v>Animal Crossing\Cards\Series 4</v>
      </c>
      <c r="C487" s="3" t="str">
        <f>新!B486</f>
        <v>[AC] 369 - Sylvia.bin</v>
      </c>
      <c r="D487" s="2" t="str">
        <f>IFERROR(INDEX(旧!A:A,MATCH(测试!A487,旧!E:E,0)),0)</f>
        <v>Animal Crossing\Cards - Series 4</v>
      </c>
      <c r="E487" s="2" t="str">
        <f>IFERROR(INDEX(旧!B:B,MATCH(测试!A487,旧!E:E,0)),0)</f>
        <v>[AC] 369 - Sylvia.bin</v>
      </c>
      <c r="F487" s="9">
        <f>IFERROR(IF(B487=INDEX(转换!B:B,MATCH(D487,转换!A:A,0)),0,1),1)</f>
        <v>0</v>
      </c>
      <c r="G487" s="9">
        <f t="shared" si="14"/>
        <v>0</v>
      </c>
      <c r="H487" s="9" t="str">
        <f t="shared" si="15"/>
        <v>-</v>
      </c>
    </row>
    <row r="488" spans="1:8" x14ac:dyDescent="0.3">
      <c r="A488" s="3" t="str">
        <f>新!E487</f>
        <v>CRC32:733C5118</v>
      </c>
      <c r="B488" s="3" t="str">
        <f>新!A487</f>
        <v>Animal Crossing\Cards\Series 4</v>
      </c>
      <c r="C488" s="3" t="str">
        <f>新!B487</f>
        <v>[AC] 370 - Jacques.bin</v>
      </c>
      <c r="D488" s="2" t="str">
        <f>IFERROR(INDEX(旧!A:A,MATCH(测试!A488,旧!E:E,0)),0)</f>
        <v>Animal Crossing\Cards - Series 4</v>
      </c>
      <c r="E488" s="2" t="str">
        <f>IFERROR(INDEX(旧!B:B,MATCH(测试!A488,旧!E:E,0)),0)</f>
        <v>[AC] 370 - Jacques.bin</v>
      </c>
      <c r="F488" s="9">
        <f>IFERROR(IF(B488=INDEX(转换!B:B,MATCH(D488,转换!A:A,0)),0,1),1)</f>
        <v>0</v>
      </c>
      <c r="G488" s="9">
        <f t="shared" si="14"/>
        <v>0</v>
      </c>
      <c r="H488" s="9" t="str">
        <f t="shared" si="15"/>
        <v>-</v>
      </c>
    </row>
    <row r="489" spans="1:8" x14ac:dyDescent="0.3">
      <c r="A489" s="3" t="str">
        <f>新!E488</f>
        <v>CRC32:E06D20F1</v>
      </c>
      <c r="B489" s="3" t="str">
        <f>新!A488</f>
        <v>Animal Crossing\Cards\Series 4</v>
      </c>
      <c r="C489" s="3" t="str">
        <f>新!B488</f>
        <v>[AC] 371 - Sally.bin</v>
      </c>
      <c r="D489" s="2" t="str">
        <f>IFERROR(INDEX(旧!A:A,MATCH(测试!A489,旧!E:E,0)),0)</f>
        <v>Animal Crossing\Cards - Series 4</v>
      </c>
      <c r="E489" s="2" t="str">
        <f>IFERROR(INDEX(旧!B:B,MATCH(测试!A489,旧!E:E,0)),0)</f>
        <v>[AC] 371 - Sally.bin</v>
      </c>
      <c r="F489" s="9">
        <f>IFERROR(IF(B489=INDEX(转换!B:B,MATCH(D489,转换!A:A,0)),0,1),1)</f>
        <v>0</v>
      </c>
      <c r="G489" s="9">
        <f t="shared" si="14"/>
        <v>0</v>
      </c>
      <c r="H489" s="9" t="str">
        <f t="shared" si="15"/>
        <v>-</v>
      </c>
    </row>
    <row r="490" spans="1:8" x14ac:dyDescent="0.3">
      <c r="A490" s="3" t="str">
        <f>新!E489</f>
        <v>CRC32:F180595D</v>
      </c>
      <c r="B490" s="3" t="str">
        <f>新!A489</f>
        <v>Animal Crossing\Cards\Series 4</v>
      </c>
      <c r="C490" s="3" t="str">
        <f>新!B489</f>
        <v>[AC] 372 - Doc.bin</v>
      </c>
      <c r="D490" s="2" t="str">
        <f>IFERROR(INDEX(旧!A:A,MATCH(测试!A490,旧!E:E,0)),0)</f>
        <v>Animal Crossing\Cards - Series 4</v>
      </c>
      <c r="E490" s="2" t="str">
        <f>IFERROR(INDEX(旧!B:B,MATCH(测试!A490,旧!E:E,0)),0)</f>
        <v>[AC] 372 - Doc.bin</v>
      </c>
      <c r="F490" s="9">
        <f>IFERROR(IF(B490=INDEX(转换!B:B,MATCH(D490,转换!A:A,0)),0,1),1)</f>
        <v>0</v>
      </c>
      <c r="G490" s="9">
        <f t="shared" si="14"/>
        <v>0</v>
      </c>
      <c r="H490" s="9" t="str">
        <f t="shared" si="15"/>
        <v>-</v>
      </c>
    </row>
    <row r="491" spans="1:8" x14ac:dyDescent="0.3">
      <c r="A491" s="3" t="str">
        <f>新!E490</f>
        <v>CRC32:CBEF7919</v>
      </c>
      <c r="B491" s="3" t="str">
        <f>新!A490</f>
        <v>Animal Crossing\Cards\Series 4</v>
      </c>
      <c r="C491" s="3" t="str">
        <f>新!B490</f>
        <v>[AC] 373 - Pompom.bin</v>
      </c>
      <c r="D491" s="2" t="str">
        <f>IFERROR(INDEX(旧!A:A,MATCH(测试!A491,旧!E:E,0)),0)</f>
        <v>Animal Crossing\Cards - Series 4</v>
      </c>
      <c r="E491" s="2" t="str">
        <f>IFERROR(INDEX(旧!B:B,MATCH(测试!A491,旧!E:E,0)),0)</f>
        <v>[AC] 373 - Pompom.bin</v>
      </c>
      <c r="F491" s="9">
        <f>IFERROR(IF(B491=INDEX(转换!B:B,MATCH(D491,转换!A:A,0)),0,1),1)</f>
        <v>0</v>
      </c>
      <c r="G491" s="9">
        <f t="shared" si="14"/>
        <v>0</v>
      </c>
      <c r="H491" s="9" t="str">
        <f t="shared" si="15"/>
        <v>-</v>
      </c>
    </row>
    <row r="492" spans="1:8" x14ac:dyDescent="0.3">
      <c r="A492" s="3" t="str">
        <f>新!E491</f>
        <v>CRC32:FA3589B4</v>
      </c>
      <c r="B492" s="3" t="str">
        <f>新!A491</f>
        <v>Animal Crossing\Cards\Series 4</v>
      </c>
      <c r="C492" s="3" t="str">
        <f>新!B491</f>
        <v>[AC] 374 - Tank.bin</v>
      </c>
      <c r="D492" s="2" t="str">
        <f>IFERROR(INDEX(旧!A:A,MATCH(测试!A492,旧!E:E,0)),0)</f>
        <v>Animal Crossing\Cards - Series 4</v>
      </c>
      <c r="E492" s="2" t="str">
        <f>IFERROR(INDEX(旧!B:B,MATCH(测试!A492,旧!E:E,0)),0)</f>
        <v>[AC] 374 - Tank.bin</v>
      </c>
      <c r="F492" s="9">
        <f>IFERROR(IF(B492=INDEX(转换!B:B,MATCH(D492,转换!A:A,0)),0,1),1)</f>
        <v>0</v>
      </c>
      <c r="G492" s="9">
        <f t="shared" ref="G492:G555" si="16">IF(E492=C492,0,1)</f>
        <v>0</v>
      </c>
      <c r="H492" s="9" t="str">
        <f t="shared" si="15"/>
        <v>-</v>
      </c>
    </row>
    <row r="493" spans="1:8" x14ac:dyDescent="0.3">
      <c r="A493" s="3" t="str">
        <f>新!E492</f>
        <v>CRC32:4113E2B2</v>
      </c>
      <c r="B493" s="3" t="str">
        <f>新!A492</f>
        <v>Animal Crossing\Cards\Series 4</v>
      </c>
      <c r="C493" s="3" t="str">
        <f>新!B492</f>
        <v>[AC] 375 - Becky.bin</v>
      </c>
      <c r="D493" s="2" t="str">
        <f>IFERROR(INDEX(旧!A:A,MATCH(测试!A493,旧!E:E,0)),0)</f>
        <v>Animal Crossing\Cards - Series 4</v>
      </c>
      <c r="E493" s="2" t="str">
        <f>IFERROR(INDEX(旧!B:B,MATCH(测试!A493,旧!E:E,0)),0)</f>
        <v>[AC] 375 - Becky.bin</v>
      </c>
      <c r="F493" s="9">
        <f>IFERROR(IF(B493=INDEX(转换!B:B,MATCH(D493,转换!A:A,0)),0,1),1)</f>
        <v>0</v>
      </c>
      <c r="G493" s="9">
        <f t="shared" si="16"/>
        <v>0</v>
      </c>
      <c r="H493" s="9" t="str">
        <f t="shared" si="15"/>
        <v>-</v>
      </c>
    </row>
    <row r="494" spans="1:8" x14ac:dyDescent="0.3">
      <c r="A494" s="3" t="str">
        <f>新!E493</f>
        <v>CRC32:5C1BE931</v>
      </c>
      <c r="B494" s="3" t="str">
        <f>新!A493</f>
        <v>Animal Crossing\Cards\Series 4</v>
      </c>
      <c r="C494" s="3" t="str">
        <f>新!B493</f>
        <v>[AC] 376 - Rizzo.bin</v>
      </c>
      <c r="D494" s="2" t="str">
        <f>IFERROR(INDEX(旧!A:A,MATCH(测试!A494,旧!E:E,0)),0)</f>
        <v>Animal Crossing\Cards - Series 4</v>
      </c>
      <c r="E494" s="2" t="str">
        <f>IFERROR(INDEX(旧!B:B,MATCH(测试!A494,旧!E:E,0)),0)</f>
        <v>[AC] 376 - Rizzo.bin</v>
      </c>
      <c r="F494" s="9">
        <f>IFERROR(IF(B494=INDEX(转换!B:B,MATCH(D494,转换!A:A,0)),0,1),1)</f>
        <v>0</v>
      </c>
      <c r="G494" s="9">
        <f t="shared" si="16"/>
        <v>0</v>
      </c>
      <c r="H494" s="9" t="str">
        <f t="shared" si="15"/>
        <v>-</v>
      </c>
    </row>
    <row r="495" spans="1:8" x14ac:dyDescent="0.3">
      <c r="A495" s="3" t="str">
        <f>新!E494</f>
        <v>CRC32:8F8E6418</v>
      </c>
      <c r="B495" s="3" t="str">
        <f>新!A494</f>
        <v>Animal Crossing\Cards\Series 4</v>
      </c>
      <c r="C495" s="3" t="str">
        <f>新!B494</f>
        <v>[AC] 377 - Sydney.bin</v>
      </c>
      <c r="D495" s="2" t="str">
        <f>IFERROR(INDEX(旧!A:A,MATCH(测试!A495,旧!E:E,0)),0)</f>
        <v>Animal Crossing\Cards - Series 4</v>
      </c>
      <c r="E495" s="2" t="str">
        <f>IFERROR(INDEX(旧!B:B,MATCH(测试!A495,旧!E:E,0)),0)</f>
        <v>[AC] 377 - Sydney.bin</v>
      </c>
      <c r="F495" s="9">
        <f>IFERROR(IF(B495=INDEX(转换!B:B,MATCH(D495,转换!A:A,0)),0,1),1)</f>
        <v>0</v>
      </c>
      <c r="G495" s="9">
        <f t="shared" si="16"/>
        <v>0</v>
      </c>
      <c r="H495" s="9" t="str">
        <f t="shared" si="15"/>
        <v>-</v>
      </c>
    </row>
    <row r="496" spans="1:8" x14ac:dyDescent="0.3">
      <c r="A496" s="3" t="str">
        <f>新!E495</f>
        <v>CRC32:A0C4FED6</v>
      </c>
      <c r="B496" s="3" t="str">
        <f>新!A495</f>
        <v>Animal Crossing\Cards\Series 4</v>
      </c>
      <c r="C496" s="3" t="str">
        <f>新!B495</f>
        <v>[AC] 378 - Barold.bin</v>
      </c>
      <c r="D496" s="2" t="str">
        <f>IFERROR(INDEX(旧!A:A,MATCH(测试!A496,旧!E:E,0)),0)</f>
        <v>Animal Crossing\Cards - Series 4</v>
      </c>
      <c r="E496" s="2" t="str">
        <f>IFERROR(INDEX(旧!B:B,MATCH(测试!A496,旧!E:E,0)),0)</f>
        <v>[AC] 378 - Barold.bin</v>
      </c>
      <c r="F496" s="9">
        <f>IFERROR(IF(B496=INDEX(转换!B:B,MATCH(D496,转换!A:A,0)),0,1),1)</f>
        <v>0</v>
      </c>
      <c r="G496" s="9">
        <f t="shared" si="16"/>
        <v>0</v>
      </c>
      <c r="H496" s="9" t="str">
        <f t="shared" si="15"/>
        <v>-</v>
      </c>
    </row>
    <row r="497" spans="1:8" x14ac:dyDescent="0.3">
      <c r="A497" s="3" t="str">
        <f>新!E496</f>
        <v>CRC32:765177D0</v>
      </c>
      <c r="B497" s="3" t="str">
        <f>新!A496</f>
        <v>Animal Crossing\Cards\Series 4</v>
      </c>
      <c r="C497" s="3" t="str">
        <f>新!B496</f>
        <v>[AC] 379 - Nibbles.bin</v>
      </c>
      <c r="D497" s="2" t="str">
        <f>IFERROR(INDEX(旧!A:A,MATCH(测试!A497,旧!E:E,0)),0)</f>
        <v>Animal Crossing\Cards - Series 4</v>
      </c>
      <c r="E497" s="2" t="str">
        <f>IFERROR(INDEX(旧!B:B,MATCH(测试!A497,旧!E:E,0)),0)</f>
        <v>[AC] 379 - Nibbles.bin</v>
      </c>
      <c r="F497" s="9">
        <f>IFERROR(IF(B497=INDEX(转换!B:B,MATCH(D497,转换!A:A,0)),0,1),1)</f>
        <v>0</v>
      </c>
      <c r="G497" s="9">
        <f t="shared" si="16"/>
        <v>0</v>
      </c>
      <c r="H497" s="9" t="str">
        <f t="shared" si="15"/>
        <v>-</v>
      </c>
    </row>
    <row r="498" spans="1:8" x14ac:dyDescent="0.3">
      <c r="A498" s="3" t="str">
        <f>新!E497</f>
        <v>CRC32:5781B4D0</v>
      </c>
      <c r="B498" s="3" t="str">
        <f>新!A497</f>
        <v>Animal Crossing\Cards\Series 4</v>
      </c>
      <c r="C498" s="3" t="str">
        <f>新!B497</f>
        <v>[AC] 380 - Kevin.bin</v>
      </c>
      <c r="D498" s="2" t="str">
        <f>IFERROR(INDEX(旧!A:A,MATCH(测试!A498,旧!E:E,0)),0)</f>
        <v>Animal Crossing\Cards - Series 4</v>
      </c>
      <c r="E498" s="2" t="str">
        <f>IFERROR(INDEX(旧!B:B,MATCH(测试!A498,旧!E:E,0)),0)</f>
        <v>[AC] 380 - Kevin.bin</v>
      </c>
      <c r="F498" s="9">
        <f>IFERROR(IF(B498=INDEX(转换!B:B,MATCH(D498,转换!A:A,0)),0,1),1)</f>
        <v>0</v>
      </c>
      <c r="G498" s="9">
        <f t="shared" si="16"/>
        <v>0</v>
      </c>
      <c r="H498" s="9" t="str">
        <f t="shared" si="15"/>
        <v>-</v>
      </c>
    </row>
    <row r="499" spans="1:8" x14ac:dyDescent="0.3">
      <c r="A499" s="3" t="str">
        <f>新!E498</f>
        <v>CRC32:A46E55EA</v>
      </c>
      <c r="B499" s="3" t="str">
        <f>新!A498</f>
        <v>Animal Crossing\Cards\Series 4</v>
      </c>
      <c r="C499" s="3" t="str">
        <f>新!B498</f>
        <v>[AC] 381 - Gloria.bin</v>
      </c>
      <c r="D499" s="2" t="str">
        <f>IFERROR(INDEX(旧!A:A,MATCH(测试!A499,旧!E:E,0)),0)</f>
        <v>Animal Crossing\Cards - Series 4</v>
      </c>
      <c r="E499" s="2" t="str">
        <f>IFERROR(INDEX(旧!B:B,MATCH(测试!A499,旧!E:E,0)),0)</f>
        <v>[AC] 381 - Gloria.bin</v>
      </c>
      <c r="F499" s="9">
        <f>IFERROR(IF(B499=INDEX(转换!B:B,MATCH(D499,转换!A:A,0)),0,1),1)</f>
        <v>0</v>
      </c>
      <c r="G499" s="9">
        <f t="shared" si="16"/>
        <v>0</v>
      </c>
      <c r="H499" s="9" t="str">
        <f t="shared" si="15"/>
        <v>-</v>
      </c>
    </row>
    <row r="500" spans="1:8" x14ac:dyDescent="0.3">
      <c r="A500" s="3" t="str">
        <f>新!E499</f>
        <v>CRC32:FBCC3526</v>
      </c>
      <c r="B500" s="3" t="str">
        <f>新!A499</f>
        <v>Animal Crossing\Cards\Series 4</v>
      </c>
      <c r="C500" s="3" t="str">
        <f>新!B499</f>
        <v>[AC] 382 - Lobo.bin</v>
      </c>
      <c r="D500" s="2" t="str">
        <f>IFERROR(INDEX(旧!A:A,MATCH(测试!A500,旧!E:E,0)),0)</f>
        <v>Animal Crossing\Cards - Series 4</v>
      </c>
      <c r="E500" s="2" t="str">
        <f>IFERROR(INDEX(旧!B:B,MATCH(测试!A500,旧!E:E,0)),0)</f>
        <v>[AC] 382 - Lobo.bin</v>
      </c>
      <c r="F500" s="9">
        <f>IFERROR(IF(B500=INDEX(转换!B:B,MATCH(D500,转换!A:A,0)),0,1),1)</f>
        <v>0</v>
      </c>
      <c r="G500" s="9">
        <f t="shared" si="16"/>
        <v>0</v>
      </c>
      <c r="H500" s="9" t="str">
        <f t="shared" si="15"/>
        <v>-</v>
      </c>
    </row>
    <row r="501" spans="1:8" x14ac:dyDescent="0.3">
      <c r="A501" s="3" t="str">
        <f>新!E500</f>
        <v>CRC32:B8BAAD0E</v>
      </c>
      <c r="B501" s="3" t="str">
        <f>新!A500</f>
        <v>Animal Crossing\Cards\Series 4</v>
      </c>
      <c r="C501" s="3" t="str">
        <f>新!B500</f>
        <v>[AC] 383 - Hippeux.bin</v>
      </c>
      <c r="D501" s="2" t="str">
        <f>IFERROR(INDEX(旧!A:A,MATCH(测试!A501,旧!E:E,0)),0)</f>
        <v>Animal Crossing\Cards - Series 4</v>
      </c>
      <c r="E501" s="2" t="str">
        <f>IFERROR(INDEX(旧!B:B,MATCH(测试!A501,旧!E:E,0)),0)</f>
        <v>[AC] 383 - Hippeux.bin</v>
      </c>
      <c r="F501" s="9">
        <f>IFERROR(IF(B501=INDEX(转换!B:B,MATCH(D501,转换!A:A,0)),0,1),1)</f>
        <v>0</v>
      </c>
      <c r="G501" s="9">
        <f t="shared" si="16"/>
        <v>0</v>
      </c>
      <c r="H501" s="9" t="str">
        <f t="shared" si="15"/>
        <v>-</v>
      </c>
    </row>
    <row r="502" spans="1:8" x14ac:dyDescent="0.3">
      <c r="A502" s="3" t="str">
        <f>新!E501</f>
        <v>CRC32:63BA41AE</v>
      </c>
      <c r="B502" s="3" t="str">
        <f>新!A501</f>
        <v>Animal Crossing\Cards\Series 4</v>
      </c>
      <c r="C502" s="3" t="str">
        <f>新!B501</f>
        <v>[AC] 384 - Margie.bin</v>
      </c>
      <c r="D502" s="2" t="str">
        <f>IFERROR(INDEX(旧!A:A,MATCH(测试!A502,旧!E:E,0)),0)</f>
        <v>Animal Crossing\Cards - Series 4</v>
      </c>
      <c r="E502" s="2" t="str">
        <f>IFERROR(INDEX(旧!B:B,MATCH(测试!A502,旧!E:E,0)),0)</f>
        <v>[AC] 384 - Margie.bin</v>
      </c>
      <c r="F502" s="9">
        <f>IFERROR(IF(B502=INDEX(转换!B:B,MATCH(D502,转换!A:A,0)),0,1),1)</f>
        <v>0</v>
      </c>
      <c r="G502" s="9">
        <f t="shared" si="16"/>
        <v>0</v>
      </c>
      <c r="H502" s="9" t="str">
        <f t="shared" si="15"/>
        <v>-</v>
      </c>
    </row>
    <row r="503" spans="1:8" x14ac:dyDescent="0.3">
      <c r="A503" s="3" t="str">
        <f>新!E502</f>
        <v>CRC32:BFA40DC5</v>
      </c>
      <c r="B503" s="3" t="str">
        <f>新!A502</f>
        <v>Animal Crossing\Cards\Series 4</v>
      </c>
      <c r="C503" s="3" t="str">
        <f>新!B502</f>
        <v>[AC] 385 - Lucky.bin</v>
      </c>
      <c r="D503" s="2" t="str">
        <f>IFERROR(INDEX(旧!A:A,MATCH(测试!A503,旧!E:E,0)),0)</f>
        <v>Animal Crossing\Cards - Series 4</v>
      </c>
      <c r="E503" s="2" t="str">
        <f>IFERROR(INDEX(旧!B:B,MATCH(测试!A503,旧!E:E,0)),0)</f>
        <v>[AC] 385 - Lucky.bin</v>
      </c>
      <c r="F503" s="9">
        <f>IFERROR(IF(B503=INDEX(转换!B:B,MATCH(D503,转换!A:A,0)),0,1),1)</f>
        <v>0</v>
      </c>
      <c r="G503" s="9">
        <f t="shared" si="16"/>
        <v>0</v>
      </c>
      <c r="H503" s="9" t="str">
        <f t="shared" si="15"/>
        <v>-</v>
      </c>
    </row>
    <row r="504" spans="1:8" x14ac:dyDescent="0.3">
      <c r="A504" s="3" t="str">
        <f>新!E503</f>
        <v>CRC32:B847E290</v>
      </c>
      <c r="B504" s="3" t="str">
        <f>新!A503</f>
        <v>Animal Crossing\Cards\Series 4</v>
      </c>
      <c r="C504" s="3" t="str">
        <f>新!B503</f>
        <v>[AC] 386 - Rosie.bin</v>
      </c>
      <c r="D504" s="2" t="str">
        <f>IFERROR(INDEX(旧!A:A,MATCH(测试!A504,旧!E:E,0)),0)</f>
        <v>Animal Crossing\Cards - Series 4</v>
      </c>
      <c r="E504" s="2" t="str">
        <f>IFERROR(INDEX(旧!B:B,MATCH(测试!A504,旧!E:E,0)),0)</f>
        <v>[AC] 386 - Rosie.bin</v>
      </c>
      <c r="F504" s="9">
        <f>IFERROR(IF(B504=INDEX(转换!B:B,MATCH(D504,转换!A:A,0)),0,1),1)</f>
        <v>0</v>
      </c>
      <c r="G504" s="9">
        <f t="shared" si="16"/>
        <v>0</v>
      </c>
      <c r="H504" s="9" t="str">
        <f t="shared" si="15"/>
        <v>-</v>
      </c>
    </row>
    <row r="505" spans="1:8" x14ac:dyDescent="0.3">
      <c r="A505" s="3" t="str">
        <f>新!E504</f>
        <v>CRC32:7F0DE24E</v>
      </c>
      <c r="B505" s="3" t="str">
        <f>新!A504</f>
        <v>Animal Crossing\Cards\Series 4</v>
      </c>
      <c r="C505" s="3" t="str">
        <f>新!B504</f>
        <v>[AC] 387 - Rowan.bin</v>
      </c>
      <c r="D505" s="2" t="str">
        <f>IFERROR(INDEX(旧!A:A,MATCH(测试!A505,旧!E:E,0)),0)</f>
        <v>Animal Crossing\Cards - Series 4</v>
      </c>
      <c r="E505" s="2" t="str">
        <f>IFERROR(INDEX(旧!B:B,MATCH(测试!A505,旧!E:E,0)),0)</f>
        <v>[AC] 387 - Rowan.bin</v>
      </c>
      <c r="F505" s="9">
        <f>IFERROR(IF(B505=INDEX(转换!B:B,MATCH(D505,转换!A:A,0)),0,1),1)</f>
        <v>0</v>
      </c>
      <c r="G505" s="9">
        <f t="shared" si="16"/>
        <v>0</v>
      </c>
      <c r="H505" s="9" t="str">
        <f t="shared" si="15"/>
        <v>-</v>
      </c>
    </row>
    <row r="506" spans="1:8" x14ac:dyDescent="0.3">
      <c r="A506" s="3" t="str">
        <f>新!E505</f>
        <v>CRC32:0EBB08D1</v>
      </c>
      <c r="B506" s="3" t="str">
        <f>新!A505</f>
        <v>Animal Crossing\Cards\Series 4</v>
      </c>
      <c r="C506" s="3" t="str">
        <f>新!B505</f>
        <v>[AC] 388 - Maelle.bin</v>
      </c>
      <c r="D506" s="2" t="str">
        <f>IFERROR(INDEX(旧!A:A,MATCH(测试!A506,旧!E:E,0)),0)</f>
        <v>Animal Crossing\Cards - Series 4</v>
      </c>
      <c r="E506" s="2" t="str">
        <f>IFERROR(INDEX(旧!B:B,MATCH(测试!A506,旧!E:E,0)),0)</f>
        <v>[AC] 388 - Maelle.bin</v>
      </c>
      <c r="F506" s="9">
        <f>IFERROR(IF(B506=INDEX(转换!B:B,MATCH(D506,转换!A:A,0)),0,1),1)</f>
        <v>0</v>
      </c>
      <c r="G506" s="9">
        <f t="shared" si="16"/>
        <v>0</v>
      </c>
      <c r="H506" s="9" t="str">
        <f t="shared" si="15"/>
        <v>-</v>
      </c>
    </row>
    <row r="507" spans="1:8" x14ac:dyDescent="0.3">
      <c r="A507" s="3" t="str">
        <f>新!E506</f>
        <v>CRC32:F0C9064C</v>
      </c>
      <c r="B507" s="3" t="str">
        <f>新!A506</f>
        <v>Animal Crossing\Cards\Series 4</v>
      </c>
      <c r="C507" s="3" t="str">
        <f>新!B506</f>
        <v>[AC] 389 - Bruce.bin</v>
      </c>
      <c r="D507" s="2" t="str">
        <f>IFERROR(INDEX(旧!A:A,MATCH(测试!A507,旧!E:E,0)),0)</f>
        <v>Animal Crossing\Cards - Series 4</v>
      </c>
      <c r="E507" s="2" t="str">
        <f>IFERROR(INDEX(旧!B:B,MATCH(测试!A507,旧!E:E,0)),0)</f>
        <v>[AC] 389 - Bruce.bin</v>
      </c>
      <c r="F507" s="9">
        <f>IFERROR(IF(B507=INDEX(转换!B:B,MATCH(D507,转换!A:A,0)),0,1),1)</f>
        <v>0</v>
      </c>
      <c r="G507" s="9">
        <f t="shared" si="16"/>
        <v>0</v>
      </c>
      <c r="H507" s="9" t="str">
        <f t="shared" si="15"/>
        <v>-</v>
      </c>
    </row>
    <row r="508" spans="1:8" x14ac:dyDescent="0.3">
      <c r="A508" s="3" t="str">
        <f>新!E507</f>
        <v>CRC32:F524FE1D</v>
      </c>
      <c r="B508" s="3" t="str">
        <f>新!A507</f>
        <v>Animal Crossing\Cards\Series 4</v>
      </c>
      <c r="C508" s="3" t="str">
        <f>新!B507</f>
        <v>[AC] 390 - O'Hare.bin</v>
      </c>
      <c r="D508" s="2" t="str">
        <f>IFERROR(INDEX(旧!A:A,MATCH(测试!A508,旧!E:E,0)),0)</f>
        <v>Animal Crossing\Cards - Series 4</v>
      </c>
      <c r="E508" s="2" t="str">
        <f>IFERROR(INDEX(旧!B:B,MATCH(测试!A508,旧!E:E,0)),0)</f>
        <v>[AC] 390 - O'Hare.bin</v>
      </c>
      <c r="F508" s="9">
        <f>IFERROR(IF(B508=INDEX(转换!B:B,MATCH(D508,转换!A:A,0)),0,1),1)</f>
        <v>0</v>
      </c>
      <c r="G508" s="9">
        <f t="shared" si="16"/>
        <v>0</v>
      </c>
      <c r="H508" s="9" t="str">
        <f t="shared" si="15"/>
        <v>-</v>
      </c>
    </row>
    <row r="509" spans="1:8" x14ac:dyDescent="0.3">
      <c r="A509" s="3" t="str">
        <f>新!E508</f>
        <v>CRC32:08CD257E</v>
      </c>
      <c r="B509" s="3" t="str">
        <f>新!A508</f>
        <v>Animal Crossing\Cards\Series 4</v>
      </c>
      <c r="C509" s="3" t="str">
        <f>新!B508</f>
        <v>[AC] 391 - Gayle.bin</v>
      </c>
      <c r="D509" s="2" t="str">
        <f>IFERROR(INDEX(旧!A:A,MATCH(测试!A509,旧!E:E,0)),0)</f>
        <v>Animal Crossing\Cards - Series 4</v>
      </c>
      <c r="E509" s="2" t="str">
        <f>IFERROR(INDEX(旧!B:B,MATCH(测试!A509,旧!E:E,0)),0)</f>
        <v>[AC] 391 - Gayle.bin</v>
      </c>
      <c r="F509" s="9">
        <f>IFERROR(IF(B509=INDEX(转换!B:B,MATCH(D509,转换!A:A,0)),0,1),1)</f>
        <v>0</v>
      </c>
      <c r="G509" s="9">
        <f t="shared" si="16"/>
        <v>0</v>
      </c>
      <c r="H509" s="9" t="str">
        <f t="shared" si="15"/>
        <v>-</v>
      </c>
    </row>
    <row r="510" spans="1:8" x14ac:dyDescent="0.3">
      <c r="A510" s="3" t="str">
        <f>新!E509</f>
        <v>CRC32:68FA0336</v>
      </c>
      <c r="B510" s="3" t="str">
        <f>新!A509</f>
        <v>Animal Crossing\Cards\Series 4</v>
      </c>
      <c r="C510" s="3" t="str">
        <f>新!B509</f>
        <v>[AC] 392 - Cranston.bin</v>
      </c>
      <c r="D510" s="2" t="str">
        <f>IFERROR(INDEX(旧!A:A,MATCH(测试!A510,旧!E:E,0)),0)</f>
        <v>Animal Crossing\Cards - Series 4</v>
      </c>
      <c r="E510" s="2" t="str">
        <f>IFERROR(INDEX(旧!B:B,MATCH(测试!A510,旧!E:E,0)),0)</f>
        <v>[AC] 392 - Cranston.bin</v>
      </c>
      <c r="F510" s="9">
        <f>IFERROR(IF(B510=INDEX(转换!B:B,MATCH(D510,转换!A:A,0)),0,1),1)</f>
        <v>0</v>
      </c>
      <c r="G510" s="9">
        <f t="shared" si="16"/>
        <v>0</v>
      </c>
      <c r="H510" s="9" t="str">
        <f t="shared" si="15"/>
        <v>-</v>
      </c>
    </row>
    <row r="511" spans="1:8" x14ac:dyDescent="0.3">
      <c r="A511" s="3" t="str">
        <f>新!E510</f>
        <v>CRC32:B312D82F</v>
      </c>
      <c r="B511" s="3" t="str">
        <f>新!A510</f>
        <v>Animal Crossing\Cards\Series 4</v>
      </c>
      <c r="C511" s="3" t="str">
        <f>新!B510</f>
        <v>[AC] 393 - Frobert.bin</v>
      </c>
      <c r="D511" s="2" t="str">
        <f>IFERROR(INDEX(旧!A:A,MATCH(测试!A511,旧!E:E,0)),0)</f>
        <v>Animal Crossing\Cards - Series 4</v>
      </c>
      <c r="E511" s="2" t="str">
        <f>IFERROR(INDEX(旧!B:B,MATCH(测试!A511,旧!E:E,0)),0)</f>
        <v>[AC] 393 - Frobert.bin</v>
      </c>
      <c r="F511" s="9">
        <f>IFERROR(IF(B511=INDEX(转换!B:B,MATCH(D511,转换!A:A,0)),0,1),1)</f>
        <v>0</v>
      </c>
      <c r="G511" s="9">
        <f t="shared" si="16"/>
        <v>0</v>
      </c>
      <c r="H511" s="9" t="str">
        <f t="shared" si="15"/>
        <v>-</v>
      </c>
    </row>
    <row r="512" spans="1:8" x14ac:dyDescent="0.3">
      <c r="A512" s="3" t="str">
        <f>新!E511</f>
        <v>CRC32:54EF5293</v>
      </c>
      <c r="B512" s="3" t="str">
        <f>新!A511</f>
        <v>Animal Crossing\Cards\Series 4</v>
      </c>
      <c r="C512" s="3" t="str">
        <f>新!B511</f>
        <v>[AC] 394 - Grizzly.bin</v>
      </c>
      <c r="D512" s="2" t="str">
        <f>IFERROR(INDEX(旧!A:A,MATCH(测试!A512,旧!E:E,0)),0)</f>
        <v>Animal Crossing\Cards - Series 4</v>
      </c>
      <c r="E512" s="2" t="str">
        <f>IFERROR(INDEX(旧!B:B,MATCH(测试!A512,旧!E:E,0)),0)</f>
        <v>[AC] 394 - Grizzly.bin</v>
      </c>
      <c r="F512" s="9">
        <f>IFERROR(IF(B512=INDEX(转换!B:B,MATCH(D512,转换!A:A,0)),0,1),1)</f>
        <v>0</v>
      </c>
      <c r="G512" s="9">
        <f t="shared" si="16"/>
        <v>0</v>
      </c>
      <c r="H512" s="9" t="str">
        <f t="shared" si="15"/>
        <v>-</v>
      </c>
    </row>
    <row r="513" spans="1:8" x14ac:dyDescent="0.3">
      <c r="A513" s="3" t="str">
        <f>新!E512</f>
        <v>CRC32:4A12F8D7</v>
      </c>
      <c r="B513" s="3" t="str">
        <f>新!A512</f>
        <v>Animal Crossing\Cards\Series 4</v>
      </c>
      <c r="C513" s="3" t="str">
        <f>新!B512</f>
        <v>[AC] 395 - Cally.bin</v>
      </c>
      <c r="D513" s="2" t="str">
        <f>IFERROR(INDEX(旧!A:A,MATCH(测试!A513,旧!E:E,0)),0)</f>
        <v>Animal Crossing\Cards - Series 4</v>
      </c>
      <c r="E513" s="2" t="str">
        <f>IFERROR(INDEX(旧!B:B,MATCH(测试!A513,旧!E:E,0)),0)</f>
        <v>[AC] 395 - Cally.bin</v>
      </c>
      <c r="F513" s="9">
        <f>IFERROR(IF(B513=INDEX(转换!B:B,MATCH(D513,转换!A:A,0)),0,1),1)</f>
        <v>0</v>
      </c>
      <c r="G513" s="9">
        <f t="shared" si="16"/>
        <v>0</v>
      </c>
      <c r="H513" s="9" t="str">
        <f t="shared" si="15"/>
        <v>-</v>
      </c>
    </row>
    <row r="514" spans="1:8" x14ac:dyDescent="0.3">
      <c r="A514" s="3" t="str">
        <f>新!E513</f>
        <v>CRC32:D1086CA4</v>
      </c>
      <c r="B514" s="3" t="str">
        <f>新!A513</f>
        <v>Animal Crossing\Cards\Series 4</v>
      </c>
      <c r="C514" s="3" t="str">
        <f>新!B513</f>
        <v>[AC] 396 - Simon.bin</v>
      </c>
      <c r="D514" s="2" t="str">
        <f>IFERROR(INDEX(旧!A:A,MATCH(测试!A514,旧!E:E,0)),0)</f>
        <v>Animal Crossing\Cards - Series 4</v>
      </c>
      <c r="E514" s="2" t="str">
        <f>IFERROR(INDEX(旧!B:B,MATCH(测试!A514,旧!E:E,0)),0)</f>
        <v>[AC] 396 - Simon.bin</v>
      </c>
      <c r="F514" s="9">
        <f>IFERROR(IF(B514=INDEX(转换!B:B,MATCH(D514,转换!A:A,0)),0,1),1)</f>
        <v>0</v>
      </c>
      <c r="G514" s="9">
        <f t="shared" si="16"/>
        <v>0</v>
      </c>
      <c r="H514" s="9" t="str">
        <f t="shared" si="15"/>
        <v>-</v>
      </c>
    </row>
    <row r="515" spans="1:8" x14ac:dyDescent="0.3">
      <c r="A515" s="3" t="str">
        <f>新!E514</f>
        <v>CRC32:91C0D7DB</v>
      </c>
      <c r="B515" s="3" t="str">
        <f>新!A514</f>
        <v>Animal Crossing\Cards\Series 4</v>
      </c>
      <c r="C515" s="3" t="str">
        <f>新!B514</f>
        <v>[AC] 397 - Iggly.bin</v>
      </c>
      <c r="D515" s="2" t="str">
        <f>IFERROR(INDEX(旧!A:A,MATCH(测试!A515,旧!E:E,0)),0)</f>
        <v>Animal Crossing\Cards - Series 4</v>
      </c>
      <c r="E515" s="2" t="str">
        <f>IFERROR(INDEX(旧!B:B,MATCH(测试!A515,旧!E:E,0)),0)</f>
        <v>[AC] 397 - Iggly.bin</v>
      </c>
      <c r="F515" s="9">
        <f>IFERROR(IF(B515=INDEX(转换!B:B,MATCH(D515,转换!A:A,0)),0,1),1)</f>
        <v>0</v>
      </c>
      <c r="G515" s="9">
        <f t="shared" si="16"/>
        <v>0</v>
      </c>
      <c r="H515" s="9" t="str">
        <f t="shared" si="15"/>
        <v>-</v>
      </c>
    </row>
    <row r="516" spans="1:8" x14ac:dyDescent="0.3">
      <c r="A516" s="3" t="str">
        <f>新!E515</f>
        <v>CRC32:BD3E467B</v>
      </c>
      <c r="B516" s="3" t="str">
        <f>新!A515</f>
        <v>Animal Crossing\Cards\Series 4</v>
      </c>
      <c r="C516" s="3" t="str">
        <f>新!B515</f>
        <v>[AC] 398 - Angus.bin</v>
      </c>
      <c r="D516" s="2" t="str">
        <f>IFERROR(INDEX(旧!A:A,MATCH(测试!A516,旧!E:E,0)),0)</f>
        <v>Animal Crossing\Cards - Series 4</v>
      </c>
      <c r="E516" s="2" t="str">
        <f>IFERROR(INDEX(旧!B:B,MATCH(测试!A516,旧!E:E,0)),0)</f>
        <v>[AC] 398 - Angus.bin</v>
      </c>
      <c r="F516" s="9">
        <f>IFERROR(IF(B516=INDEX(转换!B:B,MATCH(D516,转换!A:A,0)),0,1),1)</f>
        <v>0</v>
      </c>
      <c r="G516" s="9">
        <f t="shared" si="16"/>
        <v>0</v>
      </c>
      <c r="H516" s="9" t="str">
        <f t="shared" ref="H516:H579" si="17">_xlfn.IFS(F516+G516=0,"-",F516+G516=1,"文件名错误",F516+G516=2,"无此文件")</f>
        <v>-</v>
      </c>
    </row>
    <row r="517" spans="1:8" x14ac:dyDescent="0.3">
      <c r="A517" s="3" t="str">
        <f>新!E516</f>
        <v>CRC32:09A3640C</v>
      </c>
      <c r="B517" s="3" t="str">
        <f>新!A516</f>
        <v>Animal Crossing\Cards\Series 4</v>
      </c>
      <c r="C517" s="3" t="str">
        <f>新!B516</f>
        <v>[AC] 399 - Twiggy.bin</v>
      </c>
      <c r="D517" s="2" t="str">
        <f>IFERROR(INDEX(旧!A:A,MATCH(测试!A517,旧!E:E,0)),0)</f>
        <v>Animal Crossing\Cards - Series 4</v>
      </c>
      <c r="E517" s="2" t="str">
        <f>IFERROR(INDEX(旧!B:B,MATCH(测试!A517,旧!E:E,0)),0)</f>
        <v>[AC] 399 - Twiggy.bin</v>
      </c>
      <c r="F517" s="9">
        <f>IFERROR(IF(B517=INDEX(转换!B:B,MATCH(D517,转换!A:A,0)),0,1),1)</f>
        <v>0</v>
      </c>
      <c r="G517" s="9">
        <f t="shared" si="16"/>
        <v>0</v>
      </c>
      <c r="H517" s="9" t="str">
        <f t="shared" si="17"/>
        <v>-</v>
      </c>
    </row>
    <row r="518" spans="1:8" x14ac:dyDescent="0.3">
      <c r="A518" s="3" t="str">
        <f>新!E517</f>
        <v>CRC32:E206604E</v>
      </c>
      <c r="B518" s="3" t="str">
        <f>新!A517</f>
        <v>Animal Crossing\Cards\Series 4</v>
      </c>
      <c r="C518" s="3" t="str">
        <f>新!B517</f>
        <v>[AC] 400 - Robin.bin</v>
      </c>
      <c r="D518" s="2" t="str">
        <f>IFERROR(INDEX(旧!A:A,MATCH(测试!A518,旧!E:E,0)),0)</f>
        <v>Animal Crossing\Cards - Series 4</v>
      </c>
      <c r="E518" s="2" t="str">
        <f>IFERROR(INDEX(旧!B:B,MATCH(测试!A518,旧!E:E,0)),0)</f>
        <v>[AC] 400 - Robin.bin</v>
      </c>
      <c r="F518" s="9">
        <f>IFERROR(IF(B518=INDEX(转换!B:B,MATCH(D518,转换!A:A,0)),0,1),1)</f>
        <v>0</v>
      </c>
      <c r="G518" s="9">
        <f t="shared" si="16"/>
        <v>0</v>
      </c>
      <c r="H518" s="9" t="str">
        <f t="shared" si="17"/>
        <v>-</v>
      </c>
    </row>
    <row r="519" spans="1:8" x14ac:dyDescent="0.3">
      <c r="A519" s="3" t="str">
        <f>新!E518</f>
        <v>CRC32:3C4EDCE8</v>
      </c>
      <c r="B519" s="3" t="str">
        <f>新!A518</f>
        <v>Animal Crossing\Cards\Series 5</v>
      </c>
      <c r="C519" s="3" t="str">
        <f>新!B518</f>
        <v>[AC] 401 - Tom Nook.bin</v>
      </c>
      <c r="D519" s="2" t="str">
        <f>IFERROR(INDEX(旧!A:A,MATCH(测试!A519,旧!E:E,0)),0)</f>
        <v>Animal Crossing\Cards\Series 5</v>
      </c>
      <c r="E519" s="2" t="str">
        <f>IFERROR(INDEX(旧!B:B,MATCH(测试!A519,旧!E:E,0)),0)</f>
        <v>[AC] 401 - Tom Nook.bin</v>
      </c>
      <c r="F519" s="9">
        <f>IFERROR(IF(B519=INDEX(转换!B:B,MATCH(D519,转换!A:A,0)),0,1),1)</f>
        <v>0</v>
      </c>
      <c r="G519" s="9">
        <f t="shared" si="16"/>
        <v>0</v>
      </c>
      <c r="H519" s="9" t="str">
        <f t="shared" si="17"/>
        <v>-</v>
      </c>
    </row>
    <row r="520" spans="1:8" x14ac:dyDescent="0.3">
      <c r="A520" s="3" t="str">
        <f>新!E519</f>
        <v>CRC32:5E9A3F5E</v>
      </c>
      <c r="B520" s="3" t="str">
        <f>新!A519</f>
        <v>Animal Crossing\Cards\Series 5</v>
      </c>
      <c r="C520" s="3" t="str">
        <f>新!B519</f>
        <v>[AC] 402 - Timmy &amp; Tommy.bin</v>
      </c>
      <c r="D520" s="2" t="str">
        <f>IFERROR(INDEX(旧!A:A,MATCH(测试!A520,旧!E:E,0)),0)</f>
        <v>Animal Crossing\Cards\Series 5</v>
      </c>
      <c r="E520" s="2" t="str">
        <f>IFERROR(INDEX(旧!B:B,MATCH(测试!A520,旧!E:E,0)),0)</f>
        <v>[AC] 402 - Timmy and Tommy.bin</v>
      </c>
      <c r="F520" s="9">
        <f>IFERROR(IF(B520=INDEX(转换!B:B,MATCH(D520,转换!A:A,0)),0,1),1)</f>
        <v>0</v>
      </c>
      <c r="G520" s="9">
        <f t="shared" si="16"/>
        <v>1</v>
      </c>
      <c r="H520" s="9" t="str">
        <f t="shared" si="17"/>
        <v>文件名错误</v>
      </c>
    </row>
    <row r="521" spans="1:8" x14ac:dyDescent="0.3">
      <c r="A521" s="3" t="str">
        <f>新!E520</f>
        <v>CRC32:CE364870</v>
      </c>
      <c r="B521" s="3" t="str">
        <f>新!A520</f>
        <v>Animal Crossing\Cards\Series 5</v>
      </c>
      <c r="C521" s="3" t="str">
        <f>新!B520</f>
        <v>[AC] 403 - Isabelle.bin</v>
      </c>
      <c r="D521" s="2" t="str">
        <f>IFERROR(INDEX(旧!A:A,MATCH(测试!A521,旧!E:E,0)),0)</f>
        <v>Animal Crossing\Cards\Series 5</v>
      </c>
      <c r="E521" s="2" t="str">
        <f>IFERROR(INDEX(旧!B:B,MATCH(测试!A521,旧!E:E,0)),0)</f>
        <v>[AC] 403 - Isabelle.bin</v>
      </c>
      <c r="F521" s="9">
        <f>IFERROR(IF(B521=INDEX(转换!B:B,MATCH(D521,转换!A:A,0)),0,1),1)</f>
        <v>0</v>
      </c>
      <c r="G521" s="9">
        <f t="shared" si="16"/>
        <v>0</v>
      </c>
      <c r="H521" s="9" t="str">
        <f t="shared" si="17"/>
        <v>-</v>
      </c>
    </row>
    <row r="522" spans="1:8" x14ac:dyDescent="0.3">
      <c r="A522" s="3" t="str">
        <f>新!E521</f>
        <v>CRC32:4C84A3E6</v>
      </c>
      <c r="B522" s="3" t="str">
        <f>新!A521</f>
        <v>Animal Crossing\Cards\Series 5</v>
      </c>
      <c r="C522" s="3" t="str">
        <f>新!B521</f>
        <v>[AC] 404 - Orville.bin</v>
      </c>
      <c r="D522" s="2" t="str">
        <f>IFERROR(INDEX(旧!A:A,MATCH(测试!A522,旧!E:E,0)),0)</f>
        <v>Animal Crossing\Cards\Series 5</v>
      </c>
      <c r="E522" s="2" t="str">
        <f>IFERROR(INDEX(旧!B:B,MATCH(测试!A522,旧!E:E,0)),0)</f>
        <v>[AC] 404 - Orville.bin</v>
      </c>
      <c r="F522" s="9">
        <f>IFERROR(IF(B522=INDEX(转换!B:B,MATCH(D522,转换!A:A,0)),0,1),1)</f>
        <v>0</v>
      </c>
      <c r="G522" s="9">
        <f t="shared" si="16"/>
        <v>0</v>
      </c>
      <c r="H522" s="9" t="str">
        <f t="shared" si="17"/>
        <v>-</v>
      </c>
    </row>
    <row r="523" spans="1:8" x14ac:dyDescent="0.3">
      <c r="A523" s="3" t="str">
        <f>新!E522</f>
        <v>CRC32:09639310</v>
      </c>
      <c r="B523" s="3" t="str">
        <f>新!A522</f>
        <v>Animal Crossing\Cards\Series 5</v>
      </c>
      <c r="C523" s="3" t="str">
        <f>新!B522</f>
        <v>[AC] 405 - Wilbur.bin</v>
      </c>
      <c r="D523" s="2" t="str">
        <f>IFERROR(INDEX(旧!A:A,MATCH(测试!A523,旧!E:E,0)),0)</f>
        <v>Animal Crossing\Cards\Series 5</v>
      </c>
      <c r="E523" s="2" t="str">
        <f>IFERROR(INDEX(旧!B:B,MATCH(测试!A523,旧!E:E,0)),0)</f>
        <v>[AC] 405 - Wilbur.bin</v>
      </c>
      <c r="F523" s="9">
        <f>IFERROR(IF(B523=INDEX(转换!B:B,MATCH(D523,转换!A:A,0)),0,1),1)</f>
        <v>0</v>
      </c>
      <c r="G523" s="9">
        <f t="shared" si="16"/>
        <v>0</v>
      </c>
      <c r="H523" s="9" t="str">
        <f t="shared" si="17"/>
        <v>-</v>
      </c>
    </row>
    <row r="524" spans="1:8" x14ac:dyDescent="0.3">
      <c r="A524" s="3" t="str">
        <f>新!E523</f>
        <v>CRC32:1FA0C02A</v>
      </c>
      <c r="B524" s="3" t="str">
        <f>新!A523</f>
        <v>Animal Crossing\Cards\Series 5</v>
      </c>
      <c r="C524" s="3" t="str">
        <f>新!B523</f>
        <v>[AC] 406 - Blathers.bin</v>
      </c>
      <c r="D524" s="2" t="str">
        <f>IFERROR(INDEX(旧!A:A,MATCH(测试!A524,旧!E:E,0)),0)</f>
        <v>Animal Crossing\Cards\Series 5</v>
      </c>
      <c r="E524" s="2" t="str">
        <f>IFERROR(INDEX(旧!B:B,MATCH(测试!A524,旧!E:E,0)),0)</f>
        <v>[AC] 406 - Blathers.bin</v>
      </c>
      <c r="F524" s="9">
        <f>IFERROR(IF(B524=INDEX(转换!B:B,MATCH(D524,转换!A:A,0)),0,1),1)</f>
        <v>0</v>
      </c>
      <c r="G524" s="9">
        <f t="shared" si="16"/>
        <v>0</v>
      </c>
      <c r="H524" s="9" t="str">
        <f t="shared" si="17"/>
        <v>-</v>
      </c>
    </row>
    <row r="525" spans="1:8" x14ac:dyDescent="0.3">
      <c r="A525" s="3" t="str">
        <f>新!E524</f>
        <v>CRC32:A5C22981</v>
      </c>
      <c r="B525" s="3" t="str">
        <f>新!A524</f>
        <v>Animal Crossing\Cards\Series 5</v>
      </c>
      <c r="C525" s="3" t="str">
        <f>新!B524</f>
        <v>[AC] 407 - Celeste.bin</v>
      </c>
      <c r="D525" s="2" t="str">
        <f>IFERROR(INDEX(旧!A:A,MATCH(测试!A525,旧!E:E,0)),0)</f>
        <v>Animal Crossing\Cards\Series 5</v>
      </c>
      <c r="E525" s="2" t="str">
        <f>IFERROR(INDEX(旧!B:B,MATCH(测试!A525,旧!E:E,0)),0)</f>
        <v>[AC] 407 - Celeste.bin</v>
      </c>
      <c r="F525" s="9">
        <f>IFERROR(IF(B525=INDEX(转换!B:B,MATCH(D525,转换!A:A,0)),0,1),1)</f>
        <v>0</v>
      </c>
      <c r="G525" s="9">
        <f t="shared" si="16"/>
        <v>0</v>
      </c>
      <c r="H525" s="9" t="str">
        <f t="shared" si="17"/>
        <v>-</v>
      </c>
    </row>
    <row r="526" spans="1:8" x14ac:dyDescent="0.3">
      <c r="A526" s="3" t="str">
        <f>新!E525</f>
        <v>CRC32:BA6DE755</v>
      </c>
      <c r="B526" s="3" t="str">
        <f>新!A525</f>
        <v>Animal Crossing\Cards\Series 5</v>
      </c>
      <c r="C526" s="3" t="str">
        <f>新!B525</f>
        <v>[AC] 408 - Mabel.bin</v>
      </c>
      <c r="D526" s="2" t="str">
        <f>IFERROR(INDEX(旧!A:A,MATCH(测试!A526,旧!E:E,0)),0)</f>
        <v>Animal Crossing\Cards\Series 5</v>
      </c>
      <c r="E526" s="2" t="str">
        <f>IFERROR(INDEX(旧!B:B,MATCH(测试!A526,旧!E:E,0)),0)</f>
        <v>[AC] 408 - Mabel.bin</v>
      </c>
      <c r="F526" s="9">
        <f>IFERROR(IF(B526=INDEX(转换!B:B,MATCH(D526,转换!A:A,0)),0,1),1)</f>
        <v>0</v>
      </c>
      <c r="G526" s="9">
        <f t="shared" si="16"/>
        <v>0</v>
      </c>
      <c r="H526" s="9" t="str">
        <f t="shared" si="17"/>
        <v>-</v>
      </c>
    </row>
    <row r="527" spans="1:8" x14ac:dyDescent="0.3">
      <c r="A527" s="3" t="str">
        <f>新!E526</f>
        <v>CRC32:8798D66A</v>
      </c>
      <c r="B527" s="3" t="str">
        <f>新!A526</f>
        <v>Animal Crossing\Cards\Series 5</v>
      </c>
      <c r="C527" s="3" t="str">
        <f>新!B526</f>
        <v>[AC] 409 - Sable.bin</v>
      </c>
      <c r="D527" s="2" t="str">
        <f>IFERROR(INDEX(旧!A:A,MATCH(测试!A527,旧!E:E,0)),0)</f>
        <v>Animal Crossing\Cards\Series 5</v>
      </c>
      <c r="E527" s="2" t="str">
        <f>IFERROR(INDEX(旧!B:B,MATCH(测试!A527,旧!E:E,0)),0)</f>
        <v>[AC] 409 - Sable.bin</v>
      </c>
      <c r="F527" s="9">
        <f>IFERROR(IF(B527=INDEX(转换!B:B,MATCH(D527,转换!A:A,0)),0,1),1)</f>
        <v>0</v>
      </c>
      <c r="G527" s="9">
        <f t="shared" si="16"/>
        <v>0</v>
      </c>
      <c r="H527" s="9" t="str">
        <f t="shared" si="17"/>
        <v>-</v>
      </c>
    </row>
    <row r="528" spans="1:8" x14ac:dyDescent="0.3">
      <c r="A528" s="3" t="str">
        <f>新!E527</f>
        <v>CRC32:5BA10889</v>
      </c>
      <c r="B528" s="3" t="str">
        <f>新!A527</f>
        <v>Animal Crossing\Cards\Series 5</v>
      </c>
      <c r="C528" s="3" t="str">
        <f>新!B527</f>
        <v>[AC] 410 - Label.bin</v>
      </c>
      <c r="D528" s="2" t="str">
        <f>IFERROR(INDEX(旧!A:A,MATCH(测试!A528,旧!E:E,0)),0)</f>
        <v>Animal Crossing\Cards\Series 5</v>
      </c>
      <c r="E528" s="2" t="str">
        <f>IFERROR(INDEX(旧!B:B,MATCH(测试!A528,旧!E:E,0)),0)</f>
        <v>[AC] 410 - Label.bin</v>
      </c>
      <c r="F528" s="9">
        <f>IFERROR(IF(B528=INDEX(转换!B:B,MATCH(D528,转换!A:A,0)),0,1),1)</f>
        <v>0</v>
      </c>
      <c r="G528" s="9">
        <f t="shared" si="16"/>
        <v>0</v>
      </c>
      <c r="H528" s="9" t="str">
        <f t="shared" si="17"/>
        <v>-</v>
      </c>
    </row>
    <row r="529" spans="1:8" x14ac:dyDescent="0.3">
      <c r="A529" s="3" t="str">
        <f>新!E528</f>
        <v>CRC32:CB1D8924</v>
      </c>
      <c r="B529" s="3" t="str">
        <f>新!A528</f>
        <v>Animal Crossing\Cards\Series 5</v>
      </c>
      <c r="C529" s="3" t="str">
        <f>新!B528</f>
        <v>[AC] 411 - K.K..bin</v>
      </c>
      <c r="D529" s="2" t="str">
        <f>IFERROR(INDEX(旧!A:A,MATCH(测试!A529,旧!E:E,0)),0)</f>
        <v>Animal Crossing\Cards\Series 5</v>
      </c>
      <c r="E529" s="2" t="str">
        <f>IFERROR(INDEX(旧!B:B,MATCH(测试!A529,旧!E:E,0)),0)</f>
        <v>[AC] 411 - K.K. Slider.bin</v>
      </c>
      <c r="F529" s="9">
        <f>IFERROR(IF(B529=INDEX(转换!B:B,MATCH(D529,转换!A:A,0)),0,1),1)</f>
        <v>0</v>
      </c>
      <c r="G529" s="9">
        <f t="shared" si="16"/>
        <v>1</v>
      </c>
      <c r="H529" s="9" t="str">
        <f t="shared" si="17"/>
        <v>文件名错误</v>
      </c>
    </row>
    <row r="530" spans="1:8" x14ac:dyDescent="0.3">
      <c r="A530" s="3" t="str">
        <f>新!E529</f>
        <v>CRC32:78EA423B</v>
      </c>
      <c r="B530" s="3" t="str">
        <f>新!A529</f>
        <v>Animal Crossing\Cards\Series 5</v>
      </c>
      <c r="C530" s="3" t="str">
        <f>新!B529</f>
        <v>[AC] 412 - C.J..bin</v>
      </c>
      <c r="D530" s="2" t="str">
        <f>IFERROR(INDEX(旧!A:A,MATCH(测试!A530,旧!E:E,0)),0)</f>
        <v>Animal Crossing\Cards\Series 5</v>
      </c>
      <c r="E530" s="2" t="str">
        <f>IFERROR(INDEX(旧!B:B,MATCH(测试!A530,旧!E:E,0)),0)</f>
        <v>[AC] 412 - C.J..bin</v>
      </c>
      <c r="F530" s="9">
        <f>IFERROR(IF(B530=INDEX(转换!B:B,MATCH(D530,转换!A:A,0)),0,1),1)</f>
        <v>0</v>
      </c>
      <c r="G530" s="9">
        <f t="shared" si="16"/>
        <v>0</v>
      </c>
      <c r="H530" s="9" t="str">
        <f t="shared" si="17"/>
        <v>-</v>
      </c>
    </row>
    <row r="531" spans="1:8" x14ac:dyDescent="0.3">
      <c r="A531" s="3" t="str">
        <f>新!E530</f>
        <v>CRC32:8FDFF40B</v>
      </c>
      <c r="B531" s="3" t="str">
        <f>新!A530</f>
        <v>Animal Crossing\Cards\Series 5</v>
      </c>
      <c r="C531" s="3" t="str">
        <f>新!B530</f>
        <v>[AC] 413 - Flick.bin</v>
      </c>
      <c r="D531" s="2" t="str">
        <f>IFERROR(INDEX(旧!A:A,MATCH(测试!A531,旧!E:E,0)),0)</f>
        <v>Animal Crossing\Cards\Series 5</v>
      </c>
      <c r="E531" s="2" t="str">
        <f>IFERROR(INDEX(旧!B:B,MATCH(测试!A531,旧!E:E,0)),0)</f>
        <v>[AC] 413 - Flick.bin</v>
      </c>
      <c r="F531" s="9">
        <f>IFERROR(IF(B531=INDEX(转换!B:B,MATCH(D531,转换!A:A,0)),0,1),1)</f>
        <v>0</v>
      </c>
      <c r="G531" s="9">
        <f t="shared" si="16"/>
        <v>0</v>
      </c>
      <c r="H531" s="9" t="str">
        <f t="shared" si="17"/>
        <v>-</v>
      </c>
    </row>
    <row r="532" spans="1:8" x14ac:dyDescent="0.3">
      <c r="A532" s="3" t="str">
        <f>新!E531</f>
        <v>CRC32:63E1C58D</v>
      </c>
      <c r="B532" s="3" t="str">
        <f>新!A531</f>
        <v>Animal Crossing\Cards\Series 5</v>
      </c>
      <c r="C532" s="3" t="str">
        <f>新!B531</f>
        <v>[AC] 414 - Daisy Mae.bin</v>
      </c>
      <c r="D532" s="2" t="str">
        <f>IFERROR(INDEX(旧!A:A,MATCH(测试!A532,旧!E:E,0)),0)</f>
        <v>Animal Crossing\Cards\Series 5</v>
      </c>
      <c r="E532" s="2" t="str">
        <f>IFERROR(INDEX(旧!B:B,MATCH(测试!A532,旧!E:E,0)),0)</f>
        <v>[AC] 414 - Daisy Mae.bin</v>
      </c>
      <c r="F532" s="9">
        <f>IFERROR(IF(B532=INDEX(转换!B:B,MATCH(D532,转换!A:A,0)),0,1),1)</f>
        <v>0</v>
      </c>
      <c r="G532" s="9">
        <f t="shared" si="16"/>
        <v>0</v>
      </c>
      <c r="H532" s="9" t="str">
        <f t="shared" si="17"/>
        <v>-</v>
      </c>
    </row>
    <row r="533" spans="1:8" x14ac:dyDescent="0.3">
      <c r="A533" s="3" t="str">
        <f>新!E532</f>
        <v>CRC32:A92CA771</v>
      </c>
      <c r="B533" s="3" t="str">
        <f>新!A532</f>
        <v>Animal Crossing\Cards\Series 5</v>
      </c>
      <c r="C533" s="3" t="str">
        <f>新!B532</f>
        <v>[AC] 415 - Kicks.bin</v>
      </c>
      <c r="D533" s="2" t="str">
        <f>IFERROR(INDEX(旧!A:A,MATCH(测试!A533,旧!E:E,0)),0)</f>
        <v>Animal Crossing\Cards\Series 5</v>
      </c>
      <c r="E533" s="2" t="str">
        <f>IFERROR(INDEX(旧!B:B,MATCH(测试!A533,旧!E:E,0)),0)</f>
        <v>[AC] 415 - Kicks.bin</v>
      </c>
      <c r="F533" s="9">
        <f>IFERROR(IF(B533=INDEX(转换!B:B,MATCH(D533,转换!A:A,0)),0,1),1)</f>
        <v>0</v>
      </c>
      <c r="G533" s="9">
        <f t="shared" si="16"/>
        <v>0</v>
      </c>
      <c r="H533" s="9" t="str">
        <f t="shared" si="17"/>
        <v>-</v>
      </c>
    </row>
    <row r="534" spans="1:8" x14ac:dyDescent="0.3">
      <c r="A534" s="3" t="str">
        <f>新!E533</f>
        <v>CRC32:AD0B8AF9</v>
      </c>
      <c r="B534" s="3" t="str">
        <f>新!A533</f>
        <v>Animal Crossing\Cards\Series 5</v>
      </c>
      <c r="C534" s="3" t="str">
        <f>新!B533</f>
        <v>[AC] 416 - Saharah.bin</v>
      </c>
      <c r="D534" s="2" t="str">
        <f>IFERROR(INDEX(旧!A:A,MATCH(测试!A534,旧!E:E,0)),0)</f>
        <v>Animal Crossing\Cards\Series 5</v>
      </c>
      <c r="E534" s="2" t="str">
        <f>IFERROR(INDEX(旧!B:B,MATCH(测试!A534,旧!E:E,0)),0)</f>
        <v>[AC] 416 - Saharah.bin</v>
      </c>
      <c r="F534" s="9">
        <f>IFERROR(IF(B534=INDEX(转换!B:B,MATCH(D534,转换!A:A,0)),0,1),1)</f>
        <v>0</v>
      </c>
      <c r="G534" s="9">
        <f t="shared" si="16"/>
        <v>0</v>
      </c>
      <c r="H534" s="9" t="str">
        <f t="shared" si="17"/>
        <v>-</v>
      </c>
    </row>
    <row r="535" spans="1:8" x14ac:dyDescent="0.3">
      <c r="A535" s="3" t="str">
        <f>新!E534</f>
        <v>CRC32:E22B0A70</v>
      </c>
      <c r="B535" s="3" t="str">
        <f>新!A534</f>
        <v>Animal Crossing\Cards\Series 5</v>
      </c>
      <c r="C535" s="3" t="str">
        <f>新!B534</f>
        <v>[AC] 417 - Harvey.bin</v>
      </c>
      <c r="D535" s="2" t="str">
        <f>IFERROR(INDEX(旧!A:A,MATCH(测试!A535,旧!E:E,0)),0)</f>
        <v>Animal Crossing\Cards\Series 5</v>
      </c>
      <c r="E535" s="2" t="str">
        <f>IFERROR(INDEX(旧!B:B,MATCH(测试!A535,旧!E:E,0)),0)</f>
        <v>[AC] 417 - Harvey.bin</v>
      </c>
      <c r="F535" s="9">
        <f>IFERROR(IF(B535=INDEX(转换!B:B,MATCH(D535,转换!A:A,0)),0,1),1)</f>
        <v>0</v>
      </c>
      <c r="G535" s="9">
        <f t="shared" si="16"/>
        <v>0</v>
      </c>
      <c r="H535" s="9" t="str">
        <f t="shared" si="17"/>
        <v>-</v>
      </c>
    </row>
    <row r="536" spans="1:8" x14ac:dyDescent="0.3">
      <c r="A536" s="3" t="str">
        <f>新!E535</f>
        <v>CRC32:B50C6373</v>
      </c>
      <c r="B536" s="3" t="str">
        <f>新!A535</f>
        <v>Animal Crossing\Cards\Series 5</v>
      </c>
      <c r="C536" s="3" t="str">
        <f>新!B535</f>
        <v>[AC] 418 - Gulliver.bin</v>
      </c>
      <c r="D536" s="2" t="str">
        <f>IFERROR(INDEX(旧!A:A,MATCH(测试!A536,旧!E:E,0)),0)</f>
        <v>Animal Crossing\Cards\Series 5</v>
      </c>
      <c r="E536" s="2" t="str">
        <f>IFERROR(INDEX(旧!B:B,MATCH(测试!A536,旧!E:E,0)),0)</f>
        <v>[AC] 418 - Gulliver.bin</v>
      </c>
      <c r="F536" s="9">
        <f>IFERROR(IF(B536=INDEX(转换!B:B,MATCH(D536,转换!A:A,0)),0,1),1)</f>
        <v>0</v>
      </c>
      <c r="G536" s="9">
        <f t="shared" si="16"/>
        <v>0</v>
      </c>
      <c r="H536" s="9" t="str">
        <f t="shared" si="17"/>
        <v>-</v>
      </c>
    </row>
    <row r="537" spans="1:8" x14ac:dyDescent="0.3">
      <c r="A537" s="3" t="str">
        <f>新!E536</f>
        <v>CRC32:E03DC888</v>
      </c>
      <c r="B537" s="3" t="str">
        <f>新!A536</f>
        <v>Animal Crossing\Cards\Series 5</v>
      </c>
      <c r="C537" s="3" t="str">
        <f>新!B536</f>
        <v>[AC] 419 - Wisp.bin</v>
      </c>
      <c r="D537" s="2" t="str">
        <f>IFERROR(INDEX(旧!A:A,MATCH(测试!A537,旧!E:E,0)),0)</f>
        <v>Animal Crossing\Cards\Series 5</v>
      </c>
      <c r="E537" s="2" t="str">
        <f>IFERROR(INDEX(旧!B:B,MATCH(测试!A537,旧!E:E,0)),0)</f>
        <v>[AC] 419 - Wisp.bin</v>
      </c>
      <c r="F537" s="9">
        <f>IFERROR(IF(B537=INDEX(转换!B:B,MATCH(D537,转换!A:A,0)),0,1),1)</f>
        <v>0</v>
      </c>
      <c r="G537" s="9">
        <f t="shared" si="16"/>
        <v>0</v>
      </c>
      <c r="H537" s="9" t="str">
        <f t="shared" si="17"/>
        <v>-</v>
      </c>
    </row>
    <row r="538" spans="1:8" x14ac:dyDescent="0.3">
      <c r="A538" s="3" t="str">
        <f>新!E537</f>
        <v>CRC32:8D415FB5</v>
      </c>
      <c r="B538" s="3" t="str">
        <f>新!A537</f>
        <v>Animal Crossing\Cards\Series 5</v>
      </c>
      <c r="C538" s="3" t="str">
        <f>新!B537</f>
        <v>[AC] 420 - Lottie.bin</v>
      </c>
      <c r="D538" s="2" t="str">
        <f>IFERROR(INDEX(旧!A:A,MATCH(测试!A538,旧!E:E,0)),0)</f>
        <v>Animal Crossing\Cards\Series 5</v>
      </c>
      <c r="E538" s="2" t="str">
        <f>IFERROR(INDEX(旧!B:B,MATCH(测试!A538,旧!E:E,0)),0)</f>
        <v>[AC] 420 - Lottie.bin</v>
      </c>
      <c r="F538" s="9">
        <f>IFERROR(IF(B538=INDEX(转换!B:B,MATCH(D538,转换!A:A,0)),0,1),1)</f>
        <v>0</v>
      </c>
      <c r="G538" s="9">
        <f t="shared" si="16"/>
        <v>0</v>
      </c>
      <c r="H538" s="9" t="str">
        <f t="shared" si="17"/>
        <v>-</v>
      </c>
    </row>
    <row r="539" spans="1:8" x14ac:dyDescent="0.3">
      <c r="A539" s="3" t="str">
        <f>新!E538</f>
        <v>CRC32:300545AB</v>
      </c>
      <c r="B539" s="3" t="str">
        <f>新!A538</f>
        <v>Animal Crossing\Cards\Series 5</v>
      </c>
      <c r="C539" s="3" t="str">
        <f>新!B538</f>
        <v>[AC] 421 - Niko.bin</v>
      </c>
      <c r="D539" s="2" t="str">
        <f>IFERROR(INDEX(旧!A:A,MATCH(测试!A539,旧!E:E,0)),0)</f>
        <v>Animal Crossing\Cards\Series 5</v>
      </c>
      <c r="E539" s="2" t="str">
        <f>IFERROR(INDEX(旧!B:B,MATCH(测试!A539,旧!E:E,0)),0)</f>
        <v>[AC] 421 - Niko.bin</v>
      </c>
      <c r="F539" s="9">
        <f>IFERROR(IF(B539=INDEX(转换!B:B,MATCH(D539,转换!A:A,0)),0,1),1)</f>
        <v>0</v>
      </c>
      <c r="G539" s="9">
        <f t="shared" si="16"/>
        <v>0</v>
      </c>
      <c r="H539" s="9" t="str">
        <f t="shared" si="17"/>
        <v>-</v>
      </c>
    </row>
    <row r="540" spans="1:8" x14ac:dyDescent="0.3">
      <c r="A540" s="3" t="str">
        <f>新!E539</f>
        <v>CRC32:4EC58275</v>
      </c>
      <c r="B540" s="3" t="str">
        <f>新!A539</f>
        <v>Animal Crossing\Cards\Series 5</v>
      </c>
      <c r="C540" s="3" t="str">
        <f>新!B539</f>
        <v>[AC] 422 - Wardell.bin</v>
      </c>
      <c r="D540" s="2" t="str">
        <f>IFERROR(INDEX(旧!A:A,MATCH(测试!A540,旧!E:E,0)),0)</f>
        <v>Animal Crossing\Cards\Series 5</v>
      </c>
      <c r="E540" s="2" t="str">
        <f>IFERROR(INDEX(旧!B:B,MATCH(测试!A540,旧!E:E,0)),0)</f>
        <v>[AC] 422 - Wardell.bin</v>
      </c>
      <c r="F540" s="9">
        <f>IFERROR(IF(B540=INDEX(转换!B:B,MATCH(D540,转换!A:A,0)),0,1),1)</f>
        <v>0</v>
      </c>
      <c r="G540" s="9">
        <f t="shared" si="16"/>
        <v>0</v>
      </c>
      <c r="H540" s="9" t="str">
        <f t="shared" si="17"/>
        <v>-</v>
      </c>
    </row>
    <row r="541" spans="1:8" x14ac:dyDescent="0.3">
      <c r="A541" s="3" t="str">
        <f>新!E540</f>
        <v>CRC32:ED4599F1</v>
      </c>
      <c r="B541" s="3" t="str">
        <f>新!A540</f>
        <v>Animal Crossing\Cards\Series 5</v>
      </c>
      <c r="C541" s="3" t="str">
        <f>新!B540</f>
        <v>[AC] 423 - Tom Nook (Coat).bin</v>
      </c>
      <c r="D541" s="2" t="str">
        <f>IFERROR(INDEX(旧!A:A,MATCH(测试!A541,旧!E:E,0)),0)</f>
        <v>Animal Crossing\Cards\Series 5</v>
      </c>
      <c r="E541" s="2" t="str">
        <f>IFERROR(INDEX(旧!B:B,MATCH(测试!A541,旧!E:E,0)),0)</f>
        <v>[AC] 423 - Tom Nook (Coat).bin</v>
      </c>
      <c r="F541" s="9">
        <f>IFERROR(IF(B541=INDEX(转换!B:B,MATCH(D541,转换!A:A,0)),0,1),1)</f>
        <v>0</v>
      </c>
      <c r="G541" s="9">
        <f t="shared" si="16"/>
        <v>0</v>
      </c>
      <c r="H541" s="9" t="str">
        <f t="shared" si="17"/>
        <v>-</v>
      </c>
    </row>
    <row r="542" spans="1:8" x14ac:dyDescent="0.3">
      <c r="A542" s="3" t="str">
        <f>新!E541</f>
        <v>CRC32:33BE5A51</v>
      </c>
      <c r="B542" s="3" t="str">
        <f>新!A541</f>
        <v>Animal Crossing\Cards\Series 5</v>
      </c>
      <c r="C542" s="3" t="str">
        <f>新!B541</f>
        <v>[AC] 424 - Isabelle (Sweater).bin</v>
      </c>
      <c r="D542" s="2" t="str">
        <f>IFERROR(INDEX(旧!A:A,MATCH(测试!A542,旧!E:E,0)),0)</f>
        <v>Animal Crossing\Cards\Series 5</v>
      </c>
      <c r="E542" s="2" t="str">
        <f>IFERROR(INDEX(旧!B:B,MATCH(测试!A542,旧!E:E,0)),0)</f>
        <v>[AC] 424 - Isabelle (Sweater).bin</v>
      </c>
      <c r="F542" s="9">
        <f>IFERROR(IF(B542=INDEX(转换!B:B,MATCH(D542,转换!A:A,0)),0,1),1)</f>
        <v>0</v>
      </c>
      <c r="G542" s="9">
        <f t="shared" si="16"/>
        <v>0</v>
      </c>
      <c r="H542" s="9" t="str">
        <f t="shared" si="17"/>
        <v>-</v>
      </c>
    </row>
    <row r="543" spans="1:8" x14ac:dyDescent="0.3">
      <c r="A543" s="3" t="str">
        <f>新!E542</f>
        <v>CRC32:746861E6</v>
      </c>
      <c r="B543" s="3" t="str">
        <f>新!A542</f>
        <v>Animal Crossing\Cards\Series 5</v>
      </c>
      <c r="C543" s="3" t="str">
        <f>新!B542</f>
        <v>[AC] 425 - Sherb.bin</v>
      </c>
      <c r="D543" s="2" t="str">
        <f>IFERROR(INDEX(旧!A:A,MATCH(测试!A543,旧!E:E,0)),0)</f>
        <v>Animal Crossing\Cards\Series 5</v>
      </c>
      <c r="E543" s="2" t="str">
        <f>IFERROR(INDEX(旧!B:B,MATCH(测试!A543,旧!E:E,0)),0)</f>
        <v>[AC] 425 - Sherb.bin</v>
      </c>
      <c r="F543" s="9">
        <f>IFERROR(IF(B543=INDEX(转换!B:B,MATCH(D543,转换!A:A,0)),0,1),1)</f>
        <v>0</v>
      </c>
      <c r="G543" s="9">
        <f t="shared" si="16"/>
        <v>0</v>
      </c>
      <c r="H543" s="9" t="str">
        <f t="shared" si="17"/>
        <v>-</v>
      </c>
    </row>
    <row r="544" spans="1:8" x14ac:dyDescent="0.3">
      <c r="A544" s="3" t="str">
        <f>新!E543</f>
        <v>CRC32:C1F88261</v>
      </c>
      <c r="B544" s="3" t="str">
        <f>新!A543</f>
        <v>Animal Crossing\Cards\Series 5</v>
      </c>
      <c r="C544" s="3" t="str">
        <f>新!B543</f>
        <v>[AC] 426 - Megan.bin</v>
      </c>
      <c r="D544" s="2" t="str">
        <f>IFERROR(INDEX(旧!A:A,MATCH(测试!A544,旧!E:E,0)),0)</f>
        <v>Animal Crossing\Cards\Series 5</v>
      </c>
      <c r="E544" s="2" t="str">
        <f>IFERROR(INDEX(旧!B:B,MATCH(测试!A544,旧!E:E,0)),0)</f>
        <v>[AC] 426 - Megan.bin</v>
      </c>
      <c r="F544" s="9">
        <f>IFERROR(IF(B544=INDEX(转换!B:B,MATCH(D544,转换!A:A,0)),0,1),1)</f>
        <v>0</v>
      </c>
      <c r="G544" s="9">
        <f t="shared" si="16"/>
        <v>0</v>
      </c>
      <c r="H544" s="9" t="str">
        <f t="shared" si="17"/>
        <v>-</v>
      </c>
    </row>
    <row r="545" spans="1:8" x14ac:dyDescent="0.3">
      <c r="A545" s="3" t="str">
        <f>新!E544</f>
        <v>CRC32:BE7F33CD</v>
      </c>
      <c r="B545" s="3" t="str">
        <f>新!A544</f>
        <v>Animal Crossing\Cards\Series 5</v>
      </c>
      <c r="C545" s="3" t="str">
        <f>新!B544</f>
        <v>[AC] 427 - Dom.bin</v>
      </c>
      <c r="D545" s="2" t="str">
        <f>IFERROR(INDEX(旧!A:A,MATCH(测试!A545,旧!E:E,0)),0)</f>
        <v>Animal Crossing\Cards\Series 5</v>
      </c>
      <c r="E545" s="2" t="str">
        <f>IFERROR(INDEX(旧!B:B,MATCH(测试!A545,旧!E:E,0)),0)</f>
        <v>[AC] 427 - Dom.bin</v>
      </c>
      <c r="F545" s="9">
        <f>IFERROR(IF(B545=INDEX(转换!B:B,MATCH(D545,转换!A:A,0)),0,1),1)</f>
        <v>0</v>
      </c>
      <c r="G545" s="9">
        <f t="shared" si="16"/>
        <v>0</v>
      </c>
      <c r="H545" s="9" t="str">
        <f t="shared" si="17"/>
        <v>-</v>
      </c>
    </row>
    <row r="546" spans="1:8" x14ac:dyDescent="0.3">
      <c r="A546" s="3" t="str">
        <f>新!E545</f>
        <v>CRC32:26A6AC67</v>
      </c>
      <c r="B546" s="3" t="str">
        <f>新!A545</f>
        <v>Animal Crossing\Cards\Series 5</v>
      </c>
      <c r="C546" s="3" t="str">
        <f>新!B545</f>
        <v>[AC] 428 - Audie.bin</v>
      </c>
      <c r="D546" s="2" t="str">
        <f>IFERROR(INDEX(旧!A:A,MATCH(测试!A546,旧!E:E,0)),0)</f>
        <v>Animal Crossing\Cards\Series 5</v>
      </c>
      <c r="E546" s="2" t="str">
        <f>IFERROR(INDEX(旧!B:B,MATCH(测试!A546,旧!E:E,0)),0)</f>
        <v>[AC] 428 - Audie .bin</v>
      </c>
      <c r="F546" s="9">
        <f>IFERROR(IF(B546=INDEX(转换!B:B,MATCH(D546,转换!A:A,0)),0,1),1)</f>
        <v>0</v>
      </c>
      <c r="G546" s="9">
        <f t="shared" si="16"/>
        <v>1</v>
      </c>
      <c r="H546" s="9" t="str">
        <f t="shared" si="17"/>
        <v>文件名错误</v>
      </c>
    </row>
    <row r="547" spans="1:8" x14ac:dyDescent="0.3">
      <c r="A547" s="3" t="str">
        <f>新!E546</f>
        <v>CRC32:9E6E0BCC</v>
      </c>
      <c r="B547" s="3" t="str">
        <f>新!A546</f>
        <v>Animal Crossing\Cards\Series 5</v>
      </c>
      <c r="C547" s="3" t="str">
        <f>新!B546</f>
        <v>[AC] 429 - Cyd.bin</v>
      </c>
      <c r="D547" s="2" t="str">
        <f>IFERROR(INDEX(旧!A:A,MATCH(测试!A547,旧!E:E,0)),0)</f>
        <v>Animal Crossing\Cards\Series 5</v>
      </c>
      <c r="E547" s="2" t="str">
        <f>IFERROR(INDEX(旧!B:B,MATCH(测试!A547,旧!E:E,0)),0)</f>
        <v>[AC] 429 - Cyd.bin</v>
      </c>
      <c r="F547" s="9">
        <f>IFERROR(IF(B547=INDEX(转换!B:B,MATCH(D547,转换!A:A,0)),0,1),1)</f>
        <v>0</v>
      </c>
      <c r="G547" s="9">
        <f t="shared" si="16"/>
        <v>0</v>
      </c>
      <c r="H547" s="9" t="str">
        <f t="shared" si="17"/>
        <v>-</v>
      </c>
    </row>
    <row r="548" spans="1:8" x14ac:dyDescent="0.3">
      <c r="A548" s="3" t="str">
        <f>新!E547</f>
        <v>CRC32:B97D2995</v>
      </c>
      <c r="B548" s="3" t="str">
        <f>新!A547</f>
        <v>Animal Crossing\Cards\Series 5</v>
      </c>
      <c r="C548" s="3" t="str">
        <f>新!B547</f>
        <v>[AC] 430 - Judy.bin</v>
      </c>
      <c r="D548" s="2" t="str">
        <f>IFERROR(INDEX(旧!A:A,MATCH(测试!A548,旧!E:E,0)),0)</f>
        <v>Animal Crossing\Cards\Series 5</v>
      </c>
      <c r="E548" s="2" t="str">
        <f>IFERROR(INDEX(旧!B:B,MATCH(测试!A548,旧!E:E,0)),0)</f>
        <v>[AC] 430 - Judy .bin</v>
      </c>
      <c r="F548" s="9">
        <f>IFERROR(IF(B548=INDEX(转换!B:B,MATCH(D548,转换!A:A,0)),0,1),1)</f>
        <v>0</v>
      </c>
      <c r="G548" s="9">
        <f t="shared" si="16"/>
        <v>1</v>
      </c>
      <c r="H548" s="9" t="str">
        <f t="shared" si="17"/>
        <v>文件名错误</v>
      </c>
    </row>
    <row r="549" spans="1:8" x14ac:dyDescent="0.3">
      <c r="A549" s="3" t="str">
        <f>新!E548</f>
        <v>CRC32:E6C9363A</v>
      </c>
      <c r="B549" s="3" t="str">
        <f>新!A548</f>
        <v>Animal Crossing\Cards\Series 5</v>
      </c>
      <c r="C549" s="3" t="str">
        <f>新!B548</f>
        <v>[AC] 431 - Raymond.bin</v>
      </c>
      <c r="D549" s="2" t="str">
        <f>IFERROR(INDEX(旧!A:A,MATCH(测试!A549,旧!E:E,0)),0)</f>
        <v>Animal Crossing\Cards\Series 5</v>
      </c>
      <c r="E549" s="2" t="str">
        <f>IFERROR(INDEX(旧!B:B,MATCH(测试!A549,旧!E:E,0)),0)</f>
        <v>[AC] 431 - Raymond.bin</v>
      </c>
      <c r="F549" s="9">
        <f>IFERROR(IF(B549=INDEX(转换!B:B,MATCH(D549,转换!A:A,0)),0,1),1)</f>
        <v>0</v>
      </c>
      <c r="G549" s="9">
        <f t="shared" si="16"/>
        <v>0</v>
      </c>
      <c r="H549" s="9" t="str">
        <f t="shared" si="17"/>
        <v>-</v>
      </c>
    </row>
    <row r="550" spans="1:8" x14ac:dyDescent="0.3">
      <c r="A550" s="3" t="str">
        <f>新!E549</f>
        <v>CRC32:C90AF62B</v>
      </c>
      <c r="B550" s="3" t="str">
        <f>新!A549</f>
        <v>Animal Crossing\Cards\Series 5</v>
      </c>
      <c r="C550" s="3" t="str">
        <f>新!B549</f>
        <v>[AC] 432 - Reneigh.bin</v>
      </c>
      <c r="D550" s="2" t="str">
        <f>IFERROR(INDEX(旧!A:A,MATCH(测试!A550,旧!E:E,0)),0)</f>
        <v>Animal Crossing\Cards\Series 5</v>
      </c>
      <c r="E550" s="2" t="str">
        <f>IFERROR(INDEX(旧!B:B,MATCH(测试!A550,旧!E:E,0)),0)</f>
        <v>[AC] 432 - Reneigh.bin</v>
      </c>
      <c r="F550" s="9">
        <f>IFERROR(IF(B550=INDEX(转换!B:B,MATCH(D550,转换!A:A,0)),0,1),1)</f>
        <v>0</v>
      </c>
      <c r="G550" s="9">
        <f t="shared" si="16"/>
        <v>0</v>
      </c>
      <c r="H550" s="9" t="str">
        <f t="shared" si="17"/>
        <v>-</v>
      </c>
    </row>
    <row r="551" spans="1:8" x14ac:dyDescent="0.3">
      <c r="A551" s="3" t="str">
        <f>新!E550</f>
        <v>CRC32:9C7ACFFB</v>
      </c>
      <c r="B551" s="3" t="str">
        <f>新!A550</f>
        <v>Animal Crossing\Cards\Series 5</v>
      </c>
      <c r="C551" s="3" t="str">
        <f>新!B550</f>
        <v>[AC] 433 - Sasha.bin</v>
      </c>
      <c r="D551" s="2" t="str">
        <f>IFERROR(INDEX(旧!A:A,MATCH(测试!A551,旧!E:E,0)),0)</f>
        <v>Animal Crossing\Cards\Series 5</v>
      </c>
      <c r="E551" s="2" t="str">
        <f>IFERROR(INDEX(旧!B:B,MATCH(测试!A551,旧!E:E,0)),0)</f>
        <v>[AC] 433 - Sasha.bin</v>
      </c>
      <c r="F551" s="9">
        <f>IFERROR(IF(B551=INDEX(转换!B:B,MATCH(D551,转换!A:A,0)),0,1),1)</f>
        <v>0</v>
      </c>
      <c r="G551" s="9">
        <f t="shared" si="16"/>
        <v>0</v>
      </c>
      <c r="H551" s="9" t="str">
        <f t="shared" si="17"/>
        <v>-</v>
      </c>
    </row>
    <row r="552" spans="1:8" x14ac:dyDescent="0.3">
      <c r="A552" s="3" t="str">
        <f>新!E551</f>
        <v>CRC32:24FAA84C</v>
      </c>
      <c r="B552" s="3" t="str">
        <f>新!A551</f>
        <v>Animal Crossing\Cards\Series 5</v>
      </c>
      <c r="C552" s="3" t="str">
        <f>新!B551</f>
        <v>[AC] 434 - Ione.bin</v>
      </c>
      <c r="D552" s="2" t="str">
        <f>IFERROR(INDEX(旧!A:A,MATCH(测试!A552,旧!E:E,0)),0)</f>
        <v>Animal Crossing\Cards\Series 5</v>
      </c>
      <c r="E552" s="2" t="str">
        <f>IFERROR(INDEX(旧!B:B,MATCH(测试!A552,旧!E:E,0)),0)</f>
        <v>[AC] 434 - Ione.bin</v>
      </c>
      <c r="F552" s="9">
        <f>IFERROR(IF(B552=INDEX(转换!B:B,MATCH(D552,转换!A:A,0)),0,1),1)</f>
        <v>0</v>
      </c>
      <c r="G552" s="9">
        <f t="shared" si="16"/>
        <v>0</v>
      </c>
      <c r="H552" s="9" t="str">
        <f t="shared" si="17"/>
        <v>-</v>
      </c>
    </row>
    <row r="553" spans="1:8" x14ac:dyDescent="0.3">
      <c r="A553" s="3" t="str">
        <f>新!E552</f>
        <v>CRC32:DF9B5E9E</v>
      </c>
      <c r="B553" s="3" t="str">
        <f>新!A552</f>
        <v>Animal Crossing\Cards\Series 5</v>
      </c>
      <c r="C553" s="3" t="str">
        <f>新!B552</f>
        <v>[AC] 435 - Tiansheng.bin</v>
      </c>
      <c r="D553" s="2" t="str">
        <f>IFERROR(INDEX(旧!A:A,MATCH(测试!A553,旧!E:E,0)),0)</f>
        <v>Animal Crossing\Cards\Series 5</v>
      </c>
      <c r="E553" s="2" t="str">
        <f>IFERROR(INDEX(旧!B:B,MATCH(测试!A553,旧!E:E,0)),0)</f>
        <v>[AC] 435 - Tiansheng.bin</v>
      </c>
      <c r="F553" s="9">
        <f>IFERROR(IF(B553=INDEX(转换!B:B,MATCH(D553,转换!A:A,0)),0,1),1)</f>
        <v>0</v>
      </c>
      <c r="G553" s="9">
        <f t="shared" si="16"/>
        <v>0</v>
      </c>
      <c r="H553" s="9" t="str">
        <f t="shared" si="17"/>
        <v>-</v>
      </c>
    </row>
    <row r="554" spans="1:8" x14ac:dyDescent="0.3">
      <c r="A554" s="3" t="str">
        <f>新!E553</f>
        <v>CRC32:B1F840DD</v>
      </c>
      <c r="B554" s="3" t="str">
        <f>新!A553</f>
        <v>Animal Crossing\Cards\Series 5</v>
      </c>
      <c r="C554" s="3" t="str">
        <f>新!B553</f>
        <v>[AC] 436 - Shino.bin</v>
      </c>
      <c r="D554" s="2" t="str">
        <f>IFERROR(INDEX(旧!A:A,MATCH(测试!A554,旧!E:E,0)),0)</f>
        <v>Animal Crossing\Cards\Series 5</v>
      </c>
      <c r="E554" s="2" t="str">
        <f>IFERROR(INDEX(旧!B:B,MATCH(测试!A554,旧!E:E,0)),0)</f>
        <v>[AC] 436 - Shino.bin</v>
      </c>
      <c r="F554" s="9">
        <f>IFERROR(IF(B554=INDEX(转换!B:B,MATCH(D554,转换!A:A,0)),0,1),1)</f>
        <v>0</v>
      </c>
      <c r="G554" s="9">
        <f t="shared" si="16"/>
        <v>0</v>
      </c>
      <c r="H554" s="9" t="str">
        <f t="shared" si="17"/>
        <v>-</v>
      </c>
    </row>
    <row r="555" spans="1:8" x14ac:dyDescent="0.3">
      <c r="A555" s="3" t="str">
        <f>新!E554</f>
        <v>CRC32:B3DADD22</v>
      </c>
      <c r="B555" s="3" t="str">
        <f>新!A554</f>
        <v>Animal Crossing\Cards\Series 5</v>
      </c>
      <c r="C555" s="3" t="str">
        <f>新!B554</f>
        <v>[AC] 437 - Marlo.bin</v>
      </c>
      <c r="D555" s="2" t="str">
        <f>IFERROR(INDEX(旧!A:A,MATCH(测试!A555,旧!E:E,0)),0)</f>
        <v>Animal Crossing\Cards\Series 5</v>
      </c>
      <c r="E555" s="2" t="str">
        <f>IFERROR(INDEX(旧!B:B,MATCH(测试!A555,旧!E:E,0)),0)</f>
        <v>[AC] 437 - Marlo.bin</v>
      </c>
      <c r="F555" s="9">
        <f>IFERROR(IF(B555=INDEX(转换!B:B,MATCH(D555,转换!A:A,0)),0,1),1)</f>
        <v>0</v>
      </c>
      <c r="G555" s="9">
        <f t="shared" si="16"/>
        <v>0</v>
      </c>
      <c r="H555" s="9" t="str">
        <f t="shared" si="17"/>
        <v>-</v>
      </c>
    </row>
    <row r="556" spans="1:8" x14ac:dyDescent="0.3">
      <c r="A556" s="3" t="str">
        <f>新!E555</f>
        <v>CRC32:38B17628</v>
      </c>
      <c r="B556" s="3" t="str">
        <f>新!A555</f>
        <v>Animal Crossing\Cards\Series 5</v>
      </c>
      <c r="C556" s="3" t="str">
        <f>新!B555</f>
        <v>[AC] 438 - Petri.bin</v>
      </c>
      <c r="D556" s="2" t="str">
        <f>IFERROR(INDEX(旧!A:A,MATCH(测试!A556,旧!E:E,0)),0)</f>
        <v>Animal Crossing\Cards\Series 5</v>
      </c>
      <c r="E556" s="2" t="str">
        <f>IFERROR(INDEX(旧!B:B,MATCH(测试!A556,旧!E:E,0)),0)</f>
        <v>[AC] 438 - Petri.bin</v>
      </c>
      <c r="F556" s="9">
        <f>IFERROR(IF(B556=INDEX(转换!B:B,MATCH(D556,转换!A:A,0)),0,1),1)</f>
        <v>0</v>
      </c>
      <c r="G556" s="9">
        <f t="shared" ref="G556:G619" si="18">IF(E556=C556,0,1)</f>
        <v>0</v>
      </c>
      <c r="H556" s="9" t="str">
        <f t="shared" si="17"/>
        <v>-</v>
      </c>
    </row>
    <row r="557" spans="1:8" x14ac:dyDescent="0.3">
      <c r="A557" s="3" t="str">
        <f>新!E556</f>
        <v>CRC32:689DD1F6</v>
      </c>
      <c r="B557" s="3" t="str">
        <f>新!A556</f>
        <v>Animal Crossing\Cards\Series 5</v>
      </c>
      <c r="C557" s="3" t="str">
        <f>新!B556</f>
        <v>[AC] 439 - Cephalobot.bin</v>
      </c>
      <c r="D557" s="2" t="str">
        <f>IFERROR(INDEX(旧!A:A,MATCH(测试!A557,旧!E:E,0)),0)</f>
        <v>Animal Crossing\Cards\Series 5</v>
      </c>
      <c r="E557" s="2" t="str">
        <f>IFERROR(INDEX(旧!B:B,MATCH(测试!A557,旧!E:E,0)),0)</f>
        <v>[AC] 439 - Cephalobot.bin</v>
      </c>
      <c r="F557" s="9">
        <f>IFERROR(IF(B557=INDEX(转换!B:B,MATCH(D557,转换!A:A,0)),0,1),1)</f>
        <v>0</v>
      </c>
      <c r="G557" s="9">
        <f t="shared" si="18"/>
        <v>0</v>
      </c>
      <c r="H557" s="9" t="str">
        <f t="shared" si="17"/>
        <v>-</v>
      </c>
    </row>
    <row r="558" spans="1:8" x14ac:dyDescent="0.3">
      <c r="A558" s="3" t="str">
        <f>新!E557</f>
        <v>CRC32:84C8946F</v>
      </c>
      <c r="B558" s="3" t="str">
        <f>新!A557</f>
        <v>Animal Crossing\Cards\Series 5</v>
      </c>
      <c r="C558" s="3" t="str">
        <f>新!B557</f>
        <v>[AC] 440 - Quinn.bin</v>
      </c>
      <c r="D558" s="2" t="str">
        <f>IFERROR(INDEX(旧!A:A,MATCH(测试!A558,旧!E:E,0)),0)</f>
        <v>Animal Crossing\Cards\Series 5</v>
      </c>
      <c r="E558" s="2" t="str">
        <f>IFERROR(INDEX(旧!B:B,MATCH(测试!A558,旧!E:E,0)),0)</f>
        <v>[AC] 440 - Quinn.bin</v>
      </c>
      <c r="F558" s="9">
        <f>IFERROR(IF(B558=INDEX(转换!B:B,MATCH(D558,转换!A:A,0)),0,1),1)</f>
        <v>0</v>
      </c>
      <c r="G558" s="9">
        <f t="shared" si="18"/>
        <v>0</v>
      </c>
      <c r="H558" s="9" t="str">
        <f t="shared" si="17"/>
        <v>-</v>
      </c>
    </row>
    <row r="559" spans="1:8" x14ac:dyDescent="0.3">
      <c r="A559" s="3" t="str">
        <f>新!E558</f>
        <v>CRC32:A3ED6FCF</v>
      </c>
      <c r="B559" s="3" t="str">
        <f>新!A558</f>
        <v>Animal Crossing\Cards\Series 5</v>
      </c>
      <c r="C559" s="3" t="str">
        <f>新!B558</f>
        <v>[AC] 441 - Chabwick.bin</v>
      </c>
      <c r="D559" s="2" t="str">
        <f>IFERROR(INDEX(旧!A:A,MATCH(测试!A559,旧!E:E,0)),0)</f>
        <v>Animal Crossing\Cards\Series 5</v>
      </c>
      <c r="E559" s="2" t="str">
        <f>IFERROR(INDEX(旧!B:B,MATCH(测试!A559,旧!E:E,0)),0)</f>
        <v>[AC] 441 - Chabwick.bin</v>
      </c>
      <c r="F559" s="9">
        <f>IFERROR(IF(B559=INDEX(转换!B:B,MATCH(D559,转换!A:A,0)),0,1),1)</f>
        <v>0</v>
      </c>
      <c r="G559" s="9">
        <f t="shared" si="18"/>
        <v>0</v>
      </c>
      <c r="H559" s="9" t="str">
        <f t="shared" si="17"/>
        <v>-</v>
      </c>
    </row>
    <row r="560" spans="1:8" x14ac:dyDescent="0.3">
      <c r="A560" s="3" t="str">
        <f>新!E559</f>
        <v>CRC32:49B8A1BA</v>
      </c>
      <c r="B560" s="3" t="str">
        <f>新!A559</f>
        <v>Animal Crossing\Cards\Series 5</v>
      </c>
      <c r="C560" s="3" t="str">
        <f>新!B559</f>
        <v>[AC] 442 - Zoe.bin</v>
      </c>
      <c r="D560" s="2" t="str">
        <f>IFERROR(INDEX(旧!A:A,MATCH(测试!A560,旧!E:E,0)),0)</f>
        <v>Animal Crossing\Cards\Series 5</v>
      </c>
      <c r="E560" s="2" t="str">
        <f>IFERROR(INDEX(旧!B:B,MATCH(测试!A560,旧!E:E,0)),0)</f>
        <v>[AC] 442 - Zoe.bin</v>
      </c>
      <c r="F560" s="9">
        <f>IFERROR(IF(B560=INDEX(转换!B:B,MATCH(D560,转换!A:A,0)),0,1),1)</f>
        <v>0</v>
      </c>
      <c r="G560" s="9">
        <f t="shared" si="18"/>
        <v>0</v>
      </c>
      <c r="H560" s="9" t="str">
        <f t="shared" si="17"/>
        <v>-</v>
      </c>
    </row>
    <row r="561" spans="1:8" x14ac:dyDescent="0.3">
      <c r="A561" s="3" t="str">
        <f>新!E560</f>
        <v>CRC32:DCDB62B8</v>
      </c>
      <c r="B561" s="3" t="str">
        <f>新!A560</f>
        <v>Animal Crossing\Cards\Series 5</v>
      </c>
      <c r="C561" s="3" t="str">
        <f>新!B560</f>
        <v>[AC] 443 - Ace.bin</v>
      </c>
      <c r="D561" s="2" t="str">
        <f>IFERROR(INDEX(旧!A:A,MATCH(测试!A561,旧!E:E,0)),0)</f>
        <v>Animal Crossing\Cards\Series 5</v>
      </c>
      <c r="E561" s="2" t="str">
        <f>IFERROR(INDEX(旧!B:B,MATCH(测试!A561,旧!E:E,0)),0)</f>
        <v>[AC] 443 - Ace.bin</v>
      </c>
      <c r="F561" s="9">
        <f>IFERROR(IF(B561=INDEX(转换!B:B,MATCH(D561,转换!A:A,0)),0,1),1)</f>
        <v>0</v>
      </c>
      <c r="G561" s="9">
        <f t="shared" si="18"/>
        <v>0</v>
      </c>
      <c r="H561" s="9" t="str">
        <f t="shared" si="17"/>
        <v>-</v>
      </c>
    </row>
    <row r="562" spans="1:8" x14ac:dyDescent="0.3">
      <c r="A562" s="3" t="str">
        <f>新!E561</f>
        <v>CRC32:C570679D</v>
      </c>
      <c r="B562" s="3" t="str">
        <f>新!A561</f>
        <v>Animal Crossing\Cards\Series 5</v>
      </c>
      <c r="C562" s="3" t="str">
        <f>新!B561</f>
        <v>[AC] 444 - Rio.bin</v>
      </c>
      <c r="D562" s="2" t="str">
        <f>IFERROR(INDEX(旧!A:A,MATCH(测试!A562,旧!E:E,0)),0)</f>
        <v>Animal Crossing\Cards\Series 5</v>
      </c>
      <c r="E562" s="2" t="str">
        <f>IFERROR(INDEX(旧!B:B,MATCH(测试!A562,旧!E:E,0)),0)</f>
        <v>[AC] 444 - Rio.bin</v>
      </c>
      <c r="F562" s="9">
        <f>IFERROR(IF(B562=INDEX(转换!B:B,MATCH(D562,转换!A:A,0)),0,1),1)</f>
        <v>0</v>
      </c>
      <c r="G562" s="9">
        <f t="shared" si="18"/>
        <v>0</v>
      </c>
      <c r="H562" s="9" t="str">
        <f t="shared" si="17"/>
        <v>-</v>
      </c>
    </row>
    <row r="563" spans="1:8" x14ac:dyDescent="0.3">
      <c r="A563" s="3" t="str">
        <f>新!E562</f>
        <v>CRC32:B4EA5CE3</v>
      </c>
      <c r="B563" s="3" t="str">
        <f>新!A562</f>
        <v>Animal Crossing\Cards\Series 5</v>
      </c>
      <c r="C563" s="3" t="str">
        <f>新!B562</f>
        <v>[AC] 445 - Frett.bin</v>
      </c>
      <c r="D563" s="2" t="str">
        <f>IFERROR(INDEX(旧!A:A,MATCH(测试!A563,旧!E:E,0)),0)</f>
        <v>Animal Crossing\Cards\Series 5</v>
      </c>
      <c r="E563" s="2" t="str">
        <f>IFERROR(INDEX(旧!B:B,MATCH(测试!A563,旧!E:E,0)),0)</f>
        <v>[AC] 445 - Frett.bin</v>
      </c>
      <c r="F563" s="9">
        <f>IFERROR(IF(B563=INDEX(转换!B:B,MATCH(D563,转换!A:A,0)),0,1),1)</f>
        <v>0</v>
      </c>
      <c r="G563" s="9">
        <f t="shared" si="18"/>
        <v>0</v>
      </c>
      <c r="H563" s="9" t="str">
        <f t="shared" si="17"/>
        <v>-</v>
      </c>
    </row>
    <row r="564" spans="1:8" x14ac:dyDescent="0.3">
      <c r="A564" s="3" t="str">
        <f>新!E563</f>
        <v>CRC32:195B3C93</v>
      </c>
      <c r="B564" s="3" t="str">
        <f>新!A563</f>
        <v>Animal Crossing\Cards\Series 5</v>
      </c>
      <c r="C564" s="3" t="str">
        <f>新!B563</f>
        <v>[AC] 446 - Azalea.bin</v>
      </c>
      <c r="D564" s="2" t="str">
        <f>IFERROR(INDEX(旧!A:A,MATCH(测试!A564,旧!E:E,0)),0)</f>
        <v>Animal Crossing\Cards\Series 5</v>
      </c>
      <c r="E564" s="2" t="str">
        <f>IFERROR(INDEX(旧!B:B,MATCH(测试!A564,旧!E:E,0)),0)</f>
        <v>[AC] 446 - Azalea.bin</v>
      </c>
      <c r="F564" s="9">
        <f>IFERROR(IF(B564=INDEX(转换!B:B,MATCH(D564,转换!A:A,0)),0,1),1)</f>
        <v>0</v>
      </c>
      <c r="G564" s="9">
        <f t="shared" si="18"/>
        <v>0</v>
      </c>
      <c r="H564" s="9" t="str">
        <f t="shared" si="17"/>
        <v>-</v>
      </c>
    </row>
    <row r="565" spans="1:8" x14ac:dyDescent="0.3">
      <c r="A565" s="3" t="str">
        <f>新!E564</f>
        <v>CRC32:2CE90F69</v>
      </c>
      <c r="B565" s="3" t="str">
        <f>新!A564</f>
        <v>Animal Crossing\Cards\Series 5</v>
      </c>
      <c r="C565" s="3" t="str">
        <f>新!B564</f>
        <v>[AC] 447 - Roswell.bin</v>
      </c>
      <c r="D565" s="2" t="str">
        <f>IFERROR(INDEX(旧!A:A,MATCH(测试!A565,旧!E:E,0)),0)</f>
        <v>Animal Crossing\Cards\Series 5</v>
      </c>
      <c r="E565" s="2" t="str">
        <f>IFERROR(INDEX(旧!B:B,MATCH(测试!A565,旧!E:E,0)),0)</f>
        <v>[AC] 447 - Roswell.bin</v>
      </c>
      <c r="F565" s="9">
        <f>IFERROR(IF(B565=INDEX(转换!B:B,MATCH(D565,转换!A:A,0)),0,1),1)</f>
        <v>0</v>
      </c>
      <c r="G565" s="9">
        <f t="shared" si="18"/>
        <v>0</v>
      </c>
      <c r="H565" s="9" t="str">
        <f t="shared" si="17"/>
        <v>-</v>
      </c>
    </row>
    <row r="566" spans="1:8" x14ac:dyDescent="0.3">
      <c r="A566" s="3" t="str">
        <f>新!E565</f>
        <v>CRC32:07DC339B</v>
      </c>
      <c r="B566" s="3" t="str">
        <f>新!A565</f>
        <v>Animal Crossing\Cards\Series 5</v>
      </c>
      <c r="C566" s="3" t="str">
        <f>新!B565</f>
        <v>[AC] 448 - Faith.bin</v>
      </c>
      <c r="D566" s="2" t="str">
        <f>IFERROR(INDEX(旧!A:A,MATCH(测试!A566,旧!E:E,0)),0)</f>
        <v>Animal Crossing\Cards\Series 5</v>
      </c>
      <c r="E566" s="2" t="str">
        <f>IFERROR(INDEX(旧!B:B,MATCH(测试!A566,旧!E:E,0)),0)</f>
        <v>[AC] 448 - Faith.bin</v>
      </c>
      <c r="F566" s="9">
        <f>IFERROR(IF(B566=INDEX(转换!B:B,MATCH(D566,转换!A:A,0)),0,1),1)</f>
        <v>0</v>
      </c>
      <c r="G566" s="9">
        <f t="shared" si="18"/>
        <v>0</v>
      </c>
      <c r="H566" s="9" t="str">
        <f t="shared" si="17"/>
        <v>-</v>
      </c>
    </row>
    <row r="567" spans="1:8" x14ac:dyDescent="0.3">
      <c r="A567" s="3" t="str">
        <f>新!E566</f>
        <v>CRC32:B41F4230</v>
      </c>
      <c r="B567" s="3" t="str">
        <f>新!A566</f>
        <v>Animal Crossing\Cards\Welcome amiibo Series</v>
      </c>
      <c r="C567" s="3" t="str">
        <f>新!B566</f>
        <v>[AC] W01 - Vivian.bin</v>
      </c>
      <c r="D567" s="2" t="str">
        <f>IFERROR(INDEX(旧!A:A,MATCH(测试!A567,旧!E:E,0)),0)</f>
        <v>Animal Crossing\Cards - Welcome amiibo Series</v>
      </c>
      <c r="E567" s="2" t="str">
        <f>IFERROR(INDEX(旧!B:B,MATCH(测试!A567,旧!E:E,0)),0)</f>
        <v>[AC] W01 - Vivian.bin</v>
      </c>
      <c r="F567" s="9">
        <f>IFERROR(IF(B567=INDEX(转换!B:B,MATCH(D567,转换!A:A,0)),0,1),1)</f>
        <v>0</v>
      </c>
      <c r="G567" s="9">
        <f t="shared" si="18"/>
        <v>0</v>
      </c>
      <c r="H567" s="9" t="str">
        <f t="shared" si="17"/>
        <v>-</v>
      </c>
    </row>
    <row r="568" spans="1:8" x14ac:dyDescent="0.3">
      <c r="A568" s="3" t="str">
        <f>新!E567</f>
        <v>CRC32:9BA1E37A</v>
      </c>
      <c r="B568" s="3" t="str">
        <f>新!A567</f>
        <v>Animal Crossing\Cards\Welcome amiibo Series</v>
      </c>
      <c r="C568" s="3" t="str">
        <f>新!B567</f>
        <v>[AC] W02 - Hopkins.bin</v>
      </c>
      <c r="D568" s="2" t="str">
        <f>IFERROR(INDEX(旧!A:A,MATCH(测试!A568,旧!E:E,0)),0)</f>
        <v>Animal Crossing\Cards - Welcome amiibo Series</v>
      </c>
      <c r="E568" s="2" t="str">
        <f>IFERROR(INDEX(旧!B:B,MATCH(测试!A568,旧!E:E,0)),0)</f>
        <v>[AC] W02 - Hopkins.bin</v>
      </c>
      <c r="F568" s="9">
        <f>IFERROR(IF(B568=INDEX(转换!B:B,MATCH(D568,转换!A:A,0)),0,1),1)</f>
        <v>0</v>
      </c>
      <c r="G568" s="9">
        <f t="shared" si="18"/>
        <v>0</v>
      </c>
      <c r="H568" s="9" t="str">
        <f t="shared" si="17"/>
        <v>-</v>
      </c>
    </row>
    <row r="569" spans="1:8" x14ac:dyDescent="0.3">
      <c r="A569" s="3" t="str">
        <f>新!E568</f>
        <v>CRC32:32EFBCD0</v>
      </c>
      <c r="B569" s="3" t="str">
        <f>新!A568</f>
        <v>Animal Crossing\Cards\Welcome amiibo Series</v>
      </c>
      <c r="C569" s="3" t="str">
        <f>新!B568</f>
        <v>[AC] W03 - June.bin</v>
      </c>
      <c r="D569" s="2" t="str">
        <f>IFERROR(INDEX(旧!A:A,MATCH(测试!A569,旧!E:E,0)),0)</f>
        <v>Animal Crossing\Cards - Welcome amiibo Series</v>
      </c>
      <c r="E569" s="2" t="str">
        <f>IFERROR(INDEX(旧!B:B,MATCH(测试!A569,旧!E:E,0)),0)</f>
        <v>[AC] W03 - June.bin</v>
      </c>
      <c r="F569" s="9">
        <f>IFERROR(IF(B569=INDEX(转换!B:B,MATCH(D569,转换!A:A,0)),0,1),1)</f>
        <v>0</v>
      </c>
      <c r="G569" s="9">
        <f t="shared" si="18"/>
        <v>0</v>
      </c>
      <c r="H569" s="9" t="str">
        <f t="shared" si="17"/>
        <v>-</v>
      </c>
    </row>
    <row r="570" spans="1:8" x14ac:dyDescent="0.3">
      <c r="A570" s="3" t="str">
        <f>新!E569</f>
        <v>CRC32:BF4CAF55</v>
      </c>
      <c r="B570" s="3" t="str">
        <f>新!A569</f>
        <v>Animal Crossing\Cards\Welcome amiibo Series</v>
      </c>
      <c r="C570" s="3" t="str">
        <f>新!B569</f>
        <v>[AC] W04 - Piper.bin</v>
      </c>
      <c r="D570" s="2" t="str">
        <f>IFERROR(INDEX(旧!A:A,MATCH(测试!A570,旧!E:E,0)),0)</f>
        <v>Animal Crossing\Cards - Welcome amiibo Series</v>
      </c>
      <c r="E570" s="2" t="str">
        <f>IFERROR(INDEX(旧!B:B,MATCH(测试!A570,旧!E:E,0)),0)</f>
        <v>[AC] W04 - Piper.bin</v>
      </c>
      <c r="F570" s="9">
        <f>IFERROR(IF(B570=INDEX(转换!B:B,MATCH(D570,转换!A:A,0)),0,1),1)</f>
        <v>0</v>
      </c>
      <c r="G570" s="9">
        <f t="shared" si="18"/>
        <v>0</v>
      </c>
      <c r="H570" s="9" t="str">
        <f t="shared" si="17"/>
        <v>-</v>
      </c>
    </row>
    <row r="571" spans="1:8" x14ac:dyDescent="0.3">
      <c r="A571" s="3" t="str">
        <f>新!E570</f>
        <v>CRC32:53A85C94</v>
      </c>
      <c r="B571" s="3" t="str">
        <f>新!A570</f>
        <v>Animal Crossing\Cards\Welcome amiibo Series</v>
      </c>
      <c r="C571" s="3" t="str">
        <f>新!B570</f>
        <v>[AC] W05 - Paolo.bin</v>
      </c>
      <c r="D571" s="2" t="str">
        <f>IFERROR(INDEX(旧!A:A,MATCH(测试!A571,旧!E:E,0)),0)</f>
        <v>Animal Crossing\Cards - Welcome amiibo Series</v>
      </c>
      <c r="E571" s="2" t="str">
        <f>IFERROR(INDEX(旧!B:B,MATCH(测试!A571,旧!E:E,0)),0)</f>
        <v>[AC] W05 - Paolo.bin</v>
      </c>
      <c r="F571" s="9">
        <f>IFERROR(IF(B571=INDEX(转换!B:B,MATCH(D571,转换!A:A,0)),0,1),1)</f>
        <v>0</v>
      </c>
      <c r="G571" s="9">
        <f t="shared" si="18"/>
        <v>0</v>
      </c>
      <c r="H571" s="9" t="str">
        <f t="shared" si="17"/>
        <v>-</v>
      </c>
    </row>
    <row r="572" spans="1:8" x14ac:dyDescent="0.3">
      <c r="A572" s="3" t="str">
        <f>新!E571</f>
        <v>CRC32:3C364714</v>
      </c>
      <c r="B572" s="3" t="str">
        <f>新!A571</f>
        <v>Animal Crossing\Cards\Welcome amiibo Series</v>
      </c>
      <c r="C572" s="3" t="str">
        <f>新!B571</f>
        <v>[AC] W06 - Hornsby.bin</v>
      </c>
      <c r="D572" s="2" t="str">
        <f>IFERROR(INDEX(旧!A:A,MATCH(测试!A572,旧!E:E,0)),0)</f>
        <v>Animal Crossing\Cards - Welcome amiibo Series</v>
      </c>
      <c r="E572" s="2" t="str">
        <f>IFERROR(INDEX(旧!B:B,MATCH(测试!A572,旧!E:E,0)),0)</f>
        <v>[AC] W06 - Hornsby.bin</v>
      </c>
      <c r="F572" s="9">
        <f>IFERROR(IF(B572=INDEX(转换!B:B,MATCH(D572,转换!A:A,0)),0,1),1)</f>
        <v>0</v>
      </c>
      <c r="G572" s="9">
        <f t="shared" si="18"/>
        <v>0</v>
      </c>
      <c r="H572" s="9" t="str">
        <f t="shared" si="17"/>
        <v>-</v>
      </c>
    </row>
    <row r="573" spans="1:8" x14ac:dyDescent="0.3">
      <c r="A573" s="3" t="str">
        <f>新!E572</f>
        <v>CRC32:C033C4C6</v>
      </c>
      <c r="B573" s="3" t="str">
        <f>新!A572</f>
        <v>Animal Crossing\Cards\Welcome amiibo Series</v>
      </c>
      <c r="C573" s="3" t="str">
        <f>新!B572</f>
        <v>[AC] W07 - Stella.bin</v>
      </c>
      <c r="D573" s="2" t="str">
        <f>IFERROR(INDEX(旧!A:A,MATCH(测试!A573,旧!E:E,0)),0)</f>
        <v>Animal Crossing\Cards - Welcome amiibo Series</v>
      </c>
      <c r="E573" s="2" t="str">
        <f>IFERROR(INDEX(旧!B:B,MATCH(测试!A573,旧!E:E,0)),0)</f>
        <v>[AC] W07 - Stella.bin</v>
      </c>
      <c r="F573" s="9">
        <f>IFERROR(IF(B573=INDEX(转换!B:B,MATCH(D573,转换!A:A,0)),0,1),1)</f>
        <v>0</v>
      </c>
      <c r="G573" s="9">
        <f t="shared" si="18"/>
        <v>0</v>
      </c>
      <c r="H573" s="9" t="str">
        <f t="shared" si="17"/>
        <v>-</v>
      </c>
    </row>
    <row r="574" spans="1:8" x14ac:dyDescent="0.3">
      <c r="A574" s="3" t="str">
        <f>新!E573</f>
        <v>CRC32:2D0A6DD2</v>
      </c>
      <c r="B574" s="3" t="str">
        <f>新!A573</f>
        <v>Animal Crossing\Cards\Welcome amiibo Series</v>
      </c>
      <c r="C574" s="3" t="str">
        <f>新!B573</f>
        <v>[AC] W08 - Tybalt.bin</v>
      </c>
      <c r="D574" s="2" t="str">
        <f>IFERROR(INDEX(旧!A:A,MATCH(测试!A574,旧!E:E,0)),0)</f>
        <v>Animal Crossing\Cards - Welcome amiibo Series</v>
      </c>
      <c r="E574" s="2" t="str">
        <f>IFERROR(INDEX(旧!B:B,MATCH(测试!A574,旧!E:E,0)),0)</f>
        <v>[AC] W08 - Tybalt.bin</v>
      </c>
      <c r="F574" s="9">
        <f>IFERROR(IF(B574=INDEX(转换!B:B,MATCH(D574,转换!A:A,0)),0,1),1)</f>
        <v>0</v>
      </c>
      <c r="G574" s="9">
        <f t="shared" si="18"/>
        <v>0</v>
      </c>
      <c r="H574" s="9" t="str">
        <f t="shared" si="17"/>
        <v>-</v>
      </c>
    </row>
    <row r="575" spans="1:8" x14ac:dyDescent="0.3">
      <c r="A575" s="3" t="str">
        <f>新!E574</f>
        <v>CRC32:D1B1EF51</v>
      </c>
      <c r="B575" s="3" t="str">
        <f>新!A574</f>
        <v>Animal Crossing\Cards\Welcome amiibo Series</v>
      </c>
      <c r="C575" s="3" t="str">
        <f>新!B574</f>
        <v>[AC] W09 - Huck.bin</v>
      </c>
      <c r="D575" s="2" t="str">
        <f>IFERROR(INDEX(旧!A:A,MATCH(测试!A575,旧!E:E,0)),0)</f>
        <v>Animal Crossing\Cards - Welcome amiibo Series</v>
      </c>
      <c r="E575" s="2" t="str">
        <f>IFERROR(INDEX(旧!B:B,MATCH(测试!A575,旧!E:E,0)),0)</f>
        <v>[AC] W09 - Huck.bin</v>
      </c>
      <c r="F575" s="9">
        <f>IFERROR(IF(B575=INDEX(转换!B:B,MATCH(D575,转换!A:A,0)),0,1),1)</f>
        <v>0</v>
      </c>
      <c r="G575" s="9">
        <f t="shared" si="18"/>
        <v>0</v>
      </c>
      <c r="H575" s="9" t="str">
        <f t="shared" si="17"/>
        <v>-</v>
      </c>
    </row>
    <row r="576" spans="1:8" x14ac:dyDescent="0.3">
      <c r="A576" s="3" t="str">
        <f>新!E575</f>
        <v>CRC32:102C5BE8</v>
      </c>
      <c r="B576" s="3" t="str">
        <f>新!A575</f>
        <v>Animal Crossing\Cards\Welcome amiibo Series</v>
      </c>
      <c r="C576" s="3" t="str">
        <f>新!B575</f>
        <v>[AC] W10 - Sylvana.bin</v>
      </c>
      <c r="D576" s="2" t="str">
        <f>IFERROR(INDEX(旧!A:A,MATCH(测试!A576,旧!E:E,0)),0)</f>
        <v>Animal Crossing\Cards - Welcome amiibo Series</v>
      </c>
      <c r="E576" s="2" t="str">
        <f>IFERROR(INDEX(旧!B:B,MATCH(测试!A576,旧!E:E,0)),0)</f>
        <v>[AC] W10 - Sylvana.bin</v>
      </c>
      <c r="F576" s="9">
        <f>IFERROR(IF(B576=INDEX(转换!B:B,MATCH(D576,转换!A:A,0)),0,1),1)</f>
        <v>0</v>
      </c>
      <c r="G576" s="9">
        <f t="shared" si="18"/>
        <v>0</v>
      </c>
      <c r="H576" s="9" t="str">
        <f t="shared" si="17"/>
        <v>-</v>
      </c>
    </row>
    <row r="577" spans="1:8" x14ac:dyDescent="0.3">
      <c r="A577" s="3" t="str">
        <f>新!E576</f>
        <v>CRC32:ED5BEC15</v>
      </c>
      <c r="B577" s="3" t="str">
        <f>新!A576</f>
        <v>Animal Crossing\Cards\Welcome amiibo Series</v>
      </c>
      <c r="C577" s="3" t="str">
        <f>新!B576</f>
        <v>[AC] W11 - Boris.bin</v>
      </c>
      <c r="D577" s="2" t="str">
        <f>IFERROR(INDEX(旧!A:A,MATCH(测试!A577,旧!E:E,0)),0)</f>
        <v>Animal Crossing\Cards - Welcome amiibo Series</v>
      </c>
      <c r="E577" s="2" t="str">
        <f>IFERROR(INDEX(旧!B:B,MATCH(测试!A577,旧!E:E,0)),0)</f>
        <v>[AC] W11 - Boris.bin</v>
      </c>
      <c r="F577" s="9">
        <f>IFERROR(IF(B577=INDEX(转换!B:B,MATCH(D577,转换!A:A,0)),0,1),1)</f>
        <v>0</v>
      </c>
      <c r="G577" s="9">
        <f t="shared" si="18"/>
        <v>0</v>
      </c>
      <c r="H577" s="9" t="str">
        <f t="shared" si="17"/>
        <v>-</v>
      </c>
    </row>
    <row r="578" spans="1:8" x14ac:dyDescent="0.3">
      <c r="A578" s="3" t="str">
        <f>新!E577</f>
        <v>CRC32:678A7E01</v>
      </c>
      <c r="B578" s="3" t="str">
        <f>新!A577</f>
        <v>Animal Crossing\Cards\Welcome amiibo Series</v>
      </c>
      <c r="C578" s="3" t="str">
        <f>新!B577</f>
        <v>[AC] W12 - Wade.bin</v>
      </c>
      <c r="D578" s="2" t="str">
        <f>IFERROR(INDEX(旧!A:A,MATCH(测试!A578,旧!E:E,0)),0)</f>
        <v>Animal Crossing\Cards - Welcome amiibo Series</v>
      </c>
      <c r="E578" s="2" t="str">
        <f>IFERROR(INDEX(旧!B:B,MATCH(测试!A578,旧!E:E,0)),0)</f>
        <v>[AC] W12 - Wade.bin</v>
      </c>
      <c r="F578" s="9">
        <f>IFERROR(IF(B578=INDEX(转换!B:B,MATCH(D578,转换!A:A,0)),0,1),1)</f>
        <v>0</v>
      </c>
      <c r="G578" s="9">
        <f t="shared" si="18"/>
        <v>0</v>
      </c>
      <c r="H578" s="9" t="str">
        <f t="shared" si="17"/>
        <v>-</v>
      </c>
    </row>
    <row r="579" spans="1:8" x14ac:dyDescent="0.3">
      <c r="A579" s="3" t="str">
        <f>新!E578</f>
        <v>CRC32:5E5D4D8A</v>
      </c>
      <c r="B579" s="3" t="str">
        <f>新!A578</f>
        <v>Animal Crossing\Cards\Welcome amiibo Series</v>
      </c>
      <c r="C579" s="3" t="str">
        <f>新!B578</f>
        <v>[AC] W13 - Carrie.bin</v>
      </c>
      <c r="D579" s="2" t="str">
        <f>IFERROR(INDEX(旧!A:A,MATCH(测试!A579,旧!E:E,0)),0)</f>
        <v>Animal Crossing\Cards - Welcome amiibo Series</v>
      </c>
      <c r="E579" s="2" t="str">
        <f>IFERROR(INDEX(旧!B:B,MATCH(测试!A579,旧!E:E,0)),0)</f>
        <v>[AC] W13 - Carrie.bin</v>
      </c>
      <c r="F579" s="9">
        <f>IFERROR(IF(B579=INDEX(转换!B:B,MATCH(D579,转换!A:A,0)),0,1),1)</f>
        <v>0</v>
      </c>
      <c r="G579" s="9">
        <f t="shared" si="18"/>
        <v>0</v>
      </c>
      <c r="H579" s="9" t="str">
        <f t="shared" si="17"/>
        <v>-</v>
      </c>
    </row>
    <row r="580" spans="1:8" x14ac:dyDescent="0.3">
      <c r="A580" s="3" t="str">
        <f>新!E579</f>
        <v>CRC32:106035AA</v>
      </c>
      <c r="B580" s="3" t="str">
        <f>新!A579</f>
        <v>Animal Crossing\Cards\Welcome amiibo Series</v>
      </c>
      <c r="C580" s="3" t="str">
        <f>新!B579</f>
        <v>[AC] W14 - Ketchup.bin</v>
      </c>
      <c r="D580" s="2" t="str">
        <f>IFERROR(INDEX(旧!A:A,MATCH(测试!A580,旧!E:E,0)),0)</f>
        <v>Animal Crossing\Cards - Welcome amiibo Series</v>
      </c>
      <c r="E580" s="2" t="str">
        <f>IFERROR(INDEX(旧!B:B,MATCH(测试!A580,旧!E:E,0)),0)</f>
        <v>[AC] W14 - Ketchup.bin</v>
      </c>
      <c r="F580" s="9">
        <f>IFERROR(IF(B580=INDEX(转换!B:B,MATCH(D580,转换!A:A,0)),0,1),1)</f>
        <v>0</v>
      </c>
      <c r="G580" s="9">
        <f t="shared" si="18"/>
        <v>0</v>
      </c>
      <c r="H580" s="9" t="str">
        <f t="shared" ref="H580:H643" si="19">_xlfn.IFS(F580+G580=0,"-",F580+G580=1,"文件名错误",F580+G580=2,"无此文件")</f>
        <v>-</v>
      </c>
    </row>
    <row r="581" spans="1:8" x14ac:dyDescent="0.3">
      <c r="A581" s="3" t="str">
        <f>新!E580</f>
        <v>CRC32:6732AD0F</v>
      </c>
      <c r="B581" s="3" t="str">
        <f>新!A580</f>
        <v>Animal Crossing\Cards\Welcome amiibo Series</v>
      </c>
      <c r="C581" s="3" t="str">
        <f>新!B580</f>
        <v>[AC] W15 - Rex.bin</v>
      </c>
      <c r="D581" s="2" t="str">
        <f>IFERROR(INDEX(旧!A:A,MATCH(测试!A581,旧!E:E,0)),0)</f>
        <v>Animal Crossing\Cards - Welcome amiibo Series</v>
      </c>
      <c r="E581" s="2" t="str">
        <f>IFERROR(INDEX(旧!B:B,MATCH(测试!A581,旧!E:E,0)),0)</f>
        <v>[AC] W15 - Rex.bin</v>
      </c>
      <c r="F581" s="9">
        <f>IFERROR(IF(B581=INDEX(转换!B:B,MATCH(D581,转换!A:A,0)),0,1),1)</f>
        <v>0</v>
      </c>
      <c r="G581" s="9">
        <f t="shared" si="18"/>
        <v>0</v>
      </c>
      <c r="H581" s="9" t="str">
        <f t="shared" si="19"/>
        <v>-</v>
      </c>
    </row>
    <row r="582" spans="1:8" x14ac:dyDescent="0.3">
      <c r="A582" s="3" t="str">
        <f>新!E581</f>
        <v>CRC32:14BE5BBE</v>
      </c>
      <c r="B582" s="3" t="str">
        <f>新!A581</f>
        <v>Animal Crossing\Cards\Welcome amiibo Series</v>
      </c>
      <c r="C582" s="3" t="str">
        <f>新!B581</f>
        <v>[AC] W16 - Stu.bin</v>
      </c>
      <c r="D582" s="2" t="str">
        <f>IFERROR(INDEX(旧!A:A,MATCH(测试!A582,旧!E:E,0)),0)</f>
        <v>Animal Crossing\Cards - Welcome amiibo Series</v>
      </c>
      <c r="E582" s="2" t="str">
        <f>IFERROR(INDEX(旧!B:B,MATCH(测试!A582,旧!E:E,0)),0)</f>
        <v>[AC] W16 - Stu.bin</v>
      </c>
      <c r="F582" s="9">
        <f>IFERROR(IF(B582=INDEX(转换!B:B,MATCH(D582,转换!A:A,0)),0,1),1)</f>
        <v>0</v>
      </c>
      <c r="G582" s="9">
        <f t="shared" si="18"/>
        <v>0</v>
      </c>
      <c r="H582" s="9" t="str">
        <f t="shared" si="19"/>
        <v>-</v>
      </c>
    </row>
    <row r="583" spans="1:8" x14ac:dyDescent="0.3">
      <c r="A583" s="3" t="str">
        <f>新!E582</f>
        <v>CRC32:B5464792</v>
      </c>
      <c r="B583" s="3" t="str">
        <f>新!A582</f>
        <v>Animal Crossing\Cards\Welcome amiibo Series</v>
      </c>
      <c r="C583" s="3" t="str">
        <f>新!B582</f>
        <v>[AC] W17 - Ursala.bin</v>
      </c>
      <c r="D583" s="2" t="str">
        <f>IFERROR(INDEX(旧!A:A,MATCH(测试!A583,旧!E:E,0)),0)</f>
        <v>Animal Crossing\Cards - Welcome amiibo Series</v>
      </c>
      <c r="E583" s="2" t="str">
        <f>IFERROR(INDEX(旧!B:B,MATCH(测试!A583,旧!E:E,0)),0)</f>
        <v>[AC] W17 - Ursala.bin</v>
      </c>
      <c r="F583" s="9">
        <f>IFERROR(IF(B583=INDEX(转换!B:B,MATCH(D583,转换!A:A,0)),0,1),1)</f>
        <v>0</v>
      </c>
      <c r="G583" s="9">
        <f t="shared" si="18"/>
        <v>0</v>
      </c>
      <c r="H583" s="9" t="str">
        <f t="shared" si="19"/>
        <v>-</v>
      </c>
    </row>
    <row r="584" spans="1:8" x14ac:dyDescent="0.3">
      <c r="A584" s="3" t="str">
        <f>新!E583</f>
        <v>CRC32:D345507E</v>
      </c>
      <c r="B584" s="3" t="str">
        <f>新!A583</f>
        <v>Animal Crossing\Cards\Welcome amiibo Series</v>
      </c>
      <c r="C584" s="3" t="str">
        <f>新!B583</f>
        <v>[AC] W18 - Jacob.bin</v>
      </c>
      <c r="D584" s="2" t="str">
        <f>IFERROR(INDEX(旧!A:A,MATCH(测试!A584,旧!E:E,0)),0)</f>
        <v>Animal Crossing\Cards - Welcome amiibo Series</v>
      </c>
      <c r="E584" s="2" t="str">
        <f>IFERROR(INDEX(旧!B:B,MATCH(测试!A584,旧!E:E,0)),0)</f>
        <v>[AC] W18 - Jacob.bin</v>
      </c>
      <c r="F584" s="9">
        <f>IFERROR(IF(B584=INDEX(转换!B:B,MATCH(D584,转换!A:A,0)),0,1),1)</f>
        <v>0</v>
      </c>
      <c r="G584" s="9">
        <f t="shared" si="18"/>
        <v>0</v>
      </c>
      <c r="H584" s="9" t="str">
        <f t="shared" si="19"/>
        <v>-</v>
      </c>
    </row>
    <row r="585" spans="1:8" x14ac:dyDescent="0.3">
      <c r="A585" s="3" t="str">
        <f>新!E584</f>
        <v>CRC32:75F54E7E</v>
      </c>
      <c r="B585" s="3" t="str">
        <f>新!A584</f>
        <v>Animal Crossing\Cards\Welcome amiibo Series</v>
      </c>
      <c r="C585" s="3" t="str">
        <f>新!B584</f>
        <v>[AC] W19 - Maddie.bin</v>
      </c>
      <c r="D585" s="2" t="str">
        <f>IFERROR(INDEX(旧!A:A,MATCH(测试!A585,旧!E:E,0)),0)</f>
        <v>Animal Crossing\Cards - Welcome amiibo Series</v>
      </c>
      <c r="E585" s="2" t="str">
        <f>IFERROR(INDEX(旧!B:B,MATCH(测试!A585,旧!E:E,0)),0)</f>
        <v>[AC] W19 - Maddie.bin</v>
      </c>
      <c r="F585" s="9">
        <f>IFERROR(IF(B585=INDEX(转换!B:B,MATCH(D585,转换!A:A,0)),0,1),1)</f>
        <v>0</v>
      </c>
      <c r="G585" s="9">
        <f t="shared" si="18"/>
        <v>0</v>
      </c>
      <c r="H585" s="9" t="str">
        <f t="shared" si="19"/>
        <v>-</v>
      </c>
    </row>
    <row r="586" spans="1:8" x14ac:dyDescent="0.3">
      <c r="A586" s="3" t="str">
        <f>新!E585</f>
        <v>CRC32:FAB675D1</v>
      </c>
      <c r="B586" s="3" t="str">
        <f>新!A585</f>
        <v>Animal Crossing\Cards\Welcome amiibo Series</v>
      </c>
      <c r="C586" s="3" t="str">
        <f>新!B585</f>
        <v>[AC] W20 - Billy.bin</v>
      </c>
      <c r="D586" s="2" t="str">
        <f>IFERROR(INDEX(旧!A:A,MATCH(测试!A586,旧!E:E,0)),0)</f>
        <v>Animal Crossing\Cards - Welcome amiibo Series</v>
      </c>
      <c r="E586" s="2" t="str">
        <f>IFERROR(INDEX(旧!B:B,MATCH(测试!A586,旧!E:E,0)),0)</f>
        <v>[AC] W20 - Billy.bin</v>
      </c>
      <c r="F586" s="9">
        <f>IFERROR(IF(B586=INDEX(转换!B:B,MATCH(D586,转换!A:A,0)),0,1),1)</f>
        <v>0</v>
      </c>
      <c r="G586" s="9">
        <f t="shared" si="18"/>
        <v>0</v>
      </c>
      <c r="H586" s="9" t="str">
        <f t="shared" si="19"/>
        <v>-</v>
      </c>
    </row>
    <row r="587" spans="1:8" x14ac:dyDescent="0.3">
      <c r="A587" s="3" t="str">
        <f>新!E586</f>
        <v>CRC32:0BCE4B86</v>
      </c>
      <c r="B587" s="3" t="str">
        <f>新!A586</f>
        <v>Animal Crossing\Cards\Welcome amiibo Series</v>
      </c>
      <c r="C587" s="3" t="str">
        <f>新!B586</f>
        <v>[AC] W21 - Boyd.bin</v>
      </c>
      <c r="D587" s="2" t="str">
        <f>IFERROR(INDEX(旧!A:A,MATCH(测试!A587,旧!E:E,0)),0)</f>
        <v>Animal Crossing\Cards - Welcome amiibo Series</v>
      </c>
      <c r="E587" s="2" t="str">
        <f>IFERROR(INDEX(旧!B:B,MATCH(测试!A587,旧!E:E,0)),0)</f>
        <v>[AC] W21 - Boyd.bin</v>
      </c>
      <c r="F587" s="9">
        <f>IFERROR(IF(B587=INDEX(转换!B:B,MATCH(D587,转换!A:A,0)),0,1),1)</f>
        <v>0</v>
      </c>
      <c r="G587" s="9">
        <f t="shared" si="18"/>
        <v>0</v>
      </c>
      <c r="H587" s="9" t="str">
        <f t="shared" si="19"/>
        <v>-</v>
      </c>
    </row>
    <row r="588" spans="1:8" x14ac:dyDescent="0.3">
      <c r="A588" s="3" t="str">
        <f>新!E587</f>
        <v>CRC32:0850FBBA</v>
      </c>
      <c r="B588" s="3" t="str">
        <f>新!A587</f>
        <v>Animal Crossing\Cards\Welcome amiibo Series</v>
      </c>
      <c r="C588" s="3" t="str">
        <f>新!B587</f>
        <v>[AC] W22 - Bitty.bin</v>
      </c>
      <c r="D588" s="2" t="str">
        <f>IFERROR(INDEX(旧!A:A,MATCH(测试!A588,旧!E:E,0)),0)</f>
        <v>Animal Crossing\Cards - Welcome amiibo Series</v>
      </c>
      <c r="E588" s="2" t="str">
        <f>IFERROR(INDEX(旧!B:B,MATCH(测试!A588,旧!E:E,0)),0)</f>
        <v>[AC] W22 - Bitty.bin</v>
      </c>
      <c r="F588" s="9">
        <f>IFERROR(IF(B588=INDEX(转换!B:B,MATCH(D588,转换!A:A,0)),0,1),1)</f>
        <v>0</v>
      </c>
      <c r="G588" s="9">
        <f t="shared" si="18"/>
        <v>0</v>
      </c>
      <c r="H588" s="9" t="str">
        <f t="shared" si="19"/>
        <v>-</v>
      </c>
    </row>
    <row r="589" spans="1:8" x14ac:dyDescent="0.3">
      <c r="A589" s="3" t="str">
        <f>新!E588</f>
        <v>CRC32:297E16DB</v>
      </c>
      <c r="B589" s="3" t="str">
        <f>新!A588</f>
        <v>Animal Crossing\Cards\Welcome amiibo Series</v>
      </c>
      <c r="C589" s="3" t="str">
        <f>新!B588</f>
        <v>[AC] W23 - Maggie.bin</v>
      </c>
      <c r="D589" s="2" t="str">
        <f>IFERROR(INDEX(旧!A:A,MATCH(测试!A589,旧!E:E,0)),0)</f>
        <v>Animal Crossing\Cards - Welcome amiibo Series</v>
      </c>
      <c r="E589" s="2" t="str">
        <f>IFERROR(INDEX(旧!B:B,MATCH(测试!A589,旧!E:E,0)),0)</f>
        <v>[AC] W23 - Maggie.bin</v>
      </c>
      <c r="F589" s="9">
        <f>IFERROR(IF(B589=INDEX(转换!B:B,MATCH(D589,转换!A:A,0)),0,1),1)</f>
        <v>0</v>
      </c>
      <c r="G589" s="9">
        <f t="shared" si="18"/>
        <v>0</v>
      </c>
      <c r="H589" s="9" t="str">
        <f t="shared" si="19"/>
        <v>-</v>
      </c>
    </row>
    <row r="590" spans="1:8" x14ac:dyDescent="0.3">
      <c r="A590" s="3" t="str">
        <f>新!E589</f>
        <v>CRC32:1251182B</v>
      </c>
      <c r="B590" s="3" t="str">
        <f>新!A589</f>
        <v>Animal Crossing\Cards\Welcome amiibo Series</v>
      </c>
      <c r="C590" s="3" t="str">
        <f>新!B589</f>
        <v>[AC] W24 - Murphy.bin</v>
      </c>
      <c r="D590" s="2" t="str">
        <f>IFERROR(INDEX(旧!A:A,MATCH(测试!A590,旧!E:E,0)),0)</f>
        <v>Animal Crossing\Cards - Welcome amiibo Series</v>
      </c>
      <c r="E590" s="2" t="str">
        <f>IFERROR(INDEX(旧!B:B,MATCH(测试!A590,旧!E:E,0)),0)</f>
        <v>[AC] W24 - Murphy.bin</v>
      </c>
      <c r="F590" s="9">
        <f>IFERROR(IF(B590=INDEX(转换!B:B,MATCH(D590,转换!A:A,0)),0,1),1)</f>
        <v>0</v>
      </c>
      <c r="G590" s="9">
        <f t="shared" si="18"/>
        <v>0</v>
      </c>
      <c r="H590" s="9" t="str">
        <f t="shared" si="19"/>
        <v>-</v>
      </c>
    </row>
    <row r="591" spans="1:8" x14ac:dyDescent="0.3">
      <c r="A591" s="3" t="str">
        <f>新!E590</f>
        <v>CRC32:5D42F197</v>
      </c>
      <c r="B591" s="3" t="str">
        <f>新!A590</f>
        <v>Animal Crossing\Cards\Welcome amiibo Series</v>
      </c>
      <c r="C591" s="3" t="str">
        <f>新!B590</f>
        <v>[AC] W25 - Plucky.bin</v>
      </c>
      <c r="D591" s="2" t="str">
        <f>IFERROR(INDEX(旧!A:A,MATCH(测试!A591,旧!E:E,0)),0)</f>
        <v>Animal Crossing\Cards - Welcome amiibo Series</v>
      </c>
      <c r="E591" s="2" t="str">
        <f>IFERROR(INDEX(旧!B:B,MATCH(测试!A591,旧!E:E,0)),0)</f>
        <v>[AC] W25 - Plucky.bin</v>
      </c>
      <c r="F591" s="9">
        <f>IFERROR(IF(B591=INDEX(转换!B:B,MATCH(D591,转换!A:A,0)),0,1),1)</f>
        <v>0</v>
      </c>
      <c r="G591" s="9">
        <f t="shared" si="18"/>
        <v>0</v>
      </c>
      <c r="H591" s="9" t="str">
        <f t="shared" si="19"/>
        <v>-</v>
      </c>
    </row>
    <row r="592" spans="1:8" x14ac:dyDescent="0.3">
      <c r="A592" s="3" t="str">
        <f>新!E591</f>
        <v>CRC32:27F4BC65</v>
      </c>
      <c r="B592" s="3" t="str">
        <f>新!A591</f>
        <v>Animal Crossing\Cards\Welcome amiibo Series</v>
      </c>
      <c r="C592" s="3" t="str">
        <f>新!B591</f>
        <v>[AC] W26 - Sandy.bin</v>
      </c>
      <c r="D592" s="2" t="str">
        <f>IFERROR(INDEX(旧!A:A,MATCH(测试!A592,旧!E:E,0)),0)</f>
        <v>Animal Crossing\Cards - Welcome amiibo Series</v>
      </c>
      <c r="E592" s="2" t="str">
        <f>IFERROR(INDEX(旧!B:B,MATCH(测试!A592,旧!E:E,0)),0)</f>
        <v>[AC] W26 - Sandy.bin</v>
      </c>
      <c r="F592" s="9">
        <f>IFERROR(IF(B592=INDEX(转换!B:B,MATCH(D592,转换!A:A,0)),0,1),1)</f>
        <v>0</v>
      </c>
      <c r="G592" s="9">
        <f t="shared" si="18"/>
        <v>0</v>
      </c>
      <c r="H592" s="9" t="str">
        <f t="shared" si="19"/>
        <v>-</v>
      </c>
    </row>
    <row r="593" spans="1:8" x14ac:dyDescent="0.3">
      <c r="A593" s="3" t="str">
        <f>新!E592</f>
        <v>CRC32:F5946FF7</v>
      </c>
      <c r="B593" s="3" t="str">
        <f>新!A592</f>
        <v>Animal Crossing\Cards\Welcome amiibo Series</v>
      </c>
      <c r="C593" s="3" t="str">
        <f>新!B592</f>
        <v>[AC] W27 - Claude.bin</v>
      </c>
      <c r="D593" s="2" t="str">
        <f>IFERROR(INDEX(旧!A:A,MATCH(测试!A593,旧!E:E,0)),0)</f>
        <v>Animal Crossing\Cards - Welcome amiibo Series</v>
      </c>
      <c r="E593" s="2" t="str">
        <f>IFERROR(INDEX(旧!B:B,MATCH(测试!A593,旧!E:E,0)),0)</f>
        <v>[AC] W27 - Claude.bin</v>
      </c>
      <c r="F593" s="9">
        <f>IFERROR(IF(B593=INDEX(转换!B:B,MATCH(D593,转换!A:A,0)),0,1),1)</f>
        <v>0</v>
      </c>
      <c r="G593" s="9">
        <f t="shared" si="18"/>
        <v>0</v>
      </c>
      <c r="H593" s="9" t="str">
        <f t="shared" si="19"/>
        <v>-</v>
      </c>
    </row>
    <row r="594" spans="1:8" x14ac:dyDescent="0.3">
      <c r="A594" s="3" t="str">
        <f>新!E593</f>
        <v>CRC32:2210D540</v>
      </c>
      <c r="B594" s="3" t="str">
        <f>新!A593</f>
        <v>Animal Crossing\Cards\Welcome amiibo Series</v>
      </c>
      <c r="C594" s="3" t="str">
        <f>新!B593</f>
        <v>[AC] W28 - Raddle.bin</v>
      </c>
      <c r="D594" s="2" t="str">
        <f>IFERROR(INDEX(旧!A:A,MATCH(测试!A594,旧!E:E,0)),0)</f>
        <v>Animal Crossing\Cards - Welcome amiibo Series</v>
      </c>
      <c r="E594" s="2" t="str">
        <f>IFERROR(INDEX(旧!B:B,MATCH(测试!A594,旧!E:E,0)),0)</f>
        <v>[AC] W28 - Raddle.bin</v>
      </c>
      <c r="F594" s="9">
        <f>IFERROR(IF(B594=INDEX(转换!B:B,MATCH(D594,转换!A:A,0)),0,1),1)</f>
        <v>0</v>
      </c>
      <c r="G594" s="9">
        <f t="shared" si="18"/>
        <v>0</v>
      </c>
      <c r="H594" s="9" t="str">
        <f t="shared" si="19"/>
        <v>-</v>
      </c>
    </row>
    <row r="595" spans="1:8" x14ac:dyDescent="0.3">
      <c r="A595" s="3" t="str">
        <f>新!E594</f>
        <v>CRC32:353D3557</v>
      </c>
      <c r="B595" s="3" t="str">
        <f>新!A594</f>
        <v>Animal Crossing\Cards\Welcome amiibo Series</v>
      </c>
      <c r="C595" s="3" t="str">
        <f>新!B594</f>
        <v>[AC] W29 - Julia.bin</v>
      </c>
      <c r="D595" s="2" t="str">
        <f>IFERROR(INDEX(旧!A:A,MATCH(测试!A595,旧!E:E,0)),0)</f>
        <v>Animal Crossing\Cards - Welcome amiibo Series</v>
      </c>
      <c r="E595" s="2" t="str">
        <f>IFERROR(INDEX(旧!B:B,MATCH(测试!A595,旧!E:E,0)),0)</f>
        <v>[AC] W29 - Julia.bin</v>
      </c>
      <c r="F595" s="9">
        <f>IFERROR(IF(B595=INDEX(转换!B:B,MATCH(D595,转换!A:A,0)),0,1),1)</f>
        <v>0</v>
      </c>
      <c r="G595" s="9">
        <f t="shared" si="18"/>
        <v>0</v>
      </c>
      <c r="H595" s="9" t="str">
        <f t="shared" si="19"/>
        <v>-</v>
      </c>
    </row>
    <row r="596" spans="1:8" x14ac:dyDescent="0.3">
      <c r="A596" s="3" t="str">
        <f>新!E595</f>
        <v>CRC32:EFCE1F57</v>
      </c>
      <c r="B596" s="3" t="str">
        <f>新!A595</f>
        <v>Animal Crossing\Cards\Welcome amiibo Series</v>
      </c>
      <c r="C596" s="3" t="str">
        <f>新!B595</f>
        <v>[AC] W30 - Louie.bin</v>
      </c>
      <c r="D596" s="2" t="str">
        <f>IFERROR(INDEX(旧!A:A,MATCH(测试!A596,旧!E:E,0)),0)</f>
        <v>Animal Crossing\Cards - Welcome amiibo Series</v>
      </c>
      <c r="E596" s="2" t="str">
        <f>IFERROR(INDEX(旧!B:B,MATCH(测试!A596,旧!E:E,0)),0)</f>
        <v>[AC] W30 - Louie.bin</v>
      </c>
      <c r="F596" s="9">
        <f>IFERROR(IF(B596=INDEX(转换!B:B,MATCH(D596,转换!A:A,0)),0,1),1)</f>
        <v>0</v>
      </c>
      <c r="G596" s="9">
        <f t="shared" si="18"/>
        <v>0</v>
      </c>
      <c r="H596" s="9" t="str">
        <f t="shared" si="19"/>
        <v>-</v>
      </c>
    </row>
    <row r="597" spans="1:8" x14ac:dyDescent="0.3">
      <c r="A597" s="3" t="str">
        <f>新!E596</f>
        <v>CRC32:B47E5B18</v>
      </c>
      <c r="B597" s="3" t="str">
        <f>新!A596</f>
        <v>Animal Crossing\Cards\Welcome amiibo Series</v>
      </c>
      <c r="C597" s="3" t="str">
        <f>新!B596</f>
        <v>[AC] W31 - Bea.bin</v>
      </c>
      <c r="D597" s="2" t="str">
        <f>IFERROR(INDEX(旧!A:A,MATCH(测试!A597,旧!E:E,0)),0)</f>
        <v>Animal Crossing\Cards - Welcome amiibo Series</v>
      </c>
      <c r="E597" s="2" t="str">
        <f>IFERROR(INDEX(旧!B:B,MATCH(测试!A597,旧!E:E,0)),0)</f>
        <v>[AC] W31 - Bea.bin</v>
      </c>
      <c r="F597" s="9">
        <f>IFERROR(IF(B597=INDEX(转换!B:B,MATCH(D597,转换!A:A,0)),0,1),1)</f>
        <v>0</v>
      </c>
      <c r="G597" s="9">
        <f t="shared" si="18"/>
        <v>0</v>
      </c>
      <c r="H597" s="9" t="str">
        <f t="shared" si="19"/>
        <v>-</v>
      </c>
    </row>
    <row r="598" spans="1:8" x14ac:dyDescent="0.3">
      <c r="A598" s="3" t="str">
        <f>新!E597</f>
        <v>CRC32:A3141258</v>
      </c>
      <c r="B598" s="3" t="str">
        <f>新!A597</f>
        <v>Animal Crossing\Cards\Welcome amiibo Series</v>
      </c>
      <c r="C598" s="3" t="str">
        <f>新!B597</f>
        <v>[AC] W32 - Admiral.bin</v>
      </c>
      <c r="D598" s="2" t="str">
        <f>IFERROR(INDEX(旧!A:A,MATCH(测试!A598,旧!E:E,0)),0)</f>
        <v>Animal Crossing\Cards - Welcome amiibo Series</v>
      </c>
      <c r="E598" s="2" t="str">
        <f>IFERROR(INDEX(旧!B:B,MATCH(测试!A598,旧!E:E,0)),0)</f>
        <v>[AC] W32 - Admiral.bin</v>
      </c>
      <c r="F598" s="9">
        <f>IFERROR(IF(B598=INDEX(转换!B:B,MATCH(D598,转换!A:A,0)),0,1),1)</f>
        <v>0</v>
      </c>
      <c r="G598" s="9">
        <f t="shared" si="18"/>
        <v>0</v>
      </c>
      <c r="H598" s="9" t="str">
        <f t="shared" si="19"/>
        <v>-</v>
      </c>
    </row>
    <row r="599" spans="1:8" x14ac:dyDescent="0.3">
      <c r="A599" s="3" t="str">
        <f>新!E598</f>
        <v>CRC32:4FE0333F</v>
      </c>
      <c r="B599" s="3" t="str">
        <f>新!A598</f>
        <v>Animal Crossing\Cards\Welcome amiibo Series</v>
      </c>
      <c r="C599" s="3" t="str">
        <f>新!B598</f>
        <v>[AC] W33 - Ellie.bin</v>
      </c>
      <c r="D599" s="2" t="str">
        <f>IFERROR(INDEX(旧!A:A,MATCH(测试!A599,旧!E:E,0)),0)</f>
        <v>Animal Crossing\Cards - Welcome amiibo Series</v>
      </c>
      <c r="E599" s="2" t="str">
        <f>IFERROR(INDEX(旧!B:B,MATCH(测试!A599,旧!E:E,0)),0)</f>
        <v>[AC] W33 - Ellie.bin</v>
      </c>
      <c r="F599" s="9">
        <f>IFERROR(IF(B599=INDEX(转换!B:B,MATCH(D599,转换!A:A,0)),0,1),1)</f>
        <v>0</v>
      </c>
      <c r="G599" s="9">
        <f t="shared" si="18"/>
        <v>0</v>
      </c>
      <c r="H599" s="9" t="str">
        <f t="shared" si="19"/>
        <v>-</v>
      </c>
    </row>
    <row r="600" spans="1:8" x14ac:dyDescent="0.3">
      <c r="A600" s="3" t="str">
        <f>新!E599</f>
        <v>CRC32:76529452</v>
      </c>
      <c r="B600" s="3" t="str">
        <f>新!A599</f>
        <v>Animal Crossing\Cards\Welcome amiibo Series</v>
      </c>
      <c r="C600" s="3" t="str">
        <f>新!B599</f>
        <v>[AC] W34 - Boots.bin</v>
      </c>
      <c r="D600" s="2" t="str">
        <f>IFERROR(INDEX(旧!A:A,MATCH(测试!A600,旧!E:E,0)),0)</f>
        <v>Animal Crossing\Cards - Welcome amiibo Series</v>
      </c>
      <c r="E600" s="2" t="str">
        <f>IFERROR(INDEX(旧!B:B,MATCH(测试!A600,旧!E:E,0)),0)</f>
        <v>[AC] W34 - Boots.bin</v>
      </c>
      <c r="F600" s="9">
        <f>IFERROR(IF(B600=INDEX(转换!B:B,MATCH(D600,转换!A:A,0)),0,1),1)</f>
        <v>0</v>
      </c>
      <c r="G600" s="9">
        <f t="shared" si="18"/>
        <v>0</v>
      </c>
      <c r="H600" s="9" t="str">
        <f t="shared" si="19"/>
        <v>-</v>
      </c>
    </row>
    <row r="601" spans="1:8" x14ac:dyDescent="0.3">
      <c r="A601" s="3" t="str">
        <f>新!E600</f>
        <v>CRC32:64F191ED</v>
      </c>
      <c r="B601" s="3" t="str">
        <f>新!A600</f>
        <v>Animal Crossing\Cards\Welcome amiibo Series</v>
      </c>
      <c r="C601" s="3" t="str">
        <f>新!B600</f>
        <v>[AC] W35 - Weber.bin</v>
      </c>
      <c r="D601" s="2" t="str">
        <f>IFERROR(INDEX(旧!A:A,MATCH(测试!A601,旧!E:E,0)),0)</f>
        <v>Animal Crossing\Cards - Welcome amiibo Series</v>
      </c>
      <c r="E601" s="2" t="str">
        <f>IFERROR(INDEX(旧!B:B,MATCH(测试!A601,旧!E:E,0)),0)</f>
        <v>[AC] W35 - Weber.bin</v>
      </c>
      <c r="F601" s="9">
        <f>IFERROR(IF(B601=INDEX(转换!B:B,MATCH(D601,转换!A:A,0)),0,1),1)</f>
        <v>0</v>
      </c>
      <c r="G601" s="9">
        <f t="shared" si="18"/>
        <v>0</v>
      </c>
      <c r="H601" s="9" t="str">
        <f t="shared" si="19"/>
        <v>-</v>
      </c>
    </row>
    <row r="602" spans="1:8" x14ac:dyDescent="0.3">
      <c r="A602" s="3" t="str">
        <f>新!E601</f>
        <v>CRC32:3FE02603</v>
      </c>
      <c r="B602" s="3" t="str">
        <f>新!A601</f>
        <v>Animal Crossing\Cards\Welcome amiibo Series</v>
      </c>
      <c r="C602" s="3" t="str">
        <f>新!B601</f>
        <v>[AC] W36 - Candi.bin</v>
      </c>
      <c r="D602" s="2" t="str">
        <f>IFERROR(INDEX(旧!A:A,MATCH(测试!A602,旧!E:E,0)),0)</f>
        <v>Animal Crossing\Cards - Welcome amiibo Series</v>
      </c>
      <c r="E602" s="2" t="str">
        <f>IFERROR(INDEX(旧!B:B,MATCH(测试!A602,旧!E:E,0)),0)</f>
        <v>[AC] W36 - Candi.bin</v>
      </c>
      <c r="F602" s="9">
        <f>IFERROR(IF(B602=INDEX(转换!B:B,MATCH(D602,转换!A:A,0)),0,1),1)</f>
        <v>0</v>
      </c>
      <c r="G602" s="9">
        <f t="shared" si="18"/>
        <v>0</v>
      </c>
      <c r="H602" s="9" t="str">
        <f t="shared" si="19"/>
        <v>-</v>
      </c>
    </row>
    <row r="603" spans="1:8" x14ac:dyDescent="0.3">
      <c r="A603" s="3" t="str">
        <f>新!E602</f>
        <v>CRC32:FB93430B</v>
      </c>
      <c r="B603" s="3" t="str">
        <f>新!A602</f>
        <v>Animal Crossing\Cards\Welcome amiibo Series</v>
      </c>
      <c r="C603" s="3" t="str">
        <f>新!B602</f>
        <v>[AC] W37 - Leopold.bin</v>
      </c>
      <c r="D603" s="2" t="str">
        <f>IFERROR(INDEX(旧!A:A,MATCH(测试!A603,旧!E:E,0)),0)</f>
        <v>Animal Crossing\Cards - Welcome amiibo Series</v>
      </c>
      <c r="E603" s="2" t="str">
        <f>IFERROR(INDEX(旧!B:B,MATCH(测试!A603,旧!E:E,0)),0)</f>
        <v>[AC] W37 - Leopold.bin</v>
      </c>
      <c r="F603" s="9">
        <f>IFERROR(IF(B603=INDEX(转换!B:B,MATCH(D603,转换!A:A,0)),0,1),1)</f>
        <v>0</v>
      </c>
      <c r="G603" s="9">
        <f t="shared" si="18"/>
        <v>0</v>
      </c>
      <c r="H603" s="9" t="str">
        <f t="shared" si="19"/>
        <v>-</v>
      </c>
    </row>
    <row r="604" spans="1:8" x14ac:dyDescent="0.3">
      <c r="A604" s="3" t="str">
        <f>新!E603</f>
        <v>CRC32:61CA7481</v>
      </c>
      <c r="B604" s="3" t="str">
        <f>新!A603</f>
        <v>Animal Crossing\Cards\Welcome amiibo Series</v>
      </c>
      <c r="C604" s="3" t="str">
        <f>新!B603</f>
        <v>[AC] W38 - Spike.bin</v>
      </c>
      <c r="D604" s="2" t="str">
        <f>IFERROR(INDEX(旧!A:A,MATCH(测试!A604,旧!E:E,0)),0)</f>
        <v>Animal Crossing\Cards - Welcome amiibo Series</v>
      </c>
      <c r="E604" s="2" t="str">
        <f>IFERROR(INDEX(旧!B:B,MATCH(测试!A604,旧!E:E,0)),0)</f>
        <v>[AC] W38 - Spike.bin</v>
      </c>
      <c r="F604" s="9">
        <f>IFERROR(IF(B604=INDEX(转换!B:B,MATCH(D604,转换!A:A,0)),0,1),1)</f>
        <v>0</v>
      </c>
      <c r="G604" s="9">
        <f t="shared" si="18"/>
        <v>0</v>
      </c>
      <c r="H604" s="9" t="str">
        <f t="shared" si="19"/>
        <v>-</v>
      </c>
    </row>
    <row r="605" spans="1:8" x14ac:dyDescent="0.3">
      <c r="A605" s="3" t="str">
        <f>新!E604</f>
        <v>CRC32:8C6A43F7</v>
      </c>
      <c r="B605" s="3" t="str">
        <f>新!A604</f>
        <v>Animal Crossing\Cards\Welcome amiibo Series</v>
      </c>
      <c r="C605" s="3" t="str">
        <f>新!B604</f>
        <v>[AC] W39 - Cashmere.bin</v>
      </c>
      <c r="D605" s="2" t="str">
        <f>IFERROR(INDEX(旧!A:A,MATCH(测试!A605,旧!E:E,0)),0)</f>
        <v>Animal Crossing\Cards - Welcome amiibo Series</v>
      </c>
      <c r="E605" s="2" t="str">
        <f>IFERROR(INDEX(旧!B:B,MATCH(测试!A605,旧!E:E,0)),0)</f>
        <v>[AC] W39 - Cashmere.bin</v>
      </c>
      <c r="F605" s="9">
        <f>IFERROR(IF(B605=INDEX(转换!B:B,MATCH(D605,转换!A:A,0)),0,1),1)</f>
        <v>0</v>
      </c>
      <c r="G605" s="9">
        <f t="shared" si="18"/>
        <v>0</v>
      </c>
      <c r="H605" s="9" t="str">
        <f t="shared" si="19"/>
        <v>-</v>
      </c>
    </row>
    <row r="606" spans="1:8" x14ac:dyDescent="0.3">
      <c r="A606" s="3" t="str">
        <f>新!E605</f>
        <v>CRC32:A9EB5599</v>
      </c>
      <c r="B606" s="3" t="str">
        <f>新!A605</f>
        <v>Animal Crossing\Cards\Welcome amiibo Series</v>
      </c>
      <c r="C606" s="3" t="str">
        <f>新!B605</f>
        <v>[AC] W40 - Tad.bin</v>
      </c>
      <c r="D606" s="2" t="str">
        <f>IFERROR(INDEX(旧!A:A,MATCH(测试!A606,旧!E:E,0)),0)</f>
        <v>Animal Crossing\Cards - Welcome amiibo Series</v>
      </c>
      <c r="E606" s="2" t="str">
        <f>IFERROR(INDEX(旧!B:B,MATCH(测试!A606,旧!E:E,0)),0)</f>
        <v>[AC] W40 - Tad.bin</v>
      </c>
      <c r="F606" s="9">
        <f>IFERROR(IF(B606=INDEX(转换!B:B,MATCH(D606,转换!A:A,0)),0,1),1)</f>
        <v>0</v>
      </c>
      <c r="G606" s="9">
        <f t="shared" si="18"/>
        <v>0</v>
      </c>
      <c r="H606" s="9" t="str">
        <f t="shared" si="19"/>
        <v>-</v>
      </c>
    </row>
    <row r="607" spans="1:8" x14ac:dyDescent="0.3">
      <c r="A607" s="3" t="str">
        <f>新!E606</f>
        <v>CRC32:8389C21D</v>
      </c>
      <c r="B607" s="3" t="str">
        <f>新!A606</f>
        <v>Animal Crossing\Cards\Welcome amiibo Series</v>
      </c>
      <c r="C607" s="3" t="str">
        <f>新!B606</f>
        <v>[AC] W41 - Norma.bin</v>
      </c>
      <c r="D607" s="2" t="str">
        <f>IFERROR(INDEX(旧!A:A,MATCH(测试!A607,旧!E:E,0)),0)</f>
        <v>Animal Crossing\Cards - Welcome amiibo Series</v>
      </c>
      <c r="E607" s="2" t="str">
        <f>IFERROR(INDEX(旧!B:B,MATCH(测试!A607,旧!E:E,0)),0)</f>
        <v>[AC] W41 - Norma.bin</v>
      </c>
      <c r="F607" s="9">
        <f>IFERROR(IF(B607=INDEX(转换!B:B,MATCH(D607,转换!A:A,0)),0,1),1)</f>
        <v>0</v>
      </c>
      <c r="G607" s="9">
        <f t="shared" si="18"/>
        <v>0</v>
      </c>
      <c r="H607" s="9" t="str">
        <f t="shared" si="19"/>
        <v>-</v>
      </c>
    </row>
    <row r="608" spans="1:8" x14ac:dyDescent="0.3">
      <c r="A608" s="3" t="str">
        <f>新!E607</f>
        <v>CRC32:4D0E7766</v>
      </c>
      <c r="B608" s="3" t="str">
        <f>新!A607</f>
        <v>Animal Crossing\Cards\Welcome amiibo Series</v>
      </c>
      <c r="C608" s="3" t="str">
        <f>新!B607</f>
        <v>[AC] W42 - Gonzo.bin</v>
      </c>
      <c r="D608" s="2" t="str">
        <f>IFERROR(INDEX(旧!A:A,MATCH(测试!A608,旧!E:E,0)),0)</f>
        <v>Animal Crossing\Cards - Welcome amiibo Series</v>
      </c>
      <c r="E608" s="2" t="str">
        <f>IFERROR(INDEX(旧!B:B,MATCH(测试!A608,旧!E:E,0)),0)</f>
        <v>[AC] W42 - Gonzo.bin</v>
      </c>
      <c r="F608" s="9">
        <f>IFERROR(IF(B608=INDEX(转换!B:B,MATCH(D608,转换!A:A,0)),0,1),1)</f>
        <v>0</v>
      </c>
      <c r="G608" s="9">
        <f t="shared" si="18"/>
        <v>0</v>
      </c>
      <c r="H608" s="9" t="str">
        <f t="shared" si="19"/>
        <v>-</v>
      </c>
    </row>
    <row r="609" spans="1:8" x14ac:dyDescent="0.3">
      <c r="A609" s="3" t="str">
        <f>新!E608</f>
        <v>CRC32:355CEBF9</v>
      </c>
      <c r="B609" s="3" t="str">
        <f>新!A608</f>
        <v>Animal Crossing\Cards\Welcome amiibo Series</v>
      </c>
      <c r="C609" s="3" t="str">
        <f>新!B608</f>
        <v>[AC] W43 - Sprocket.bin</v>
      </c>
      <c r="D609" s="2" t="str">
        <f>IFERROR(INDEX(旧!A:A,MATCH(测试!A609,旧!E:E,0)),0)</f>
        <v>Animal Crossing\Cards - Welcome amiibo Series</v>
      </c>
      <c r="E609" s="2" t="str">
        <f>IFERROR(INDEX(旧!B:B,MATCH(测试!A609,旧!E:E,0)),0)</f>
        <v>[AC] W43 - Sprocket.bin</v>
      </c>
      <c r="F609" s="9">
        <f>IFERROR(IF(B609=INDEX(转换!B:B,MATCH(D609,转换!A:A,0)),0,1),1)</f>
        <v>0</v>
      </c>
      <c r="G609" s="9">
        <f t="shared" si="18"/>
        <v>0</v>
      </c>
      <c r="H609" s="9" t="str">
        <f t="shared" si="19"/>
        <v>-</v>
      </c>
    </row>
    <row r="610" spans="1:8" x14ac:dyDescent="0.3">
      <c r="A610" s="3" t="str">
        <f>新!E609</f>
        <v>CRC32:950025A9</v>
      </c>
      <c r="B610" s="3" t="str">
        <f>新!A609</f>
        <v>Animal Crossing\Cards\Welcome amiibo Series</v>
      </c>
      <c r="C610" s="3" t="str">
        <f>新!B609</f>
        <v>[AC] W44 - Snooty.bin</v>
      </c>
      <c r="D610" s="2" t="str">
        <f>IFERROR(INDEX(旧!A:A,MATCH(测试!A610,旧!E:E,0)),0)</f>
        <v>Animal Crossing\Cards - Welcome amiibo Series</v>
      </c>
      <c r="E610" s="2" t="str">
        <f>IFERROR(INDEX(旧!B:B,MATCH(测试!A610,旧!E:E,0)),0)</f>
        <v>[AC] W44 - Snooty.bin</v>
      </c>
      <c r="F610" s="9">
        <f>IFERROR(IF(B610=INDEX(转换!B:B,MATCH(D610,转换!A:A,0)),0,1),1)</f>
        <v>0</v>
      </c>
      <c r="G610" s="9">
        <f t="shared" si="18"/>
        <v>0</v>
      </c>
      <c r="H610" s="9" t="str">
        <f t="shared" si="19"/>
        <v>-</v>
      </c>
    </row>
    <row r="611" spans="1:8" x14ac:dyDescent="0.3">
      <c r="A611" s="3" t="str">
        <f>新!E610</f>
        <v>CRC32:D15A6E0B</v>
      </c>
      <c r="B611" s="3" t="str">
        <f>新!A610</f>
        <v>Animal Crossing\Cards\Welcome amiibo Series</v>
      </c>
      <c r="C611" s="3" t="str">
        <f>新!B610</f>
        <v>[AC] W45 - Olive.bin</v>
      </c>
      <c r="D611" s="2" t="str">
        <f>IFERROR(INDEX(旧!A:A,MATCH(测试!A611,旧!E:E,0)),0)</f>
        <v>Animal Crossing\Cards - Welcome amiibo Series</v>
      </c>
      <c r="E611" s="2" t="str">
        <f>IFERROR(INDEX(旧!B:B,MATCH(测试!A611,旧!E:E,0)),0)</f>
        <v>[AC] W45 - Olive.bin</v>
      </c>
      <c r="F611" s="9">
        <f>IFERROR(IF(B611=INDEX(转换!B:B,MATCH(D611,转换!A:A,0)),0,1),1)</f>
        <v>0</v>
      </c>
      <c r="G611" s="9">
        <f t="shared" si="18"/>
        <v>0</v>
      </c>
      <c r="H611" s="9" t="str">
        <f t="shared" si="19"/>
        <v>-</v>
      </c>
    </row>
    <row r="612" spans="1:8" x14ac:dyDescent="0.3">
      <c r="A612" s="3" t="str">
        <f>新!E611</f>
        <v>CRC32:8C38C46A</v>
      </c>
      <c r="B612" s="3" t="str">
        <f>新!A611</f>
        <v>Animal Crossing\Cards\Welcome amiibo Series</v>
      </c>
      <c r="C612" s="3" t="str">
        <f>新!B611</f>
        <v>[AC] W46 - Dobie.bin</v>
      </c>
      <c r="D612" s="2" t="str">
        <f>IFERROR(INDEX(旧!A:A,MATCH(测试!A612,旧!E:E,0)),0)</f>
        <v>Animal Crossing\Cards - Welcome amiibo Series</v>
      </c>
      <c r="E612" s="2" t="str">
        <f>IFERROR(INDEX(旧!B:B,MATCH(测试!A612,旧!E:E,0)),0)</f>
        <v>[AC] W46 - Dobie.bin</v>
      </c>
      <c r="F612" s="9">
        <f>IFERROR(IF(B612=INDEX(转换!B:B,MATCH(D612,转换!A:A,0)),0,1),1)</f>
        <v>0</v>
      </c>
      <c r="G612" s="9">
        <f t="shared" si="18"/>
        <v>0</v>
      </c>
      <c r="H612" s="9" t="str">
        <f t="shared" si="19"/>
        <v>-</v>
      </c>
    </row>
    <row r="613" spans="1:8" x14ac:dyDescent="0.3">
      <c r="A613" s="3" t="str">
        <f>新!E612</f>
        <v>CRC32:54E2F31C</v>
      </c>
      <c r="B613" s="3" t="str">
        <f>新!A612</f>
        <v>Animal Crossing\Cards\Welcome amiibo Series</v>
      </c>
      <c r="C613" s="3" t="str">
        <f>新!B612</f>
        <v>[AC] W47 - Buzz.bin</v>
      </c>
      <c r="D613" s="2" t="str">
        <f>IFERROR(INDEX(旧!A:A,MATCH(测试!A613,旧!E:E,0)),0)</f>
        <v>Animal Crossing\Cards - Welcome amiibo Series</v>
      </c>
      <c r="E613" s="2" t="str">
        <f>IFERROR(INDEX(旧!B:B,MATCH(测试!A613,旧!E:E,0)),0)</f>
        <v>[AC] W47 - Buzz.bin</v>
      </c>
      <c r="F613" s="9">
        <f>IFERROR(IF(B613=INDEX(转换!B:B,MATCH(D613,转换!A:A,0)),0,1),1)</f>
        <v>0</v>
      </c>
      <c r="G613" s="9">
        <f t="shared" si="18"/>
        <v>0</v>
      </c>
      <c r="H613" s="9" t="str">
        <f t="shared" si="19"/>
        <v>-</v>
      </c>
    </row>
    <row r="614" spans="1:8" x14ac:dyDescent="0.3">
      <c r="A614" s="3" t="str">
        <f>新!E613</f>
        <v>CRC32:A2DD84DF</v>
      </c>
      <c r="B614" s="3" t="str">
        <f>新!A613</f>
        <v>Animal Crossing\Cards\Welcome amiibo Series</v>
      </c>
      <c r="C614" s="3" t="str">
        <f>新!B613</f>
        <v>[AC] W48 - Cleo.bin</v>
      </c>
      <c r="D614" s="2" t="str">
        <f>IFERROR(INDEX(旧!A:A,MATCH(测试!A614,旧!E:E,0)),0)</f>
        <v>Animal Crossing\Cards - Welcome amiibo Series</v>
      </c>
      <c r="E614" s="2" t="str">
        <f>IFERROR(INDEX(旧!B:B,MATCH(测试!A614,旧!E:E,0)),0)</f>
        <v>[AC] W48 - Cleo.bin</v>
      </c>
      <c r="F614" s="9">
        <f>IFERROR(IF(B614=INDEX(转换!B:B,MATCH(D614,转换!A:A,0)),0,1),1)</f>
        <v>0</v>
      </c>
      <c r="G614" s="9">
        <f t="shared" si="18"/>
        <v>0</v>
      </c>
      <c r="H614" s="9" t="str">
        <f t="shared" si="19"/>
        <v>-</v>
      </c>
    </row>
    <row r="615" spans="1:8" x14ac:dyDescent="0.3">
      <c r="A615" s="3" t="str">
        <f>新!E614</f>
        <v>CRC32:32FA4CB2</v>
      </c>
      <c r="B615" s="3" t="str">
        <f>新!A614</f>
        <v>Animal Crossing\Cards\Welcome amiibo Series</v>
      </c>
      <c r="C615" s="3" t="str">
        <f>新!B614</f>
        <v>[AC] W49 - Ike.bin</v>
      </c>
      <c r="D615" s="2" t="str">
        <f>IFERROR(INDEX(旧!A:A,MATCH(测试!A615,旧!E:E,0)),0)</f>
        <v>Animal Crossing\Cards - Welcome amiibo Series</v>
      </c>
      <c r="E615" s="2" t="str">
        <f>IFERROR(INDEX(旧!B:B,MATCH(测试!A615,旧!E:E,0)),0)</f>
        <v>[AC] W49 - Ike.bin</v>
      </c>
      <c r="F615" s="9">
        <f>IFERROR(IF(B615=INDEX(转换!B:B,MATCH(D615,转换!A:A,0)),0,1),1)</f>
        <v>0</v>
      </c>
      <c r="G615" s="9">
        <f t="shared" si="18"/>
        <v>0</v>
      </c>
      <c r="H615" s="9" t="str">
        <f t="shared" si="19"/>
        <v>-</v>
      </c>
    </row>
    <row r="616" spans="1:8" x14ac:dyDescent="0.3">
      <c r="A616" s="3" t="str">
        <f>新!E615</f>
        <v>CRC32:2C1D5DA0</v>
      </c>
      <c r="B616" s="3" t="str">
        <f>新!A615</f>
        <v>Animal Crossing\Cards\Welcome amiibo Series</v>
      </c>
      <c r="C616" s="3" t="str">
        <f>新!B615</f>
        <v>[AC] W50 - Tasha.bin</v>
      </c>
      <c r="D616" s="2" t="str">
        <f>IFERROR(INDEX(旧!A:A,MATCH(测试!A616,旧!E:E,0)),0)</f>
        <v>Animal Crossing\Cards - Welcome amiibo Series</v>
      </c>
      <c r="E616" s="2" t="str">
        <f>IFERROR(INDEX(旧!B:B,MATCH(测试!A616,旧!E:E,0)),0)</f>
        <v>[AC] W50 - Tasha.bin</v>
      </c>
      <c r="F616" s="9">
        <f>IFERROR(IF(B616=INDEX(转换!B:B,MATCH(D616,转换!A:A,0)),0,1),1)</f>
        <v>0</v>
      </c>
      <c r="G616" s="9">
        <f t="shared" si="18"/>
        <v>0</v>
      </c>
      <c r="H616" s="9" t="str">
        <f t="shared" si="19"/>
        <v>-</v>
      </c>
    </row>
    <row r="617" spans="1:8" x14ac:dyDescent="0.3">
      <c r="A617" s="3" t="str">
        <f>新!E616</f>
        <v>CRC32:5AF11CBA</v>
      </c>
      <c r="B617" s="3" t="str">
        <f>新!A616</f>
        <v>Animal Crossing\Figures</v>
      </c>
      <c r="C617" s="3" t="str">
        <f>新!B616</f>
        <v>[AC] 01 - Isabelle (Winter Outfit).bin</v>
      </c>
      <c r="D617" s="2" t="str">
        <f>IFERROR(INDEX(旧!A:A,MATCH(测试!A617,旧!E:E,0)),0)</f>
        <v>Animal Crossing\Figures</v>
      </c>
      <c r="E617" s="2" t="str">
        <f>IFERROR(INDEX(旧!B:B,MATCH(测试!A617,旧!E:E,0)),0)</f>
        <v>[AC] 01 - Isabelle.bin</v>
      </c>
      <c r="F617" s="9">
        <f>IFERROR(IF(B617=INDEX(转换!B:B,MATCH(D617,转换!A:A,0)),0,1),1)</f>
        <v>0</v>
      </c>
      <c r="G617" s="9">
        <f t="shared" si="18"/>
        <v>1</v>
      </c>
      <c r="H617" s="9" t="str">
        <f t="shared" si="19"/>
        <v>文件名错误</v>
      </c>
    </row>
    <row r="618" spans="1:8" x14ac:dyDescent="0.3">
      <c r="A618" s="3" t="str">
        <f>新!E617</f>
        <v>CRC32:2EB5757D</v>
      </c>
      <c r="B618" s="3" t="str">
        <f>新!A617</f>
        <v>Animal Crossing\Figures</v>
      </c>
      <c r="C618" s="3" t="str">
        <f>新!B617</f>
        <v>[AC] 02 - K.K..bin</v>
      </c>
      <c r="D618" s="2" t="str">
        <f>IFERROR(INDEX(旧!A:A,MATCH(测试!A618,旧!E:E,0)),0)</f>
        <v>Animal Crossing\Figures</v>
      </c>
      <c r="E618" s="2" t="str">
        <f>IFERROR(INDEX(旧!B:B,MATCH(测试!A618,旧!E:E,0)),0)</f>
        <v>[AC] 02 - K.K. Slider.bin</v>
      </c>
      <c r="F618" s="9">
        <f>IFERROR(IF(B618=INDEX(转换!B:B,MATCH(D618,转换!A:A,0)),0,1),1)</f>
        <v>0</v>
      </c>
      <c r="G618" s="9">
        <f t="shared" si="18"/>
        <v>1</v>
      </c>
      <c r="H618" s="9" t="str">
        <f t="shared" si="19"/>
        <v>文件名错误</v>
      </c>
    </row>
    <row r="619" spans="1:8" x14ac:dyDescent="0.3">
      <c r="A619" s="3" t="str">
        <f>新!E618</f>
        <v>CRC32:3920A611</v>
      </c>
      <c r="B619" s="3" t="str">
        <f>新!A618</f>
        <v>Animal Crossing\Figures</v>
      </c>
      <c r="C619" s="3" t="str">
        <f>新!B618</f>
        <v>[AC] 03 - Lottie.bin</v>
      </c>
      <c r="D619" s="2" t="str">
        <f>IFERROR(INDEX(旧!A:A,MATCH(测试!A619,旧!E:E,0)),0)</f>
        <v>Animal Crossing\Figures</v>
      </c>
      <c r="E619" s="2" t="str">
        <f>IFERROR(INDEX(旧!B:B,MATCH(测试!A619,旧!E:E,0)),0)</f>
        <v>[AC] 03 - Lottie.bin</v>
      </c>
      <c r="F619" s="9">
        <f>IFERROR(IF(B619=INDEX(转换!B:B,MATCH(D619,转换!A:A,0)),0,1),1)</f>
        <v>0</v>
      </c>
      <c r="G619" s="9">
        <f t="shared" si="18"/>
        <v>0</v>
      </c>
      <c r="H619" s="9" t="str">
        <f t="shared" si="19"/>
        <v>-</v>
      </c>
    </row>
    <row r="620" spans="1:8" x14ac:dyDescent="0.3">
      <c r="A620" s="3" t="str">
        <f>新!E619</f>
        <v>CRC32:78E8387B</v>
      </c>
      <c r="B620" s="3" t="str">
        <f>新!A619</f>
        <v>Animal Crossing\Figures</v>
      </c>
      <c r="C620" s="3" t="str">
        <f>新!B619</f>
        <v>[AC] 04 - Reese.bin</v>
      </c>
      <c r="D620" s="2" t="str">
        <f>IFERROR(INDEX(旧!A:A,MATCH(测试!A620,旧!E:E,0)),0)</f>
        <v>Animal Crossing\Figures</v>
      </c>
      <c r="E620" s="2" t="str">
        <f>IFERROR(INDEX(旧!B:B,MATCH(测试!A620,旧!E:E,0)),0)</f>
        <v>[AC] 04 - Reese.bin</v>
      </c>
      <c r="F620" s="9">
        <f>IFERROR(IF(B620=INDEX(转换!B:B,MATCH(D620,转换!A:A,0)),0,1),1)</f>
        <v>0</v>
      </c>
      <c r="G620" s="9">
        <f t="shared" ref="G620:G683" si="20">IF(E620=C620,0,1)</f>
        <v>0</v>
      </c>
      <c r="H620" s="9" t="str">
        <f t="shared" si="19"/>
        <v>-</v>
      </c>
    </row>
    <row r="621" spans="1:8" x14ac:dyDescent="0.3">
      <c r="A621" s="3" t="str">
        <f>新!E620</f>
        <v>CRC32:58F2419E</v>
      </c>
      <c r="B621" s="3" t="str">
        <f>新!A620</f>
        <v>Animal Crossing\Figures</v>
      </c>
      <c r="C621" s="3" t="str">
        <f>新!B620</f>
        <v>[AC] 05 - Cyrus.bin</v>
      </c>
      <c r="D621" s="2" t="str">
        <f>IFERROR(INDEX(旧!A:A,MATCH(测试!A621,旧!E:E,0)),0)</f>
        <v>Animal Crossing\Figures</v>
      </c>
      <c r="E621" s="2" t="str">
        <f>IFERROR(INDEX(旧!B:B,MATCH(测试!A621,旧!E:E,0)),0)</f>
        <v>[AC] 05 - Cyrus.bin</v>
      </c>
      <c r="F621" s="9">
        <f>IFERROR(IF(B621=INDEX(转换!B:B,MATCH(D621,转换!A:A,0)),0,1),1)</f>
        <v>0</v>
      </c>
      <c r="G621" s="9">
        <f t="shared" si="20"/>
        <v>0</v>
      </c>
      <c r="H621" s="9" t="str">
        <f t="shared" si="19"/>
        <v>-</v>
      </c>
    </row>
    <row r="622" spans="1:8" x14ac:dyDescent="0.3">
      <c r="A622" s="3" t="str">
        <f>新!E621</f>
        <v>CRC32:B136CF6F</v>
      </c>
      <c r="B622" s="3" t="str">
        <f>新!A621</f>
        <v>Animal Crossing\Figures</v>
      </c>
      <c r="C622" s="3" t="str">
        <f>新!B621</f>
        <v>[AC] 06 - Tom Nook.bin</v>
      </c>
      <c r="D622" s="2" t="str">
        <f>IFERROR(INDEX(旧!A:A,MATCH(测试!A622,旧!E:E,0)),0)</f>
        <v>Animal Crossing\Figures</v>
      </c>
      <c r="E622" s="2" t="str">
        <f>IFERROR(INDEX(旧!B:B,MATCH(测试!A622,旧!E:E,0)),0)</f>
        <v>[AC] 06 - Tom Nook.bin</v>
      </c>
      <c r="F622" s="9">
        <f>IFERROR(IF(B622=INDEX(转换!B:B,MATCH(D622,转换!A:A,0)),0,1),1)</f>
        <v>0</v>
      </c>
      <c r="G622" s="9">
        <f t="shared" si="20"/>
        <v>0</v>
      </c>
      <c r="H622" s="9" t="str">
        <f t="shared" si="19"/>
        <v>-</v>
      </c>
    </row>
    <row r="623" spans="1:8" x14ac:dyDescent="0.3">
      <c r="A623" s="3" t="str">
        <f>新!E622</f>
        <v>CRC32:E07EDAA1</v>
      </c>
      <c r="B623" s="3" t="str">
        <f>新!A622</f>
        <v>Animal Crossing\Figures</v>
      </c>
      <c r="C623" s="3" t="str">
        <f>新!B622</f>
        <v>[AC] 07 - Mabel.bin</v>
      </c>
      <c r="D623" s="2" t="str">
        <f>IFERROR(INDEX(旧!A:A,MATCH(测试!A623,旧!E:E,0)),0)</f>
        <v>Animal Crossing\Figures</v>
      </c>
      <c r="E623" s="2" t="str">
        <f>IFERROR(INDEX(旧!B:B,MATCH(测试!A623,旧!E:E,0)),0)</f>
        <v>[AC] 07 - Mabel.bin</v>
      </c>
      <c r="F623" s="9">
        <f>IFERROR(IF(B623=INDEX(转换!B:B,MATCH(D623,转换!A:A,0)),0,1),1)</f>
        <v>0</v>
      </c>
      <c r="G623" s="9">
        <f t="shared" si="20"/>
        <v>0</v>
      </c>
      <c r="H623" s="9" t="str">
        <f t="shared" si="19"/>
        <v>-</v>
      </c>
    </row>
    <row r="624" spans="1:8" x14ac:dyDescent="0.3">
      <c r="A624" s="3" t="str">
        <f>新!E623</f>
        <v>CRC32:66CECD15</v>
      </c>
      <c r="B624" s="3" t="str">
        <f>新!A623</f>
        <v>Animal Crossing\Figures</v>
      </c>
      <c r="C624" s="3" t="str">
        <f>新!B623</f>
        <v>[AC] 08 - Digby.bin</v>
      </c>
      <c r="D624" s="2" t="str">
        <f>IFERROR(INDEX(旧!A:A,MATCH(测试!A624,旧!E:E,0)),0)</f>
        <v>Animal Crossing\Figures</v>
      </c>
      <c r="E624" s="2" t="str">
        <f>IFERROR(INDEX(旧!B:B,MATCH(测试!A624,旧!E:E,0)),0)</f>
        <v>[AC] 08 - Digby.bin</v>
      </c>
      <c r="F624" s="9">
        <f>IFERROR(IF(B624=INDEX(转换!B:B,MATCH(D624,转换!A:A,0)),0,1),1)</f>
        <v>0</v>
      </c>
      <c r="G624" s="9">
        <f t="shared" si="20"/>
        <v>0</v>
      </c>
      <c r="H624" s="9" t="str">
        <f t="shared" si="19"/>
        <v>-</v>
      </c>
    </row>
    <row r="625" spans="1:8" x14ac:dyDescent="0.3">
      <c r="A625" s="3" t="str">
        <f>新!E624</f>
        <v>CRC32:E0082CA9</v>
      </c>
      <c r="B625" s="3" t="str">
        <f>新!A624</f>
        <v>Animal Crossing\Figures</v>
      </c>
      <c r="C625" s="3" t="str">
        <f>新!B624</f>
        <v>[AC] 09 - Resetti.bin</v>
      </c>
      <c r="D625" s="2" t="str">
        <f>IFERROR(INDEX(旧!A:A,MATCH(测试!A625,旧!E:E,0)),0)</f>
        <v>Animal Crossing\Figures</v>
      </c>
      <c r="E625" s="2" t="str">
        <f>IFERROR(INDEX(旧!B:B,MATCH(测试!A625,旧!E:E,0)),0)</f>
        <v>[AC] 09 - Resetti.bin</v>
      </c>
      <c r="F625" s="9">
        <f>IFERROR(IF(B625=INDEX(转换!B:B,MATCH(D625,转换!A:A,0)),0,1),1)</f>
        <v>0</v>
      </c>
      <c r="G625" s="9">
        <f t="shared" si="20"/>
        <v>0</v>
      </c>
      <c r="H625" s="9" t="str">
        <f t="shared" si="19"/>
        <v>-</v>
      </c>
    </row>
    <row r="626" spans="1:8" x14ac:dyDescent="0.3">
      <c r="A626" s="3" t="str">
        <f>新!E625</f>
        <v>CRC32:B3868185</v>
      </c>
      <c r="B626" s="3" t="str">
        <f>新!A625</f>
        <v>Animal Crossing\Figures</v>
      </c>
      <c r="C626" s="3" t="str">
        <f>新!B625</f>
        <v>[AC] 10 - Blathers.bin</v>
      </c>
      <c r="D626" s="2" t="str">
        <f>IFERROR(INDEX(旧!A:A,MATCH(测试!A626,旧!E:E,0)),0)</f>
        <v>Animal Crossing\Figures</v>
      </c>
      <c r="E626" s="2" t="str">
        <f>IFERROR(INDEX(旧!B:B,MATCH(测试!A626,旧!E:E,0)),0)</f>
        <v>[AC] 10 - Blathers.bin</v>
      </c>
      <c r="F626" s="9">
        <f>IFERROR(IF(B626=INDEX(转换!B:B,MATCH(D626,转换!A:A,0)),0,1),1)</f>
        <v>0</v>
      </c>
      <c r="G626" s="9">
        <f t="shared" si="20"/>
        <v>0</v>
      </c>
      <c r="H626" s="9" t="str">
        <f t="shared" si="19"/>
        <v>-</v>
      </c>
    </row>
    <row r="627" spans="1:8" x14ac:dyDescent="0.3">
      <c r="A627" s="3" t="str">
        <f>新!E626</f>
        <v>CRC32:56A7E15D</v>
      </c>
      <c r="B627" s="3" t="str">
        <f>新!A626</f>
        <v>Animal Crossing\Figures</v>
      </c>
      <c r="C627" s="3" t="str">
        <f>新!B626</f>
        <v>[AC] 11 - Kicks.bin</v>
      </c>
      <c r="D627" s="2" t="str">
        <f>IFERROR(INDEX(旧!A:A,MATCH(测试!A627,旧!E:E,0)),0)</f>
        <v>Animal Crossing\Figures</v>
      </c>
      <c r="E627" s="2" t="str">
        <f>IFERROR(INDEX(旧!B:B,MATCH(测试!A627,旧!E:E,0)),0)</f>
        <v>[AC] 11 - Kicks.bin</v>
      </c>
      <c r="F627" s="9">
        <f>IFERROR(IF(B627=INDEX(转换!B:B,MATCH(D627,转换!A:A,0)),0,1),1)</f>
        <v>0</v>
      </c>
      <c r="G627" s="9">
        <f t="shared" si="20"/>
        <v>0</v>
      </c>
      <c r="H627" s="9" t="str">
        <f t="shared" si="19"/>
        <v>-</v>
      </c>
    </row>
    <row r="628" spans="1:8" x14ac:dyDescent="0.3">
      <c r="A628" s="3" t="str">
        <f>新!E627</f>
        <v>CRC32:5EB2F1B6</v>
      </c>
      <c r="B628" s="3" t="str">
        <f>新!A627</f>
        <v>Animal Crossing\Figures</v>
      </c>
      <c r="C628" s="3" t="str">
        <f>新!B627</f>
        <v>[AC] 12 - Celeste.bin</v>
      </c>
      <c r="D628" s="2" t="str">
        <f>IFERROR(INDEX(旧!A:A,MATCH(测试!A628,旧!E:E,0)),0)</f>
        <v>Animal Crossing\Figures</v>
      </c>
      <c r="E628" s="2" t="str">
        <f>IFERROR(INDEX(旧!B:B,MATCH(测试!A628,旧!E:E,0)),0)</f>
        <v>[AC] 12 - Celeste.bin</v>
      </c>
      <c r="F628" s="9">
        <f>IFERROR(IF(B628=INDEX(转换!B:B,MATCH(D628,转换!A:A,0)),0,1),1)</f>
        <v>0</v>
      </c>
      <c r="G628" s="9">
        <f t="shared" si="20"/>
        <v>0</v>
      </c>
      <c r="H628" s="9" t="str">
        <f t="shared" si="19"/>
        <v>-</v>
      </c>
    </row>
    <row r="629" spans="1:8" x14ac:dyDescent="0.3">
      <c r="A629" s="3" t="str">
        <f>新!E628</f>
        <v>CRC32:08C2EB4A</v>
      </c>
      <c r="B629" s="3" t="str">
        <f>新!A628</f>
        <v>Animal Crossing\Figures</v>
      </c>
      <c r="C629" s="3" t="str">
        <f>新!B628</f>
        <v>[AC] 13 - Timmy &amp; Tommy.bin</v>
      </c>
      <c r="D629" s="2" t="str">
        <f>IFERROR(INDEX(旧!A:A,MATCH(测试!A629,旧!E:E,0)),0)</f>
        <v>Animal Crossing\Figures</v>
      </c>
      <c r="E629" s="2" t="str">
        <f>IFERROR(INDEX(旧!B:B,MATCH(测试!A629,旧!E:E,0)),0)</f>
        <v>[AC] 13 - Timmy &amp; Tommy.bin</v>
      </c>
      <c r="F629" s="9">
        <f>IFERROR(IF(B629=INDEX(转换!B:B,MATCH(D629,转换!A:A,0)),0,1),1)</f>
        <v>0</v>
      </c>
      <c r="G629" s="9">
        <f t="shared" si="20"/>
        <v>0</v>
      </c>
      <c r="H629" s="9" t="str">
        <f t="shared" si="19"/>
        <v>-</v>
      </c>
    </row>
    <row r="630" spans="1:8" x14ac:dyDescent="0.3">
      <c r="A630" s="3" t="str">
        <f>新!E629</f>
        <v>CRC32:546945CE</v>
      </c>
      <c r="B630" s="3" t="str">
        <f>新!A629</f>
        <v>Animal Crossing\Figures</v>
      </c>
      <c r="C630" s="3" t="str">
        <f>新!B629</f>
        <v>[AC] 14 - Rover.bin</v>
      </c>
      <c r="D630" s="2" t="str">
        <f>IFERROR(INDEX(旧!A:A,MATCH(测试!A630,旧!E:E,0)),0)</f>
        <v>Animal Crossing\Figures</v>
      </c>
      <c r="E630" s="2" t="str">
        <f>IFERROR(INDEX(旧!B:B,MATCH(测试!A630,旧!E:E,0)),0)</f>
        <v>[AC] 14 - Rover.bin</v>
      </c>
      <c r="F630" s="9">
        <f>IFERROR(IF(B630=INDEX(转换!B:B,MATCH(D630,转换!A:A,0)),0,1),1)</f>
        <v>0</v>
      </c>
      <c r="G630" s="9">
        <f t="shared" si="20"/>
        <v>0</v>
      </c>
      <c r="H630" s="9" t="str">
        <f t="shared" si="19"/>
        <v>-</v>
      </c>
    </row>
    <row r="631" spans="1:8" x14ac:dyDescent="0.3">
      <c r="A631" s="3" t="str">
        <f>新!E630</f>
        <v>CRC32:0BA52436</v>
      </c>
      <c r="B631" s="3" t="str">
        <f>新!A630</f>
        <v>Animal Crossing\Figures</v>
      </c>
      <c r="C631" s="3" t="str">
        <f>新!B630</f>
        <v>[AC] 15 - Kapp'n.bin</v>
      </c>
      <c r="D631" s="2" t="str">
        <f>IFERROR(INDEX(旧!A:A,MATCH(测试!A631,旧!E:E,0)),0)</f>
        <v>Animal Crossing\Figures</v>
      </c>
      <c r="E631" s="2" t="str">
        <f>IFERROR(INDEX(旧!B:B,MATCH(测试!A631,旧!E:E,0)),0)</f>
        <v>[AC] 15 - Kapp'n.bin</v>
      </c>
      <c r="F631" s="9">
        <f>IFERROR(IF(B631=INDEX(转换!B:B,MATCH(D631,转换!A:A,0)),0,1),1)</f>
        <v>0</v>
      </c>
      <c r="G631" s="9">
        <f t="shared" si="20"/>
        <v>0</v>
      </c>
      <c r="H631" s="9" t="str">
        <f t="shared" si="19"/>
        <v>-</v>
      </c>
    </row>
    <row r="632" spans="1:8" x14ac:dyDescent="0.3">
      <c r="A632" s="3" t="str">
        <f>新!E631</f>
        <v>CRC32:FA654B77</v>
      </c>
      <c r="B632" s="3" t="str">
        <f>新!A631</f>
        <v>Animal Crossing\Figures</v>
      </c>
      <c r="C632" s="3" t="str">
        <f>新!B631</f>
        <v>[AC] 16 - Isabelle (Summer Outfit).bin</v>
      </c>
      <c r="D632" s="2" t="str">
        <f>IFERROR(INDEX(旧!A:A,MATCH(测试!A632,旧!E:E,0)),0)</f>
        <v>Animal Crossing\Figures</v>
      </c>
      <c r="E632" s="2" t="str">
        <f>IFERROR(INDEX(旧!B:B,MATCH(测试!A632,旧!E:E,0)),0)</f>
        <v>[AC] 16 - Isabelle (Summer Outfit).bin</v>
      </c>
      <c r="F632" s="9">
        <f>IFERROR(IF(B632=INDEX(转换!B:B,MATCH(D632,转换!A:A,0)),0,1),1)</f>
        <v>0</v>
      </c>
      <c r="G632" s="9">
        <f t="shared" si="20"/>
        <v>0</v>
      </c>
      <c r="H632" s="9" t="str">
        <f t="shared" si="19"/>
        <v>-</v>
      </c>
    </row>
    <row r="633" spans="1:8" x14ac:dyDescent="0.3">
      <c r="A633" s="3" t="str">
        <f>新!E632</f>
        <v>CRC32:49CB9E91</v>
      </c>
      <c r="B633" s="3" t="str">
        <f>新!A632</f>
        <v>BOXBOY!</v>
      </c>
      <c r="C633" s="3" t="str">
        <f>新!B632</f>
        <v>[BB] 01 - Qbby.bin</v>
      </c>
      <c r="D633" s="2" t="str">
        <f>IFERROR(INDEX(旧!A:A,MATCH(测试!A633,旧!E:E,0)),0)</f>
        <v>BoxBoy!</v>
      </c>
      <c r="E633" s="2" t="str">
        <f>IFERROR(INDEX(旧!B:B,MATCH(测试!A633,旧!E:E,0)),0)</f>
        <v>[BB] 01 - Qbby.bin</v>
      </c>
      <c r="F633" s="9">
        <f>IFERROR(IF(B633=INDEX(转换!B:B,MATCH(D633,转换!A:A,0)),0,1),1)</f>
        <v>0</v>
      </c>
      <c r="G633" s="9">
        <f t="shared" si="20"/>
        <v>0</v>
      </c>
      <c r="H633" s="9" t="str">
        <f t="shared" si="19"/>
        <v>-</v>
      </c>
    </row>
    <row r="634" spans="1:8" x14ac:dyDescent="0.3">
      <c r="A634" s="3" t="str">
        <f>新!E633</f>
        <v>CRC32:A4BD2BB2</v>
      </c>
      <c r="B634" s="3" t="str">
        <f>新!A633</f>
        <v>Chibi-Robo!</v>
      </c>
      <c r="C634" s="3" t="str">
        <f>新!B633</f>
        <v>[CR] 01 - Chibi-Robo.bin</v>
      </c>
      <c r="D634" s="2" t="str">
        <f>IFERROR(INDEX(旧!A:A,MATCH(测试!A634,旧!E:E,0)),0)</f>
        <v>Chibi-Robo</v>
      </c>
      <c r="E634" s="2" t="str">
        <f>IFERROR(INDEX(旧!B:B,MATCH(测试!A634,旧!E:E,0)),0)</f>
        <v>[CR] 01 - Chibi-Robo.bin</v>
      </c>
      <c r="F634" s="9">
        <f>IFERROR(IF(B634=INDEX(转换!B:B,MATCH(D634,转换!A:A,0)),0,1),1)</f>
        <v>1</v>
      </c>
      <c r="G634" s="9">
        <f t="shared" si="20"/>
        <v>0</v>
      </c>
      <c r="H634" s="9" t="str">
        <f t="shared" si="19"/>
        <v>文件名错误</v>
      </c>
    </row>
    <row r="635" spans="1:8" x14ac:dyDescent="0.3">
      <c r="A635" s="3" t="str">
        <f>新!E634</f>
        <v>CRC32:DB717DBE</v>
      </c>
      <c r="B635" s="3" t="str">
        <f>新!A634</f>
        <v>Dark Souls</v>
      </c>
      <c r="C635" s="3" t="str">
        <f>新!B634</f>
        <v>[DS] 01 - Solaire of Astora.bin</v>
      </c>
      <c r="D635" s="2" t="str">
        <f>IFERROR(INDEX(旧!A:A,MATCH(测试!A635,旧!E:E,0)),0)</f>
        <v>Dark Souls</v>
      </c>
      <c r="E635" s="2" t="str">
        <f>IFERROR(INDEX(旧!B:B,MATCH(测试!A635,旧!E:E,0)),0)</f>
        <v>[DS] 01 - Solaire of Astora.bin</v>
      </c>
      <c r="F635" s="9">
        <f>IFERROR(IF(B635=INDEX(转换!B:B,MATCH(D635,转换!A:A,0)),0,1),1)</f>
        <v>0</v>
      </c>
      <c r="G635" s="9">
        <f t="shared" si="20"/>
        <v>0</v>
      </c>
      <c r="H635" s="9" t="str">
        <f t="shared" si="19"/>
        <v>-</v>
      </c>
    </row>
    <row r="636" spans="1:8" x14ac:dyDescent="0.3">
      <c r="A636" s="3" t="str">
        <f>新!E635</f>
        <v>CRC32:7E561FE9</v>
      </c>
      <c r="B636" s="3" t="str">
        <f>新!A635</f>
        <v>Detective Pikachu</v>
      </c>
      <c r="C636" s="3" t="str">
        <f>新!B635</f>
        <v>[DEP] 01 - Detective Pikachu.bin</v>
      </c>
      <c r="D636" s="2" t="str">
        <f>IFERROR(INDEX(旧!A:A,MATCH(测试!A636,旧!E:E,0)),0)</f>
        <v>Detective Pikachu</v>
      </c>
      <c r="E636" s="2" t="str">
        <f>IFERROR(INDEX(旧!B:B,MATCH(测试!A636,旧!E:E,0)),0)</f>
        <v>[DEP] 01 - Detective Pikachu.bin</v>
      </c>
      <c r="F636" s="9">
        <f>IFERROR(IF(B636=INDEX(转换!B:B,MATCH(D636,转换!A:A,0)),0,1),1)</f>
        <v>0</v>
      </c>
      <c r="G636" s="9">
        <f t="shared" si="20"/>
        <v>0</v>
      </c>
      <c r="H636" s="9" t="str">
        <f t="shared" si="19"/>
        <v>-</v>
      </c>
    </row>
    <row r="637" spans="1:8" x14ac:dyDescent="0.3">
      <c r="A637" s="3" t="str">
        <f>新!E636</f>
        <v>CRC32:31897B9E</v>
      </c>
      <c r="B637" s="3" t="str">
        <f>新!A636</f>
        <v>Diablo</v>
      </c>
      <c r="C637" s="3" t="str">
        <f>新!B636</f>
        <v>[D] 01 - Loot Goblin.bin</v>
      </c>
      <c r="D637" s="2" t="str">
        <f>IFERROR(INDEX(旧!A:A,MATCH(测试!A637,旧!E:E,0)),0)</f>
        <v>Diablo</v>
      </c>
      <c r="E637" s="2" t="str">
        <f>IFERROR(INDEX(旧!B:B,MATCH(测试!A637,旧!E:E,0)),0)</f>
        <v>[D] 01 - Loot Goblin.bin</v>
      </c>
      <c r="F637" s="9">
        <f>IFERROR(IF(B637=INDEX(转换!B:B,MATCH(D637,转换!A:A,0)),0,1),1)</f>
        <v>0</v>
      </c>
      <c r="G637" s="9">
        <f t="shared" si="20"/>
        <v>0</v>
      </c>
      <c r="H637" s="9" t="str">
        <f t="shared" si="19"/>
        <v>-</v>
      </c>
    </row>
    <row r="638" spans="1:8" x14ac:dyDescent="0.3">
      <c r="A638" s="3" t="str">
        <f>新!E637</f>
        <v>CRC32:69852D0B</v>
      </c>
      <c r="B638" s="3" t="str">
        <f>新!A637</f>
        <v>Fire Emblem</v>
      </c>
      <c r="C638" s="3" t="str">
        <f>新!B637</f>
        <v>[FE] 01 - Alm.bin</v>
      </c>
      <c r="D638" s="2" t="str">
        <f>IFERROR(INDEX(旧!A:A,MATCH(测试!A638,旧!E:E,0)),0)</f>
        <v>Fire Emblem</v>
      </c>
      <c r="E638" s="2" t="str">
        <f>IFERROR(INDEX(旧!B:B,MATCH(测试!A638,旧!E:E,0)),0)</f>
        <v>[FE] 01 - Alm.bin</v>
      </c>
      <c r="F638" s="9">
        <f>IFERROR(IF(B638=INDEX(转换!B:B,MATCH(D638,转换!A:A,0)),0,1),1)</f>
        <v>0</v>
      </c>
      <c r="G638" s="9">
        <f t="shared" si="20"/>
        <v>0</v>
      </c>
      <c r="H638" s="9" t="str">
        <f t="shared" si="19"/>
        <v>-</v>
      </c>
    </row>
    <row r="639" spans="1:8" x14ac:dyDescent="0.3">
      <c r="A639" s="3" t="str">
        <f>新!E638</f>
        <v>CRC32:A2085DFA</v>
      </c>
      <c r="B639" s="3" t="str">
        <f>新!A638</f>
        <v>Fire Emblem</v>
      </c>
      <c r="C639" s="3" t="str">
        <f>新!B638</f>
        <v>[FE] 02 - Celica.bin</v>
      </c>
      <c r="D639" s="2" t="str">
        <f>IFERROR(INDEX(旧!A:A,MATCH(测试!A639,旧!E:E,0)),0)</f>
        <v>Fire Emblem</v>
      </c>
      <c r="E639" s="2" t="str">
        <f>IFERROR(INDEX(旧!B:B,MATCH(测试!A639,旧!E:E,0)),0)</f>
        <v>[FE] 02 - Celica.bin</v>
      </c>
      <c r="F639" s="9">
        <f>IFERROR(IF(B639=INDEX(转换!B:B,MATCH(D639,转换!A:A,0)),0,1),1)</f>
        <v>0</v>
      </c>
      <c r="G639" s="9">
        <f t="shared" si="20"/>
        <v>0</v>
      </c>
      <c r="H639" s="9" t="str">
        <f t="shared" si="19"/>
        <v>-</v>
      </c>
    </row>
    <row r="640" spans="1:8" x14ac:dyDescent="0.3">
      <c r="A640" s="3" t="str">
        <f>新!E639</f>
        <v>CRC32:CAB94AC3</v>
      </c>
      <c r="B640" s="3" t="str">
        <f>新!A639</f>
        <v>Fire Emblem</v>
      </c>
      <c r="C640" s="3" t="str">
        <f>新!B639</f>
        <v>[FE] 03 - Chrom.bin</v>
      </c>
      <c r="D640" s="2" t="str">
        <f>IFERROR(INDEX(旧!A:A,MATCH(测试!A640,旧!E:E,0)),0)</f>
        <v>Fire Emblem</v>
      </c>
      <c r="E640" s="2" t="str">
        <f>IFERROR(INDEX(旧!B:B,MATCH(测试!A640,旧!E:E,0)),0)</f>
        <v>[FE] 03 - Chrom.bin</v>
      </c>
      <c r="F640" s="9">
        <f>IFERROR(IF(B640=INDEX(转换!B:B,MATCH(D640,转换!A:A,0)),0,1),1)</f>
        <v>0</v>
      </c>
      <c r="G640" s="9">
        <f t="shared" si="20"/>
        <v>0</v>
      </c>
      <c r="H640" s="9" t="str">
        <f t="shared" si="19"/>
        <v>-</v>
      </c>
    </row>
    <row r="641" spans="1:8" x14ac:dyDescent="0.3">
      <c r="A641" s="3" t="str">
        <f>新!E640</f>
        <v>CRC32:0885316C</v>
      </c>
      <c r="B641" s="3" t="str">
        <f>新!A640</f>
        <v>Fire Emblem</v>
      </c>
      <c r="C641" s="3" t="str">
        <f>新!B640</f>
        <v>[FE] 04 - Tiki.bin</v>
      </c>
      <c r="D641" s="2" t="str">
        <f>IFERROR(INDEX(旧!A:A,MATCH(测试!A641,旧!E:E,0)),0)</f>
        <v>Fire Emblem</v>
      </c>
      <c r="E641" s="2" t="str">
        <f>IFERROR(INDEX(旧!B:B,MATCH(测试!A641,旧!E:E,0)),0)</f>
        <v>[FE] 04 - Tiki.bin</v>
      </c>
      <c r="F641" s="9">
        <f>IFERROR(IF(B641=INDEX(转换!B:B,MATCH(D641,转换!A:A,0)),0,1),1)</f>
        <v>0</v>
      </c>
      <c r="G641" s="9">
        <f t="shared" si="20"/>
        <v>0</v>
      </c>
      <c r="H641" s="9" t="str">
        <f t="shared" si="19"/>
        <v>-</v>
      </c>
    </row>
    <row r="642" spans="1:8" x14ac:dyDescent="0.3">
      <c r="A642" s="3" t="str">
        <f>新!E641</f>
        <v>CRC32:364E5729</v>
      </c>
      <c r="B642" s="3" t="str">
        <f>新!A641</f>
        <v>Jikkyou Powerful Pro Baseball</v>
      </c>
      <c r="C642" s="3" t="str">
        <f>新!B641</f>
        <v>[JPPB] 01 - Pawapuro.bin</v>
      </c>
      <c r="D642" s="2" t="str">
        <f>IFERROR(INDEX(旧!A:A,MATCH(测试!A642,旧!E:E,0)),0)</f>
        <v>Jikkyou Powerful Pro Baseball</v>
      </c>
      <c r="E642" s="2" t="str">
        <f>IFERROR(INDEX(旧!B:B,MATCH(测试!A642,旧!E:E,0)),0)</f>
        <v>[JPPB] 01 - Pawapuro.bin</v>
      </c>
      <c r="F642" s="9">
        <f>IFERROR(IF(B642=INDEX(转换!B:B,MATCH(D642,转换!A:A,0)),0,1),1)</f>
        <v>0</v>
      </c>
      <c r="G642" s="9">
        <f t="shared" si="20"/>
        <v>0</v>
      </c>
      <c r="H642" s="9" t="str">
        <f t="shared" si="19"/>
        <v>-</v>
      </c>
    </row>
    <row r="643" spans="1:8" x14ac:dyDescent="0.3">
      <c r="A643" s="3" t="str">
        <f>新!E642</f>
        <v>CRC32:C191D44D</v>
      </c>
      <c r="B643" s="3" t="str">
        <f>新!A642</f>
        <v>Jikkyou Powerful Pro Baseball</v>
      </c>
      <c r="C643" s="3" t="str">
        <f>新!B642</f>
        <v>[JPPB] 02 - Ikari.bin</v>
      </c>
      <c r="D643" s="2" t="str">
        <f>IFERROR(INDEX(旧!A:A,MATCH(测试!A643,旧!E:E,0)),0)</f>
        <v>Jikkyou Powerful Pro Baseball</v>
      </c>
      <c r="E643" s="2" t="str">
        <f>IFERROR(INDEX(旧!B:B,MATCH(测试!A643,旧!E:E,0)),0)</f>
        <v>[JPPB] 02 - Ikari.bin</v>
      </c>
      <c r="F643" s="9">
        <f>IFERROR(IF(B643=INDEX(转换!B:B,MATCH(D643,转换!A:A,0)),0,1),1)</f>
        <v>0</v>
      </c>
      <c r="G643" s="9">
        <f t="shared" si="20"/>
        <v>0</v>
      </c>
      <c r="H643" s="9" t="str">
        <f t="shared" si="19"/>
        <v>-</v>
      </c>
    </row>
    <row r="644" spans="1:8" x14ac:dyDescent="0.3">
      <c r="A644" s="3" t="str">
        <f>新!E643</f>
        <v>CRC32:1D5BFDDE</v>
      </c>
      <c r="B644" s="3" t="str">
        <f>新!A643</f>
        <v>Jikkyou Powerful Pro Baseball</v>
      </c>
      <c r="C644" s="3" t="str">
        <f>新!B643</f>
        <v>[JPPB] 03 - Yabe.bin</v>
      </c>
      <c r="D644" s="2" t="str">
        <f>IFERROR(INDEX(旧!A:A,MATCH(测试!A644,旧!E:E,0)),0)</f>
        <v>Jikkyou Powerful Pro Baseball</v>
      </c>
      <c r="E644" s="2" t="str">
        <f>IFERROR(INDEX(旧!B:B,MATCH(测试!A644,旧!E:E,0)),0)</f>
        <v>[JPPB] 06 - Daijobu.bin</v>
      </c>
      <c r="F644" s="9">
        <f>IFERROR(IF(B644=INDEX(转换!B:B,MATCH(D644,转换!A:A,0)),0,1),1)</f>
        <v>0</v>
      </c>
      <c r="G644" s="9">
        <f t="shared" si="20"/>
        <v>1</v>
      </c>
      <c r="H644" s="9" t="str">
        <f t="shared" ref="H644:H707" si="21">_xlfn.IFS(F644+G644=0,"-",F644+G644=1,"文件名错误",F644+G644=2,"无此文件")</f>
        <v>文件名错误</v>
      </c>
    </row>
    <row r="645" spans="1:8" x14ac:dyDescent="0.3">
      <c r="A645" s="3" t="str">
        <f>新!E644</f>
        <v>CRC32:0B832EB3</v>
      </c>
      <c r="B645" s="3" t="str">
        <f>新!A644</f>
        <v>Jikkyou Powerful Pro Baseball</v>
      </c>
      <c r="C645" s="3" t="str">
        <f>新!B644</f>
        <v>[JPPB] 04 - Hayakawa.bin</v>
      </c>
      <c r="D645" s="2" t="str">
        <f>IFERROR(INDEX(旧!A:A,MATCH(测试!A645,旧!E:E,0)),0)</f>
        <v>Jikkyou Powerful Pro Baseball</v>
      </c>
      <c r="E645" s="2" t="str">
        <f>IFERROR(INDEX(旧!B:B,MATCH(测试!A645,旧!E:E,0)),0)</f>
        <v>[JPPB] 04 - Hayakawa.bin</v>
      </c>
      <c r="F645" s="9">
        <f>IFERROR(IF(B645=INDEX(转换!B:B,MATCH(D645,转换!A:A,0)),0,1),1)</f>
        <v>0</v>
      </c>
      <c r="G645" s="9">
        <f t="shared" si="20"/>
        <v>0</v>
      </c>
      <c r="H645" s="9" t="str">
        <f t="shared" si="21"/>
        <v>-</v>
      </c>
    </row>
    <row r="646" spans="1:8" x14ac:dyDescent="0.3">
      <c r="A646" s="3" t="str">
        <f>新!E645</f>
        <v>CRC32:5430E840</v>
      </c>
      <c r="B646" s="3" t="str">
        <f>新!A645</f>
        <v>Jikkyou Powerful Pro Baseball</v>
      </c>
      <c r="C646" s="3" t="str">
        <f>新!B645</f>
        <v>[JPPB] 05 - Ganda.bin</v>
      </c>
      <c r="D646" s="2" t="str">
        <f>IFERROR(INDEX(旧!A:A,MATCH(测试!A646,旧!E:E,0)),0)</f>
        <v>Jikkyou Powerful Pro Baseball</v>
      </c>
      <c r="E646" s="2" t="str">
        <f>IFERROR(INDEX(旧!B:B,MATCH(测试!A646,旧!E:E,0)),0)</f>
        <v>[JPPB] 03 - Yabe.bin</v>
      </c>
      <c r="F646" s="9">
        <f>IFERROR(IF(B646=INDEX(转换!B:B,MATCH(D646,转换!A:A,0)),0,1),1)</f>
        <v>0</v>
      </c>
      <c r="G646" s="9">
        <f t="shared" si="20"/>
        <v>1</v>
      </c>
      <c r="H646" s="9" t="str">
        <f t="shared" si="21"/>
        <v>文件名错误</v>
      </c>
    </row>
    <row r="647" spans="1:8" x14ac:dyDescent="0.3">
      <c r="A647" s="3" t="str">
        <f>新!E646</f>
        <v>CRC32:66D0BEF6</v>
      </c>
      <c r="B647" s="3" t="str">
        <f>新!A646</f>
        <v>Jikkyou Powerful Pro Baseball</v>
      </c>
      <c r="C647" s="3" t="str">
        <f>新!B646</f>
        <v>[JPPB] 06 - Daijobu.bin</v>
      </c>
      <c r="D647" s="2" t="str">
        <f>IFERROR(INDEX(旧!A:A,MATCH(测试!A647,旧!E:E,0)),0)</f>
        <v>Jikkyou Powerful Pro Baseball</v>
      </c>
      <c r="E647" s="2" t="str">
        <f>IFERROR(INDEX(旧!B:B,MATCH(测试!A647,旧!E:E,0)),0)</f>
        <v>[JPPB] 05 - Ganda.bin</v>
      </c>
      <c r="F647" s="9">
        <f>IFERROR(IF(B647=INDEX(转换!B:B,MATCH(D647,转换!A:A,0)),0,1),1)</f>
        <v>0</v>
      </c>
      <c r="G647" s="9">
        <f t="shared" si="20"/>
        <v>1</v>
      </c>
      <c r="H647" s="9" t="str">
        <f t="shared" si="21"/>
        <v>文件名错误</v>
      </c>
    </row>
    <row r="648" spans="1:8" x14ac:dyDescent="0.3">
      <c r="A648" s="3" t="str">
        <f>新!E647</f>
        <v>CRC32:40762971</v>
      </c>
      <c r="B648" s="3" t="str">
        <f>新!A647</f>
        <v>Kirby</v>
      </c>
      <c r="C648" s="3" t="str">
        <f>新!B647</f>
        <v>[KAR] 01 - Kirby &amp; Warp Star.bin</v>
      </c>
      <c r="D648" s="2">
        <f>IFERROR(INDEX(旧!A:A,MATCH(测试!A648,旧!E:E,0)),0)</f>
        <v>0</v>
      </c>
      <c r="E648" s="2">
        <f>IFERROR(INDEX(旧!B:B,MATCH(测试!A648,旧!E:E,0)),0)</f>
        <v>0</v>
      </c>
      <c r="F648" s="9">
        <f>IFERROR(IF(B648=INDEX(转换!B:B,MATCH(D648,转换!A:A,0)),0,1),1)</f>
        <v>1</v>
      </c>
      <c r="G648" s="9">
        <f t="shared" si="20"/>
        <v>1</v>
      </c>
      <c r="H648" s="9" t="str">
        <f t="shared" si="21"/>
        <v>无此文件</v>
      </c>
    </row>
    <row r="649" spans="1:8" x14ac:dyDescent="0.3">
      <c r="A649" s="3" t="str">
        <f>新!E648</f>
        <v>CRC32:EC89F407</v>
      </c>
      <c r="B649" s="3" t="str">
        <f>新!A648</f>
        <v>Kirby</v>
      </c>
      <c r="C649" s="3" t="str">
        <f>新!B648</f>
        <v>[KAR] 02 - Bandana Waddle Dee &amp; Winged Star.bin</v>
      </c>
      <c r="D649" s="2">
        <f>IFERROR(INDEX(旧!A:A,MATCH(测试!A649,旧!E:E,0)),0)</f>
        <v>0</v>
      </c>
      <c r="E649" s="2">
        <f>IFERROR(INDEX(旧!B:B,MATCH(测试!A649,旧!E:E,0)),0)</f>
        <v>0</v>
      </c>
      <c r="F649" s="9">
        <f>IFERROR(IF(B649=INDEX(转换!B:B,MATCH(D649,转换!A:A,0)),0,1),1)</f>
        <v>1</v>
      </c>
      <c r="G649" s="9">
        <f t="shared" si="20"/>
        <v>1</v>
      </c>
      <c r="H649" s="9" t="str">
        <f t="shared" si="21"/>
        <v>无此文件</v>
      </c>
    </row>
    <row r="650" spans="1:8" x14ac:dyDescent="0.3">
      <c r="A650" s="3" t="str">
        <f>新!E649</f>
        <v>CRC32:F8A832FC</v>
      </c>
      <c r="B650" s="3" t="str">
        <f>新!A649</f>
        <v>Kirby</v>
      </c>
      <c r="C650" s="3" t="str">
        <f>新!B649</f>
        <v>[KIR] 01 - Kirby.bin</v>
      </c>
      <c r="D650" s="2" t="str">
        <f>IFERROR(INDEX(旧!A:A,MATCH(测试!A650,旧!E:E,0)),0)</f>
        <v>Kirby</v>
      </c>
      <c r="E650" s="2" t="str">
        <f>IFERROR(INDEX(旧!B:B,MATCH(测试!A650,旧!E:E,0)),0)</f>
        <v>[Kirby] 01 - Kirby.bin</v>
      </c>
      <c r="F650" s="9">
        <f>IFERROR(IF(B650=INDEX(转换!B:B,MATCH(D650,转换!A:A,0)),0,1),1)</f>
        <v>0</v>
      </c>
      <c r="G650" s="9">
        <f t="shared" si="20"/>
        <v>1</v>
      </c>
      <c r="H650" s="9" t="str">
        <f t="shared" si="21"/>
        <v>文件名错误</v>
      </c>
    </row>
    <row r="651" spans="1:8" x14ac:dyDescent="0.3">
      <c r="A651" s="3" t="str">
        <f>新!E650</f>
        <v>CRC32:2A4DAA8A</v>
      </c>
      <c r="B651" s="3" t="str">
        <f>新!A650</f>
        <v>Kirby</v>
      </c>
      <c r="C651" s="3" t="str">
        <f>新!B650</f>
        <v>[KIR] 02 - Meta Knight.bin</v>
      </c>
      <c r="D651" s="2" t="str">
        <f>IFERROR(INDEX(旧!A:A,MATCH(测试!A651,旧!E:E,0)),0)</f>
        <v>Kirby</v>
      </c>
      <c r="E651" s="2" t="str">
        <f>IFERROR(INDEX(旧!B:B,MATCH(测试!A651,旧!E:E,0)),0)</f>
        <v>[Kirby] 02 - Meta Knight.bin</v>
      </c>
      <c r="F651" s="9">
        <f>IFERROR(IF(B651=INDEX(转换!B:B,MATCH(D651,转换!A:A,0)),0,1),1)</f>
        <v>0</v>
      </c>
      <c r="G651" s="9">
        <f t="shared" si="20"/>
        <v>1</v>
      </c>
      <c r="H651" s="9" t="str">
        <f t="shared" si="21"/>
        <v>文件名错误</v>
      </c>
    </row>
    <row r="652" spans="1:8" x14ac:dyDescent="0.3">
      <c r="A652" s="3" t="str">
        <f>新!E651</f>
        <v>CRC32:E53F3A5D</v>
      </c>
      <c r="B652" s="3" t="str">
        <f>新!A651</f>
        <v>Kirby</v>
      </c>
      <c r="C652" s="3" t="str">
        <f>新!B651</f>
        <v>[KIR] 03 - King Dedede.bin</v>
      </c>
      <c r="D652" s="2" t="str">
        <f>IFERROR(INDEX(旧!A:A,MATCH(测试!A652,旧!E:E,0)),0)</f>
        <v>Kirby</v>
      </c>
      <c r="E652" s="2" t="str">
        <f>IFERROR(INDEX(旧!B:B,MATCH(测试!A652,旧!E:E,0)),0)</f>
        <v>[Kirby] 03 - King Dedede.bin</v>
      </c>
      <c r="F652" s="9">
        <f>IFERROR(IF(B652=INDEX(转换!B:B,MATCH(D652,转换!A:A,0)),0,1),1)</f>
        <v>0</v>
      </c>
      <c r="G652" s="9">
        <f t="shared" si="20"/>
        <v>1</v>
      </c>
      <c r="H652" s="9" t="str">
        <f t="shared" si="21"/>
        <v>文件名错误</v>
      </c>
    </row>
    <row r="653" spans="1:8" x14ac:dyDescent="0.3">
      <c r="A653" s="3" t="str">
        <f>新!E652</f>
        <v>CRC32:BE6DE49A</v>
      </c>
      <c r="B653" s="3" t="str">
        <f>新!A652</f>
        <v>Kirby</v>
      </c>
      <c r="C653" s="3" t="str">
        <f>新!B652</f>
        <v>[KIR] 04 - Waddle Dee.bin</v>
      </c>
      <c r="D653" s="2" t="str">
        <f>IFERROR(INDEX(旧!A:A,MATCH(测试!A653,旧!E:E,0)),0)</f>
        <v>Kirby</v>
      </c>
      <c r="E653" s="2" t="str">
        <f>IFERROR(INDEX(旧!B:B,MATCH(测试!A653,旧!E:E,0)),0)</f>
        <v>[Kirby] 04 - Waddle Dee.bin</v>
      </c>
      <c r="F653" s="9">
        <f>IFERROR(IF(B653=INDEX(转换!B:B,MATCH(D653,转换!A:A,0)),0,1),1)</f>
        <v>0</v>
      </c>
      <c r="G653" s="9">
        <f t="shared" si="20"/>
        <v>1</v>
      </c>
      <c r="H653" s="9" t="str">
        <f t="shared" si="21"/>
        <v>文件名错误</v>
      </c>
    </row>
    <row r="654" spans="1:8" x14ac:dyDescent="0.3">
      <c r="A654" s="3" t="str">
        <f>新!E653</f>
        <v>CRC32:966579F7</v>
      </c>
      <c r="B654" s="3" t="str">
        <f>新!A653</f>
        <v>Mario\Donkey Kong Bananza</v>
      </c>
      <c r="C654" s="3" t="str">
        <f>新!B653</f>
        <v>[DK] 01 - Donkey Kong and Pauline.bin</v>
      </c>
      <c r="D654" s="2">
        <f>IFERROR(INDEX(旧!A:A,MATCH(测试!A654,旧!E:E,0)),0)</f>
        <v>0</v>
      </c>
      <c r="E654" s="2">
        <f>IFERROR(INDEX(旧!B:B,MATCH(测试!A654,旧!E:E,0)),0)</f>
        <v>0</v>
      </c>
      <c r="F654" s="9">
        <f>IFERROR(IF(B654=INDEX(转换!B:B,MATCH(D654,转换!A:A,0)),0,1),1)</f>
        <v>1</v>
      </c>
      <c r="G654" s="9">
        <f t="shared" si="20"/>
        <v>1</v>
      </c>
      <c r="H654" s="9" t="str">
        <f t="shared" si="21"/>
        <v>无此文件</v>
      </c>
    </row>
    <row r="655" spans="1:8" x14ac:dyDescent="0.3">
      <c r="A655" s="3" t="str">
        <f>新!E654</f>
        <v>CRC32:C507DC41</v>
      </c>
      <c r="B655" s="3" t="str">
        <f>新!A654</f>
        <v>Mario\Mario Sports Superstars</v>
      </c>
      <c r="C655" s="3" t="str">
        <f>新!B654</f>
        <v>[MSS] 01 - Mario (Soccer).bin</v>
      </c>
      <c r="D655" s="2" t="str">
        <f>IFERROR(INDEX(旧!A:A,MATCH(测试!A655,旧!E:E,0)),0)</f>
        <v>Mario\Mario Sports Superstars</v>
      </c>
      <c r="E655" s="2" t="str">
        <f>IFERROR(INDEX(旧!B:B,MATCH(测试!A655,旧!E:E,0)),0)</f>
        <v>[MSS] 01 - Mario (Soccer).bin</v>
      </c>
      <c r="F655" s="9">
        <f>IFERROR(IF(B655=INDEX(转换!B:B,MATCH(D655,转换!A:A,0)),0,1),1)</f>
        <v>0</v>
      </c>
      <c r="G655" s="9">
        <f t="shared" si="20"/>
        <v>0</v>
      </c>
      <c r="H655" s="9" t="str">
        <f t="shared" si="21"/>
        <v>-</v>
      </c>
    </row>
    <row r="656" spans="1:8" x14ac:dyDescent="0.3">
      <c r="A656" s="3" t="str">
        <f>新!E655</f>
        <v>CRC32:15F33646</v>
      </c>
      <c r="B656" s="3" t="str">
        <f>新!A655</f>
        <v>Mario\Mario Sports Superstars</v>
      </c>
      <c r="C656" s="3" t="str">
        <f>新!B655</f>
        <v>[MSS] 02 - Mario (Baseball).bin</v>
      </c>
      <c r="D656" s="2" t="str">
        <f>IFERROR(INDEX(旧!A:A,MATCH(测试!A656,旧!E:E,0)),0)</f>
        <v>Mario\Mario Sports Superstars</v>
      </c>
      <c r="E656" s="2" t="str">
        <f>IFERROR(INDEX(旧!B:B,MATCH(测试!A656,旧!E:E,0)),0)</f>
        <v>[MSS] 02 - Mario (Baseball).bin</v>
      </c>
      <c r="F656" s="9">
        <f>IFERROR(IF(B656=INDEX(转换!B:B,MATCH(D656,转换!A:A,0)),0,1),1)</f>
        <v>0</v>
      </c>
      <c r="G656" s="9">
        <f t="shared" si="20"/>
        <v>0</v>
      </c>
      <c r="H656" s="9" t="str">
        <f t="shared" si="21"/>
        <v>-</v>
      </c>
    </row>
    <row r="657" spans="1:8" x14ac:dyDescent="0.3">
      <c r="A657" s="3" t="str">
        <f>新!E656</f>
        <v>CRC32:27F158F7</v>
      </c>
      <c r="B657" s="3" t="str">
        <f>新!A656</f>
        <v>Mario\Mario Sports Superstars</v>
      </c>
      <c r="C657" s="3" t="str">
        <f>新!B656</f>
        <v>[MSS] 03 - Mario (Tennis).bin</v>
      </c>
      <c r="D657" s="2" t="str">
        <f>IFERROR(INDEX(旧!A:A,MATCH(测试!A657,旧!E:E,0)),0)</f>
        <v>Mario\Mario Sports Superstars</v>
      </c>
      <c r="E657" s="2" t="str">
        <f>IFERROR(INDEX(旧!B:B,MATCH(测试!A657,旧!E:E,0)),0)</f>
        <v>[MSS] 03 - Mario (Tennis).bin</v>
      </c>
      <c r="F657" s="9">
        <f>IFERROR(IF(B657=INDEX(转换!B:B,MATCH(D657,转换!A:A,0)),0,1),1)</f>
        <v>0</v>
      </c>
      <c r="G657" s="9">
        <f t="shared" si="20"/>
        <v>0</v>
      </c>
      <c r="H657" s="9" t="str">
        <f t="shared" si="21"/>
        <v>-</v>
      </c>
    </row>
    <row r="658" spans="1:8" x14ac:dyDescent="0.3">
      <c r="A658" s="3" t="str">
        <f>新!E657</f>
        <v>CRC32:470E0943</v>
      </c>
      <c r="B658" s="3" t="str">
        <f>新!A657</f>
        <v>Mario\Mario Sports Superstars</v>
      </c>
      <c r="C658" s="3" t="str">
        <f>新!B657</f>
        <v>[MSS] 04 - Mario (Golf).bin</v>
      </c>
      <c r="D658" s="2" t="str">
        <f>IFERROR(INDEX(旧!A:A,MATCH(测试!A658,旧!E:E,0)),0)</f>
        <v>Mario\Mario Sports Superstars</v>
      </c>
      <c r="E658" s="2" t="str">
        <f>IFERROR(INDEX(旧!B:B,MATCH(测试!A658,旧!E:E,0)),0)</f>
        <v>[MSS] 04 - Mario (Golf).bin</v>
      </c>
      <c r="F658" s="9">
        <f>IFERROR(IF(B658=INDEX(转换!B:B,MATCH(D658,转换!A:A,0)),0,1),1)</f>
        <v>0</v>
      </c>
      <c r="G658" s="9">
        <f t="shared" si="20"/>
        <v>0</v>
      </c>
      <c r="H658" s="9" t="str">
        <f t="shared" si="21"/>
        <v>-</v>
      </c>
    </row>
    <row r="659" spans="1:8" x14ac:dyDescent="0.3">
      <c r="A659" s="3" t="str">
        <f>新!E658</f>
        <v>CRC32:02FE3E97</v>
      </c>
      <c r="B659" s="3" t="str">
        <f>新!A658</f>
        <v>Mario\Mario Sports Superstars</v>
      </c>
      <c r="C659" s="3" t="str">
        <f>新!B658</f>
        <v>[MSS] 05 - Mario (Horse Racing).bin</v>
      </c>
      <c r="D659" s="2" t="str">
        <f>IFERROR(INDEX(旧!A:A,MATCH(测试!A659,旧!E:E,0)),0)</f>
        <v>Mario\Mario Sports Superstars</v>
      </c>
      <c r="E659" s="2" t="str">
        <f>IFERROR(INDEX(旧!B:B,MATCH(测试!A659,旧!E:E,0)),0)</f>
        <v>[MSS] 05 - Mario (Horse Racing).bin</v>
      </c>
      <c r="F659" s="9">
        <f>IFERROR(IF(B659=INDEX(转换!B:B,MATCH(D659,转换!A:A,0)),0,1),1)</f>
        <v>0</v>
      </c>
      <c r="G659" s="9">
        <f t="shared" si="20"/>
        <v>0</v>
      </c>
      <c r="H659" s="9" t="str">
        <f t="shared" si="21"/>
        <v>-</v>
      </c>
    </row>
    <row r="660" spans="1:8" x14ac:dyDescent="0.3">
      <c r="A660" s="3" t="str">
        <f>新!E659</f>
        <v>CRC32:F4541052</v>
      </c>
      <c r="B660" s="3" t="str">
        <f>新!A659</f>
        <v>Mario\Mario Sports Superstars</v>
      </c>
      <c r="C660" s="3" t="str">
        <f>新!B659</f>
        <v>[MSS] 06 - Luigi (Soccer).bin</v>
      </c>
      <c r="D660" s="2" t="str">
        <f>IFERROR(INDEX(旧!A:A,MATCH(测试!A660,旧!E:E,0)),0)</f>
        <v>Mario\Mario Sports Superstars</v>
      </c>
      <c r="E660" s="2" t="str">
        <f>IFERROR(INDEX(旧!B:B,MATCH(测试!A660,旧!E:E,0)),0)</f>
        <v>[MSS] 06 - Luigi (Soccer).bin</v>
      </c>
      <c r="F660" s="9">
        <f>IFERROR(IF(B660=INDEX(转换!B:B,MATCH(D660,转换!A:A,0)),0,1),1)</f>
        <v>0</v>
      </c>
      <c r="G660" s="9">
        <f t="shared" si="20"/>
        <v>0</v>
      </c>
      <c r="H660" s="9" t="str">
        <f t="shared" si="21"/>
        <v>-</v>
      </c>
    </row>
    <row r="661" spans="1:8" x14ac:dyDescent="0.3">
      <c r="A661" s="3" t="str">
        <f>新!E660</f>
        <v>CRC32:74333C6C</v>
      </c>
      <c r="B661" s="3" t="str">
        <f>新!A660</f>
        <v>Mario\Mario Sports Superstars</v>
      </c>
      <c r="C661" s="3" t="str">
        <f>新!B660</f>
        <v>[MSS] 07 - Luigi (Baseball).bin</v>
      </c>
      <c r="D661" s="2" t="str">
        <f>IFERROR(INDEX(旧!A:A,MATCH(测试!A661,旧!E:E,0)),0)</f>
        <v>Mario\Mario Sports Superstars</v>
      </c>
      <c r="E661" s="2" t="str">
        <f>IFERROR(INDEX(旧!B:B,MATCH(测试!A661,旧!E:E,0)),0)</f>
        <v>[MSS] 07 - Luigi (Baseball).bin</v>
      </c>
      <c r="F661" s="9">
        <f>IFERROR(IF(B661=INDEX(转换!B:B,MATCH(D661,转换!A:A,0)),0,1),1)</f>
        <v>0</v>
      </c>
      <c r="G661" s="9">
        <f t="shared" si="20"/>
        <v>0</v>
      </c>
      <c r="H661" s="9" t="str">
        <f t="shared" si="21"/>
        <v>-</v>
      </c>
    </row>
    <row r="662" spans="1:8" x14ac:dyDescent="0.3">
      <c r="A662" s="3" t="str">
        <f>新!E661</f>
        <v>CRC32:23112B19</v>
      </c>
      <c r="B662" s="3" t="str">
        <f>新!A661</f>
        <v>Mario\Mario Sports Superstars</v>
      </c>
      <c r="C662" s="3" t="str">
        <f>新!B661</f>
        <v>[MSS] 08 - Luigi (Tennis).bin</v>
      </c>
      <c r="D662" s="2" t="str">
        <f>IFERROR(INDEX(旧!A:A,MATCH(测试!A662,旧!E:E,0)),0)</f>
        <v>Mario\Mario Sports Superstars</v>
      </c>
      <c r="E662" s="2" t="str">
        <f>IFERROR(INDEX(旧!B:B,MATCH(测试!A662,旧!E:E,0)),0)</f>
        <v>[MSS] 08 - Luigi (Tennis).bin</v>
      </c>
      <c r="F662" s="9">
        <f>IFERROR(IF(B662=INDEX(转换!B:B,MATCH(D662,转换!A:A,0)),0,1),1)</f>
        <v>0</v>
      </c>
      <c r="G662" s="9">
        <f t="shared" si="20"/>
        <v>0</v>
      </c>
      <c r="H662" s="9" t="str">
        <f t="shared" si="21"/>
        <v>-</v>
      </c>
    </row>
    <row r="663" spans="1:8" x14ac:dyDescent="0.3">
      <c r="A663" s="3" t="str">
        <f>新!E662</f>
        <v>CRC32:6316E0CE</v>
      </c>
      <c r="B663" s="3" t="str">
        <f>新!A662</f>
        <v>Mario\Mario Sports Superstars</v>
      </c>
      <c r="C663" s="3" t="str">
        <f>新!B662</f>
        <v>[MSS] 09 - Luigi (Golf).bin</v>
      </c>
      <c r="D663" s="2" t="str">
        <f>IFERROR(INDEX(旧!A:A,MATCH(测试!A663,旧!E:E,0)),0)</f>
        <v>Mario\Mario Sports Superstars</v>
      </c>
      <c r="E663" s="2" t="str">
        <f>IFERROR(INDEX(旧!B:B,MATCH(测试!A663,旧!E:E,0)),0)</f>
        <v>[MSS] 09 - Luigi (Golf).bin</v>
      </c>
      <c r="F663" s="9">
        <f>IFERROR(IF(B663=INDEX(转换!B:B,MATCH(D663,转换!A:A,0)),0,1),1)</f>
        <v>0</v>
      </c>
      <c r="G663" s="9">
        <f t="shared" si="20"/>
        <v>0</v>
      </c>
      <c r="H663" s="9" t="str">
        <f t="shared" si="21"/>
        <v>-</v>
      </c>
    </row>
    <row r="664" spans="1:8" x14ac:dyDescent="0.3">
      <c r="A664" s="3" t="str">
        <f>新!E663</f>
        <v>CRC32:0B350D20</v>
      </c>
      <c r="B664" s="3" t="str">
        <f>新!A663</f>
        <v>Mario\Mario Sports Superstars</v>
      </c>
      <c r="C664" s="3" t="str">
        <f>新!B663</f>
        <v>[MSS] 10 - Luigi (Horse Racing).bin</v>
      </c>
      <c r="D664" s="2" t="str">
        <f>IFERROR(INDEX(旧!A:A,MATCH(测试!A664,旧!E:E,0)),0)</f>
        <v>Mario\Mario Sports Superstars</v>
      </c>
      <c r="E664" s="2" t="str">
        <f>IFERROR(INDEX(旧!B:B,MATCH(测试!A664,旧!E:E,0)),0)</f>
        <v>[MSS] 10 - Luigi (Horse Racing).bin</v>
      </c>
      <c r="F664" s="9">
        <f>IFERROR(IF(B664=INDEX(转换!B:B,MATCH(D664,转换!A:A,0)),0,1),1)</f>
        <v>0</v>
      </c>
      <c r="G664" s="9">
        <f t="shared" si="20"/>
        <v>0</v>
      </c>
      <c r="H664" s="9" t="str">
        <f t="shared" si="21"/>
        <v>-</v>
      </c>
    </row>
    <row r="665" spans="1:8" x14ac:dyDescent="0.3">
      <c r="A665" s="3" t="str">
        <f>新!E664</f>
        <v>CRC32:BB67C2D7</v>
      </c>
      <c r="B665" s="3" t="str">
        <f>新!A664</f>
        <v>Mario\Mario Sports Superstars</v>
      </c>
      <c r="C665" s="3" t="str">
        <f>新!B664</f>
        <v>[MSS] 11 - Peach (Soccer).bin</v>
      </c>
      <c r="D665" s="2" t="str">
        <f>IFERROR(INDEX(旧!A:A,MATCH(测试!A665,旧!E:E,0)),0)</f>
        <v>Mario\Mario Sports Superstars</v>
      </c>
      <c r="E665" s="2" t="str">
        <f>IFERROR(INDEX(旧!B:B,MATCH(测试!A665,旧!E:E,0)),0)</f>
        <v>[MSS] 11 - Peach (Soccer).bin</v>
      </c>
      <c r="F665" s="9">
        <f>IFERROR(IF(B665=INDEX(转换!B:B,MATCH(D665,转换!A:A,0)),0,1),1)</f>
        <v>0</v>
      </c>
      <c r="G665" s="9">
        <f t="shared" si="20"/>
        <v>0</v>
      </c>
      <c r="H665" s="9" t="str">
        <f t="shared" si="21"/>
        <v>-</v>
      </c>
    </row>
    <row r="666" spans="1:8" x14ac:dyDescent="0.3">
      <c r="A666" s="3" t="str">
        <f>新!E665</f>
        <v>CRC32:258AC3DD</v>
      </c>
      <c r="B666" s="3" t="str">
        <f>新!A665</f>
        <v>Mario\Mario Sports Superstars</v>
      </c>
      <c r="C666" s="3" t="str">
        <f>新!B665</f>
        <v>[MSS] 12 - Peach (Baseball).bin</v>
      </c>
      <c r="D666" s="2" t="str">
        <f>IFERROR(INDEX(旧!A:A,MATCH(测试!A666,旧!E:E,0)),0)</f>
        <v>Mario\Mario Sports Superstars</v>
      </c>
      <c r="E666" s="2" t="str">
        <f>IFERROR(INDEX(旧!B:B,MATCH(测试!A666,旧!E:E,0)),0)</f>
        <v>[MSS] 12 - Peach (Baseball).bin</v>
      </c>
      <c r="F666" s="9">
        <f>IFERROR(IF(B666=INDEX(转换!B:B,MATCH(D666,转换!A:A,0)),0,1),1)</f>
        <v>0</v>
      </c>
      <c r="G666" s="9">
        <f t="shared" si="20"/>
        <v>0</v>
      </c>
      <c r="H666" s="9" t="str">
        <f t="shared" si="21"/>
        <v>-</v>
      </c>
    </row>
    <row r="667" spans="1:8" x14ac:dyDescent="0.3">
      <c r="A667" s="3" t="str">
        <f>新!E666</f>
        <v>CRC32:95334E7B</v>
      </c>
      <c r="B667" s="3" t="str">
        <f>新!A666</f>
        <v>Mario\Mario Sports Superstars</v>
      </c>
      <c r="C667" s="3" t="str">
        <f>新!B666</f>
        <v>[MSS] 13 - Peach (Tennis).bin</v>
      </c>
      <c r="D667" s="2" t="str">
        <f>IFERROR(INDEX(旧!A:A,MATCH(测试!A667,旧!E:E,0)),0)</f>
        <v>Mario\Mario Sports Superstars</v>
      </c>
      <c r="E667" s="2" t="str">
        <f>IFERROR(INDEX(旧!B:B,MATCH(测试!A667,旧!E:E,0)),0)</f>
        <v>[MSS] 13 - Peach (Tennis).bin</v>
      </c>
      <c r="F667" s="9">
        <f>IFERROR(IF(B667=INDEX(转换!B:B,MATCH(D667,转换!A:A,0)),0,1),1)</f>
        <v>0</v>
      </c>
      <c r="G667" s="9">
        <f t="shared" si="20"/>
        <v>0</v>
      </c>
      <c r="H667" s="9" t="str">
        <f t="shared" si="21"/>
        <v>-</v>
      </c>
    </row>
    <row r="668" spans="1:8" x14ac:dyDescent="0.3">
      <c r="A668" s="3" t="str">
        <f>新!E667</f>
        <v>CRC32:94F9EBD2</v>
      </c>
      <c r="B668" s="3" t="str">
        <f>新!A667</f>
        <v>Mario\Mario Sports Superstars</v>
      </c>
      <c r="C668" s="3" t="str">
        <f>新!B667</f>
        <v>[MSS] 14 - Peach (Golf).bin</v>
      </c>
      <c r="D668" s="2" t="str">
        <f>IFERROR(INDEX(旧!A:A,MATCH(测试!A668,旧!E:E,0)),0)</f>
        <v>Mario\Mario Sports Superstars</v>
      </c>
      <c r="E668" s="2" t="str">
        <f>IFERROR(INDEX(旧!B:B,MATCH(测试!A668,旧!E:E,0)),0)</f>
        <v>[MSS] 14 - Peach (Golf).bin</v>
      </c>
      <c r="F668" s="9">
        <f>IFERROR(IF(B668=INDEX(转换!B:B,MATCH(D668,转换!A:A,0)),0,1),1)</f>
        <v>0</v>
      </c>
      <c r="G668" s="9">
        <f t="shared" si="20"/>
        <v>0</v>
      </c>
      <c r="H668" s="9" t="str">
        <f t="shared" si="21"/>
        <v>-</v>
      </c>
    </row>
    <row r="669" spans="1:8" x14ac:dyDescent="0.3">
      <c r="A669" s="3" t="str">
        <f>新!E668</f>
        <v>CRC32:04E5FD57</v>
      </c>
      <c r="B669" s="3" t="str">
        <f>新!A668</f>
        <v>Mario\Mario Sports Superstars</v>
      </c>
      <c r="C669" s="3" t="str">
        <f>新!B668</f>
        <v>[MSS] 15 - Peach (Horse Racing).bin</v>
      </c>
      <c r="D669" s="2" t="str">
        <f>IFERROR(INDEX(旧!A:A,MATCH(测试!A669,旧!E:E,0)),0)</f>
        <v>Mario\Mario Sports Superstars</v>
      </c>
      <c r="E669" s="2" t="str">
        <f>IFERROR(INDEX(旧!B:B,MATCH(测试!A669,旧!E:E,0)),0)</f>
        <v>[MSS] 15 - Peach (Horse Racing).bin</v>
      </c>
      <c r="F669" s="9">
        <f>IFERROR(IF(B669=INDEX(转换!B:B,MATCH(D669,转换!A:A,0)),0,1),1)</f>
        <v>0</v>
      </c>
      <c r="G669" s="9">
        <f t="shared" si="20"/>
        <v>0</v>
      </c>
      <c r="H669" s="9" t="str">
        <f t="shared" si="21"/>
        <v>-</v>
      </c>
    </row>
    <row r="670" spans="1:8" x14ac:dyDescent="0.3">
      <c r="A670" s="3" t="str">
        <f>新!E669</f>
        <v>CRC32:3098FF75</v>
      </c>
      <c r="B670" s="3" t="str">
        <f>新!A669</f>
        <v>Mario\Mario Sports Superstars</v>
      </c>
      <c r="C670" s="3" t="str">
        <f>新!B669</f>
        <v>[MSS] 16 - Daisy (Soccer).bin</v>
      </c>
      <c r="D670" s="2" t="str">
        <f>IFERROR(INDEX(旧!A:A,MATCH(测试!A670,旧!E:E,0)),0)</f>
        <v>Mario\Mario Sports Superstars</v>
      </c>
      <c r="E670" s="2" t="str">
        <f>IFERROR(INDEX(旧!B:B,MATCH(测试!A670,旧!E:E,0)),0)</f>
        <v>[MSS] 16 - Daisy (Soccer).bin</v>
      </c>
      <c r="F670" s="9">
        <f>IFERROR(IF(B670=INDEX(转换!B:B,MATCH(D670,转换!A:A,0)),0,1),1)</f>
        <v>0</v>
      </c>
      <c r="G670" s="9">
        <f t="shared" si="20"/>
        <v>0</v>
      </c>
      <c r="H670" s="9" t="str">
        <f t="shared" si="21"/>
        <v>-</v>
      </c>
    </row>
    <row r="671" spans="1:8" x14ac:dyDescent="0.3">
      <c r="A671" s="3" t="str">
        <f>新!E670</f>
        <v>CRC32:0843CE24</v>
      </c>
      <c r="B671" s="3" t="str">
        <f>新!A670</f>
        <v>Mario\Mario Sports Superstars</v>
      </c>
      <c r="C671" s="3" t="str">
        <f>新!B670</f>
        <v>[MSS] 17 - Daisy (Baseball).bin</v>
      </c>
      <c r="D671" s="2" t="str">
        <f>IFERROR(INDEX(旧!A:A,MATCH(测试!A671,旧!E:E,0)),0)</f>
        <v>Mario\Mario Sports Superstars</v>
      </c>
      <c r="E671" s="2" t="str">
        <f>IFERROR(INDEX(旧!B:B,MATCH(测试!A671,旧!E:E,0)),0)</f>
        <v>[MSS] 17 - Daisy (Baseball).bin</v>
      </c>
      <c r="F671" s="9">
        <f>IFERROR(IF(B671=INDEX(转换!B:B,MATCH(D671,转换!A:A,0)),0,1),1)</f>
        <v>0</v>
      </c>
      <c r="G671" s="9">
        <f t="shared" si="20"/>
        <v>0</v>
      </c>
      <c r="H671" s="9" t="str">
        <f t="shared" si="21"/>
        <v>-</v>
      </c>
    </row>
    <row r="672" spans="1:8" x14ac:dyDescent="0.3">
      <c r="A672" s="3" t="str">
        <f>新!E671</f>
        <v>CRC32:801261B0</v>
      </c>
      <c r="B672" s="3" t="str">
        <f>新!A671</f>
        <v>Mario\Mario Sports Superstars</v>
      </c>
      <c r="C672" s="3" t="str">
        <f>新!B671</f>
        <v>[MSS] 18 - Daisy (Tennis).bin</v>
      </c>
      <c r="D672" s="2" t="str">
        <f>IFERROR(INDEX(旧!A:A,MATCH(测试!A672,旧!E:E,0)),0)</f>
        <v>Mario\Mario Sports Superstars</v>
      </c>
      <c r="E672" s="2" t="str">
        <f>IFERROR(INDEX(旧!B:B,MATCH(测试!A672,旧!E:E,0)),0)</f>
        <v>[MSS] 18 - Daisy (Tennis).bin</v>
      </c>
      <c r="F672" s="9">
        <f>IFERROR(IF(B672=INDEX(转换!B:B,MATCH(D672,转换!A:A,0)),0,1),1)</f>
        <v>0</v>
      </c>
      <c r="G672" s="9">
        <f t="shared" si="20"/>
        <v>0</v>
      </c>
      <c r="H672" s="9" t="str">
        <f t="shared" si="21"/>
        <v>-</v>
      </c>
    </row>
    <row r="673" spans="1:8" x14ac:dyDescent="0.3">
      <c r="A673" s="3" t="str">
        <f>新!E672</f>
        <v>CRC32:2FA61EE2</v>
      </c>
      <c r="B673" s="3" t="str">
        <f>新!A672</f>
        <v>Mario\Mario Sports Superstars</v>
      </c>
      <c r="C673" s="3" t="str">
        <f>新!B672</f>
        <v>[MSS] 19 - Daisy (Golf).bin</v>
      </c>
      <c r="D673" s="2" t="str">
        <f>IFERROR(INDEX(旧!A:A,MATCH(测试!A673,旧!E:E,0)),0)</f>
        <v>Mario\Mario Sports Superstars</v>
      </c>
      <c r="E673" s="2" t="str">
        <f>IFERROR(INDEX(旧!B:B,MATCH(测试!A673,旧!E:E,0)),0)</f>
        <v>[MSS] 19 - Daisy (Golf).bin</v>
      </c>
      <c r="F673" s="9">
        <f>IFERROR(IF(B673=INDEX(转换!B:B,MATCH(D673,转换!A:A,0)),0,1),1)</f>
        <v>0</v>
      </c>
      <c r="G673" s="9">
        <f t="shared" si="20"/>
        <v>0</v>
      </c>
      <c r="H673" s="9" t="str">
        <f t="shared" si="21"/>
        <v>-</v>
      </c>
    </row>
    <row r="674" spans="1:8" x14ac:dyDescent="0.3">
      <c r="A674" s="3" t="str">
        <f>新!E673</f>
        <v>CRC32:FEEEC66D</v>
      </c>
      <c r="B674" s="3" t="str">
        <f>新!A673</f>
        <v>Mario\Mario Sports Superstars</v>
      </c>
      <c r="C674" s="3" t="str">
        <f>新!B673</f>
        <v>[MSS] 20 - Daisy (Horse Racing).bin</v>
      </c>
      <c r="D674" s="2" t="str">
        <f>IFERROR(INDEX(旧!A:A,MATCH(测试!A674,旧!E:E,0)),0)</f>
        <v>Mario\Mario Sports Superstars</v>
      </c>
      <c r="E674" s="2" t="str">
        <f>IFERROR(INDEX(旧!B:B,MATCH(测试!A674,旧!E:E,0)),0)</f>
        <v>[MSS] 20 - Daisy (Horse Racing).bin</v>
      </c>
      <c r="F674" s="9">
        <f>IFERROR(IF(B674=INDEX(转换!B:B,MATCH(D674,转换!A:A,0)),0,1),1)</f>
        <v>0</v>
      </c>
      <c r="G674" s="9">
        <f t="shared" si="20"/>
        <v>0</v>
      </c>
      <c r="H674" s="9" t="str">
        <f t="shared" si="21"/>
        <v>-</v>
      </c>
    </row>
    <row r="675" spans="1:8" x14ac:dyDescent="0.3">
      <c r="A675" s="3" t="str">
        <f>新!E674</f>
        <v>CRC32:F690EA04</v>
      </c>
      <c r="B675" s="3" t="str">
        <f>新!A674</f>
        <v>Mario\Mario Sports Superstars</v>
      </c>
      <c r="C675" s="3" t="str">
        <f>新!B674</f>
        <v>[MSS] 21 - Yoshi (Soccer).bin</v>
      </c>
      <c r="D675" s="2" t="str">
        <f>IFERROR(INDEX(旧!A:A,MATCH(测试!A675,旧!E:E,0)),0)</f>
        <v>Mario\Mario Sports Superstars</v>
      </c>
      <c r="E675" s="2" t="str">
        <f>IFERROR(INDEX(旧!B:B,MATCH(测试!A675,旧!E:E,0)),0)</f>
        <v>[MSS] 21 - Yoshi (Soccer).bin</v>
      </c>
      <c r="F675" s="9">
        <f>IFERROR(IF(B675=INDEX(转换!B:B,MATCH(D675,转换!A:A,0)),0,1),1)</f>
        <v>0</v>
      </c>
      <c r="G675" s="9">
        <f t="shared" si="20"/>
        <v>0</v>
      </c>
      <c r="H675" s="9" t="str">
        <f t="shared" si="21"/>
        <v>-</v>
      </c>
    </row>
    <row r="676" spans="1:8" x14ac:dyDescent="0.3">
      <c r="A676" s="3" t="str">
        <f>新!E675</f>
        <v>CRC32:03121AAA</v>
      </c>
      <c r="B676" s="3" t="str">
        <f>新!A675</f>
        <v>Mario\Mario Sports Superstars</v>
      </c>
      <c r="C676" s="3" t="str">
        <f>新!B675</f>
        <v>[MSS] 22 - Yoshi (Baseball).bin</v>
      </c>
      <c r="D676" s="2" t="str">
        <f>IFERROR(INDEX(旧!A:A,MATCH(测试!A676,旧!E:E,0)),0)</f>
        <v>Mario\Mario Sports Superstars</v>
      </c>
      <c r="E676" s="2" t="str">
        <f>IFERROR(INDEX(旧!B:B,MATCH(测试!A676,旧!E:E,0)),0)</f>
        <v>[MSS] 22 - Yoshi (Baseball).bin</v>
      </c>
      <c r="F676" s="9">
        <f>IFERROR(IF(B676=INDEX(转换!B:B,MATCH(D676,转换!A:A,0)),0,1),1)</f>
        <v>0</v>
      </c>
      <c r="G676" s="9">
        <f t="shared" si="20"/>
        <v>0</v>
      </c>
      <c r="H676" s="9" t="str">
        <f t="shared" si="21"/>
        <v>-</v>
      </c>
    </row>
    <row r="677" spans="1:8" x14ac:dyDescent="0.3">
      <c r="A677" s="3" t="str">
        <f>新!E676</f>
        <v>CRC32:7BF383E1</v>
      </c>
      <c r="B677" s="3" t="str">
        <f>新!A676</f>
        <v>Mario\Mario Sports Superstars</v>
      </c>
      <c r="C677" s="3" t="str">
        <f>新!B676</f>
        <v>[MSS] 23 - Yoshi (Tennis).bin</v>
      </c>
      <c r="D677" s="2" t="str">
        <f>IFERROR(INDEX(旧!A:A,MATCH(测试!A677,旧!E:E,0)),0)</f>
        <v>Mario\Mario Sports Superstars</v>
      </c>
      <c r="E677" s="2" t="str">
        <f>IFERROR(INDEX(旧!B:B,MATCH(测试!A677,旧!E:E,0)),0)</f>
        <v>[MSS] 23 - Yoshi (Tennis).bin</v>
      </c>
      <c r="F677" s="9">
        <f>IFERROR(IF(B677=INDEX(转换!B:B,MATCH(D677,转换!A:A,0)),0,1),1)</f>
        <v>0</v>
      </c>
      <c r="G677" s="9">
        <f t="shared" si="20"/>
        <v>0</v>
      </c>
      <c r="H677" s="9" t="str">
        <f t="shared" si="21"/>
        <v>-</v>
      </c>
    </row>
    <row r="678" spans="1:8" x14ac:dyDescent="0.3">
      <c r="A678" s="3" t="str">
        <f>新!E677</f>
        <v>CRC32:F8CD1574</v>
      </c>
      <c r="B678" s="3" t="str">
        <f>新!A677</f>
        <v>Mario\Mario Sports Superstars</v>
      </c>
      <c r="C678" s="3" t="str">
        <f>新!B677</f>
        <v>[MSS] 24 - Yoshi (Golf).bin</v>
      </c>
      <c r="D678" s="2" t="str">
        <f>IFERROR(INDEX(旧!A:A,MATCH(测试!A678,旧!E:E,0)),0)</f>
        <v>Mario\Mario Sports Superstars</v>
      </c>
      <c r="E678" s="2" t="str">
        <f>IFERROR(INDEX(旧!B:B,MATCH(测试!A678,旧!E:E,0)),0)</f>
        <v>[MSS] 24 - Yoshi (Golf).bin</v>
      </c>
      <c r="F678" s="9">
        <f>IFERROR(IF(B678=INDEX(转换!B:B,MATCH(D678,转换!A:A,0)),0,1),1)</f>
        <v>0</v>
      </c>
      <c r="G678" s="9">
        <f t="shared" si="20"/>
        <v>0</v>
      </c>
      <c r="H678" s="9" t="str">
        <f t="shared" si="21"/>
        <v>-</v>
      </c>
    </row>
    <row r="679" spans="1:8" x14ac:dyDescent="0.3">
      <c r="A679" s="3" t="str">
        <f>新!E678</f>
        <v>CRC32:5CEAF19F</v>
      </c>
      <c r="B679" s="3" t="str">
        <f>新!A678</f>
        <v>Mario\Mario Sports Superstars</v>
      </c>
      <c r="C679" s="3" t="str">
        <f>新!B678</f>
        <v>[MSS] 25 - Yoshi (Horse Racing).bin</v>
      </c>
      <c r="D679" s="2" t="str">
        <f>IFERROR(INDEX(旧!A:A,MATCH(测试!A679,旧!E:E,0)),0)</f>
        <v>Mario\Mario Sports Superstars</v>
      </c>
      <c r="E679" s="2" t="str">
        <f>IFERROR(INDEX(旧!B:B,MATCH(测试!A679,旧!E:E,0)),0)</f>
        <v>[MSS] 25 - Yoshi (Horse Racing).bin</v>
      </c>
      <c r="F679" s="9">
        <f>IFERROR(IF(B679=INDEX(转换!B:B,MATCH(D679,转换!A:A,0)),0,1),1)</f>
        <v>0</v>
      </c>
      <c r="G679" s="9">
        <f t="shared" si="20"/>
        <v>0</v>
      </c>
      <c r="H679" s="9" t="str">
        <f t="shared" si="21"/>
        <v>-</v>
      </c>
    </row>
    <row r="680" spans="1:8" x14ac:dyDescent="0.3">
      <c r="A680" s="3" t="str">
        <f>新!E679</f>
        <v>CRC32:E162F492</v>
      </c>
      <c r="B680" s="3" t="str">
        <f>新!A679</f>
        <v>Mario\Mario Sports Superstars</v>
      </c>
      <c r="C680" s="3" t="str">
        <f>新!B679</f>
        <v>[MSS] 26 - Wario (Soccer).bin</v>
      </c>
      <c r="D680" s="2" t="str">
        <f>IFERROR(INDEX(旧!A:A,MATCH(测试!A680,旧!E:E,0)),0)</f>
        <v>Mario\Mario Sports Superstars</v>
      </c>
      <c r="E680" s="2" t="str">
        <f>IFERROR(INDEX(旧!B:B,MATCH(测试!A680,旧!E:E,0)),0)</f>
        <v>[MSS] 26 - Wario (Soccer).bin</v>
      </c>
      <c r="F680" s="9">
        <f>IFERROR(IF(B680=INDEX(转换!B:B,MATCH(D680,转换!A:A,0)),0,1),1)</f>
        <v>0</v>
      </c>
      <c r="G680" s="9">
        <f t="shared" si="20"/>
        <v>0</v>
      </c>
      <c r="H680" s="9" t="str">
        <f t="shared" si="21"/>
        <v>-</v>
      </c>
    </row>
    <row r="681" spans="1:8" x14ac:dyDescent="0.3">
      <c r="A681" s="3" t="str">
        <f>新!E680</f>
        <v>CRC32:B92FF4BE</v>
      </c>
      <c r="B681" s="3" t="str">
        <f>新!A680</f>
        <v>Mario\Mario Sports Superstars</v>
      </c>
      <c r="C681" s="3" t="str">
        <f>新!B680</f>
        <v>[MSS] 27 - Wario (Baseball).bin</v>
      </c>
      <c r="D681" s="2" t="str">
        <f>IFERROR(INDEX(旧!A:A,MATCH(测试!A681,旧!E:E,0)),0)</f>
        <v>Mario\Mario Sports Superstars</v>
      </c>
      <c r="E681" s="2" t="str">
        <f>IFERROR(INDEX(旧!B:B,MATCH(测试!A681,旧!E:E,0)),0)</f>
        <v>[MSS] 27 - Wario (Baseball).bin</v>
      </c>
      <c r="F681" s="9">
        <f>IFERROR(IF(B681=INDEX(转换!B:B,MATCH(D681,转换!A:A,0)),0,1),1)</f>
        <v>0</v>
      </c>
      <c r="G681" s="9">
        <f t="shared" si="20"/>
        <v>0</v>
      </c>
      <c r="H681" s="9" t="str">
        <f t="shared" si="21"/>
        <v>-</v>
      </c>
    </row>
    <row r="682" spans="1:8" x14ac:dyDescent="0.3">
      <c r="A682" s="3" t="str">
        <f>新!E681</f>
        <v>CRC32:A66C72DD</v>
      </c>
      <c r="B682" s="3" t="str">
        <f>新!A681</f>
        <v>Mario\Mario Sports Superstars</v>
      </c>
      <c r="C682" s="3" t="str">
        <f>新!B681</f>
        <v>[MSS] 28 - Wario (Tennis).bin</v>
      </c>
      <c r="D682" s="2" t="str">
        <f>IFERROR(INDEX(旧!A:A,MATCH(测试!A682,旧!E:E,0)),0)</f>
        <v>Mario\Mario Sports Superstars</v>
      </c>
      <c r="E682" s="2" t="str">
        <f>IFERROR(INDEX(旧!B:B,MATCH(测试!A682,旧!E:E,0)),0)</f>
        <v>[MSS] 28 - Wario (Tennis).bin</v>
      </c>
      <c r="F682" s="9">
        <f>IFERROR(IF(B682=INDEX(转换!B:B,MATCH(D682,转换!A:A,0)),0,1),1)</f>
        <v>0</v>
      </c>
      <c r="G682" s="9">
        <f t="shared" si="20"/>
        <v>0</v>
      </c>
      <c r="H682" s="9" t="str">
        <f t="shared" si="21"/>
        <v>-</v>
      </c>
    </row>
    <row r="683" spans="1:8" x14ac:dyDescent="0.3">
      <c r="A683" s="3" t="str">
        <f>新!E682</f>
        <v>CRC32:71E18704</v>
      </c>
      <c r="B683" s="3" t="str">
        <f>新!A682</f>
        <v>Mario\Mario Sports Superstars</v>
      </c>
      <c r="C683" s="3" t="str">
        <f>新!B682</f>
        <v>[MSS] 29 - Wario (Golf).bin</v>
      </c>
      <c r="D683" s="2" t="str">
        <f>IFERROR(INDEX(旧!A:A,MATCH(测试!A683,旧!E:E,0)),0)</f>
        <v>Mario\Mario Sports Superstars</v>
      </c>
      <c r="E683" s="2" t="str">
        <f>IFERROR(INDEX(旧!B:B,MATCH(测试!A683,旧!E:E,0)),0)</f>
        <v>[MSS] 29 - Wario (Golf).bin</v>
      </c>
      <c r="F683" s="9">
        <f>IFERROR(IF(B683=INDEX(转换!B:B,MATCH(D683,转换!A:A,0)),0,1),1)</f>
        <v>0</v>
      </c>
      <c r="G683" s="9">
        <f t="shared" si="20"/>
        <v>0</v>
      </c>
      <c r="H683" s="9" t="str">
        <f t="shared" si="21"/>
        <v>-</v>
      </c>
    </row>
    <row r="684" spans="1:8" x14ac:dyDescent="0.3">
      <c r="A684" s="3" t="str">
        <f>新!E683</f>
        <v>CRC32:F25D6B69</v>
      </c>
      <c r="B684" s="3" t="str">
        <f>新!A683</f>
        <v>Mario\Mario Sports Superstars</v>
      </c>
      <c r="C684" s="3" t="str">
        <f>新!B683</f>
        <v>[MSS] 30 - Wario (Horse Racing).bin</v>
      </c>
      <c r="D684" s="2" t="str">
        <f>IFERROR(INDEX(旧!A:A,MATCH(测试!A684,旧!E:E,0)),0)</f>
        <v>Mario\Mario Sports Superstars</v>
      </c>
      <c r="E684" s="2" t="str">
        <f>IFERROR(INDEX(旧!B:B,MATCH(测试!A684,旧!E:E,0)),0)</f>
        <v>[MSS] 30 - Wario (Horse Racing).bin</v>
      </c>
      <c r="F684" s="9">
        <f>IFERROR(IF(B684=INDEX(转换!B:B,MATCH(D684,转换!A:A,0)),0,1),1)</f>
        <v>0</v>
      </c>
      <c r="G684" s="9">
        <f t="shared" ref="G684:G747" si="22">IF(E684=C684,0,1)</f>
        <v>0</v>
      </c>
      <c r="H684" s="9" t="str">
        <f t="shared" si="21"/>
        <v>-</v>
      </c>
    </row>
    <row r="685" spans="1:8" x14ac:dyDescent="0.3">
      <c r="A685" s="3" t="str">
        <f>新!E684</f>
        <v>CRC32:4BB47A8B</v>
      </c>
      <c r="B685" s="3" t="str">
        <f>新!A684</f>
        <v>Mario\Mario Sports Superstars</v>
      </c>
      <c r="C685" s="3" t="str">
        <f>新!B684</f>
        <v>[MSS] 31 - Waluigi (Soccer).bin</v>
      </c>
      <c r="D685" s="2" t="str">
        <f>IFERROR(INDEX(旧!A:A,MATCH(测试!A685,旧!E:E,0)),0)</f>
        <v>Mario\Mario Sports Superstars</v>
      </c>
      <c r="E685" s="2" t="str">
        <f>IFERROR(INDEX(旧!B:B,MATCH(测试!A685,旧!E:E,0)),0)</f>
        <v>[MSS] 31 - Waluigi (Soccer).bin</v>
      </c>
      <c r="F685" s="9">
        <f>IFERROR(IF(B685=INDEX(转换!B:B,MATCH(D685,转换!A:A,0)),0,1),1)</f>
        <v>0</v>
      </c>
      <c r="G685" s="9">
        <f t="shared" si="22"/>
        <v>0</v>
      </c>
      <c r="H685" s="9" t="str">
        <f t="shared" si="21"/>
        <v>-</v>
      </c>
    </row>
    <row r="686" spans="1:8" x14ac:dyDescent="0.3">
      <c r="A686" s="3" t="str">
        <f>新!E685</f>
        <v>CRC32:E3E813AE</v>
      </c>
      <c r="B686" s="3" t="str">
        <f>新!A685</f>
        <v>Mario\Mario Sports Superstars</v>
      </c>
      <c r="C686" s="3" t="str">
        <f>新!B685</f>
        <v>[MSS] 32 - Waluigi (Baseball).bin</v>
      </c>
      <c r="D686" s="2" t="str">
        <f>IFERROR(INDEX(旧!A:A,MATCH(测试!A686,旧!E:E,0)),0)</f>
        <v>Mario\Mario Sports Superstars</v>
      </c>
      <c r="E686" s="2" t="str">
        <f>IFERROR(INDEX(旧!B:B,MATCH(测试!A686,旧!E:E,0)),0)</f>
        <v>[MSS] 32 - Waluigi (Baseball).bin</v>
      </c>
      <c r="F686" s="9">
        <f>IFERROR(IF(B686=INDEX(转换!B:B,MATCH(D686,转换!A:A,0)),0,1),1)</f>
        <v>0</v>
      </c>
      <c r="G686" s="9">
        <f t="shared" si="22"/>
        <v>0</v>
      </c>
      <c r="H686" s="9" t="str">
        <f t="shared" si="21"/>
        <v>-</v>
      </c>
    </row>
    <row r="687" spans="1:8" x14ac:dyDescent="0.3">
      <c r="A687" s="3" t="str">
        <f>新!E686</f>
        <v>CRC32:5C17C0A5</v>
      </c>
      <c r="B687" s="3" t="str">
        <f>新!A686</f>
        <v>Mario\Mario Sports Superstars</v>
      </c>
      <c r="C687" s="3" t="str">
        <f>新!B686</f>
        <v>[MSS] 33 - Waluigi (Tennis).bin</v>
      </c>
      <c r="D687" s="2" t="str">
        <f>IFERROR(INDEX(旧!A:A,MATCH(测试!A687,旧!E:E,0)),0)</f>
        <v>Mario\Mario Sports Superstars</v>
      </c>
      <c r="E687" s="2" t="str">
        <f>IFERROR(INDEX(旧!B:B,MATCH(测试!A687,旧!E:E,0)),0)</f>
        <v>[MSS] 33 - Waluigi (Tennis).bin</v>
      </c>
      <c r="F687" s="9">
        <f>IFERROR(IF(B687=INDEX(转换!B:B,MATCH(D687,转换!A:A,0)),0,1),1)</f>
        <v>0</v>
      </c>
      <c r="G687" s="9">
        <f t="shared" si="22"/>
        <v>0</v>
      </c>
      <c r="H687" s="9" t="str">
        <f t="shared" si="21"/>
        <v>-</v>
      </c>
    </row>
    <row r="688" spans="1:8" x14ac:dyDescent="0.3">
      <c r="A688" s="3" t="str">
        <f>新!E687</f>
        <v>CRC32:0382DAFF</v>
      </c>
      <c r="B688" s="3" t="str">
        <f>新!A687</f>
        <v>Mario\Mario Sports Superstars</v>
      </c>
      <c r="C688" s="3" t="str">
        <f>新!B687</f>
        <v>[MSS] 34 - Waluigi (Golf).bin</v>
      </c>
      <c r="D688" s="2" t="str">
        <f>IFERROR(INDEX(旧!A:A,MATCH(测试!A688,旧!E:E,0)),0)</f>
        <v>Mario\Mario Sports Superstars</v>
      </c>
      <c r="E688" s="2" t="str">
        <f>IFERROR(INDEX(旧!B:B,MATCH(测试!A688,旧!E:E,0)),0)</f>
        <v>[MSS] 34 - Waluigi (Golf).bin</v>
      </c>
      <c r="F688" s="9">
        <f>IFERROR(IF(B688=INDEX(转换!B:B,MATCH(D688,转换!A:A,0)),0,1),1)</f>
        <v>0</v>
      </c>
      <c r="G688" s="9">
        <f t="shared" si="22"/>
        <v>0</v>
      </c>
      <c r="H688" s="9" t="str">
        <f t="shared" si="21"/>
        <v>-</v>
      </c>
    </row>
    <row r="689" spans="1:8" x14ac:dyDescent="0.3">
      <c r="A689" s="3" t="str">
        <f>新!E688</f>
        <v>CRC32:7784D873</v>
      </c>
      <c r="B689" s="3" t="str">
        <f>新!A688</f>
        <v>Mario\Mario Sports Superstars</v>
      </c>
      <c r="C689" s="3" t="str">
        <f>新!B688</f>
        <v>[MSS] 35 - Waluigi (Horse Racing).bin</v>
      </c>
      <c r="D689" s="2" t="str">
        <f>IFERROR(INDEX(旧!A:A,MATCH(测试!A689,旧!E:E,0)),0)</f>
        <v>Mario\Mario Sports Superstars</v>
      </c>
      <c r="E689" s="2" t="str">
        <f>IFERROR(INDEX(旧!B:B,MATCH(测试!A689,旧!E:E,0)),0)</f>
        <v>[MSS] 35 - Waluigi (Horse Racing).bin</v>
      </c>
      <c r="F689" s="9">
        <f>IFERROR(IF(B689=INDEX(转换!B:B,MATCH(D689,转换!A:A,0)),0,1),1)</f>
        <v>0</v>
      </c>
      <c r="G689" s="9">
        <f t="shared" si="22"/>
        <v>0</v>
      </c>
      <c r="H689" s="9" t="str">
        <f t="shared" si="21"/>
        <v>-</v>
      </c>
    </row>
    <row r="690" spans="1:8" x14ac:dyDescent="0.3">
      <c r="A690" s="3" t="str">
        <f>新!E689</f>
        <v>CRC32:6A3E6889</v>
      </c>
      <c r="B690" s="3" t="str">
        <f>新!A689</f>
        <v>Mario\Mario Sports Superstars</v>
      </c>
      <c r="C690" s="3" t="str">
        <f>新!B689</f>
        <v>[MSS] 36 - Donkey Kong (Soccer).bin</v>
      </c>
      <c r="D690" s="2" t="str">
        <f>IFERROR(INDEX(旧!A:A,MATCH(测试!A690,旧!E:E,0)),0)</f>
        <v>Mario\Mario Sports Superstars</v>
      </c>
      <c r="E690" s="2" t="str">
        <f>IFERROR(INDEX(旧!B:B,MATCH(测试!A690,旧!E:E,0)),0)</f>
        <v>[MSS] 36 - Donkey Kong (Soccer).bin</v>
      </c>
      <c r="F690" s="9">
        <f>IFERROR(IF(B690=INDEX(转换!B:B,MATCH(D690,转换!A:A,0)),0,1),1)</f>
        <v>0</v>
      </c>
      <c r="G690" s="9">
        <f t="shared" si="22"/>
        <v>0</v>
      </c>
      <c r="H690" s="9" t="str">
        <f t="shared" si="21"/>
        <v>-</v>
      </c>
    </row>
    <row r="691" spans="1:8" x14ac:dyDescent="0.3">
      <c r="A691" s="3" t="str">
        <f>新!E690</f>
        <v>CRC32:A9E41BAF</v>
      </c>
      <c r="B691" s="3" t="str">
        <f>新!A690</f>
        <v>Mario\Mario Sports Superstars</v>
      </c>
      <c r="C691" s="3" t="str">
        <f>新!B690</f>
        <v>[MSS] 37 - Donkey Kong (Baseball).bin</v>
      </c>
      <c r="D691" s="2" t="str">
        <f>IFERROR(INDEX(旧!A:A,MATCH(测试!A691,旧!E:E,0)),0)</f>
        <v>Mario\Mario Sports Superstars</v>
      </c>
      <c r="E691" s="2" t="str">
        <f>IFERROR(INDEX(旧!B:B,MATCH(测试!A691,旧!E:E,0)),0)</f>
        <v>[MSS] 37 - Donkey Kong (Baseball).bin</v>
      </c>
      <c r="F691" s="9">
        <f>IFERROR(IF(B691=INDEX(转换!B:B,MATCH(D691,转换!A:A,0)),0,1),1)</f>
        <v>0</v>
      </c>
      <c r="G691" s="9">
        <f t="shared" si="22"/>
        <v>0</v>
      </c>
      <c r="H691" s="9" t="str">
        <f t="shared" si="21"/>
        <v>-</v>
      </c>
    </row>
    <row r="692" spans="1:8" x14ac:dyDescent="0.3">
      <c r="A692" s="3" t="str">
        <f>新!E691</f>
        <v>CRC32:C61EDD45</v>
      </c>
      <c r="B692" s="3" t="str">
        <f>新!A691</f>
        <v>Mario\Mario Sports Superstars</v>
      </c>
      <c r="C692" s="3" t="str">
        <f>新!B691</f>
        <v>[MSS] 38 - Donkey Kong (Tennis).bin</v>
      </c>
      <c r="D692" s="2" t="str">
        <f>IFERROR(INDEX(旧!A:A,MATCH(测试!A692,旧!E:E,0)),0)</f>
        <v>Mario\Mario Sports Superstars</v>
      </c>
      <c r="E692" s="2" t="str">
        <f>IFERROR(INDEX(旧!B:B,MATCH(测试!A692,旧!E:E,0)),0)</f>
        <v>[MSS] 38 - Donkey Kong (Tennis).bin</v>
      </c>
      <c r="F692" s="9">
        <f>IFERROR(IF(B692=INDEX(转换!B:B,MATCH(D692,转换!A:A,0)),0,1),1)</f>
        <v>0</v>
      </c>
      <c r="G692" s="9">
        <f t="shared" si="22"/>
        <v>0</v>
      </c>
      <c r="H692" s="9" t="str">
        <f t="shared" si="21"/>
        <v>-</v>
      </c>
    </row>
    <row r="693" spans="1:8" x14ac:dyDescent="0.3">
      <c r="A693" s="3" t="str">
        <f>新!E692</f>
        <v>CRC32:86F1C38F</v>
      </c>
      <c r="B693" s="3" t="str">
        <f>新!A692</f>
        <v>Mario\Mario Sports Superstars</v>
      </c>
      <c r="C693" s="3" t="str">
        <f>新!B692</f>
        <v>[MSS] 39 - Donkey Kong (Golf).bin</v>
      </c>
      <c r="D693" s="2" t="str">
        <f>IFERROR(INDEX(旧!A:A,MATCH(测试!A693,旧!E:E,0)),0)</f>
        <v>Mario\Mario Sports Superstars</v>
      </c>
      <c r="E693" s="2" t="str">
        <f>IFERROR(INDEX(旧!B:B,MATCH(测试!A693,旧!E:E,0)),0)</f>
        <v>[MSS] 39 - Donkey Kong (Golf).bin</v>
      </c>
      <c r="F693" s="9">
        <f>IFERROR(IF(B693=INDEX(转换!B:B,MATCH(D693,转换!A:A,0)),0,1),1)</f>
        <v>0</v>
      </c>
      <c r="G693" s="9">
        <f t="shared" si="22"/>
        <v>0</v>
      </c>
      <c r="H693" s="9" t="str">
        <f t="shared" si="21"/>
        <v>-</v>
      </c>
    </row>
    <row r="694" spans="1:8" x14ac:dyDescent="0.3">
      <c r="A694" s="3" t="str">
        <f>新!E693</f>
        <v>CRC32:7925347B</v>
      </c>
      <c r="B694" s="3" t="str">
        <f>新!A693</f>
        <v>Mario\Mario Sports Superstars</v>
      </c>
      <c r="C694" s="3" t="str">
        <f>新!B693</f>
        <v>[MSS] 40 - Donkey Kong (Horse Racing).bin</v>
      </c>
      <c r="D694" s="2" t="str">
        <f>IFERROR(INDEX(旧!A:A,MATCH(测试!A694,旧!E:E,0)),0)</f>
        <v>Mario\Mario Sports Superstars</v>
      </c>
      <c r="E694" s="2" t="str">
        <f>IFERROR(INDEX(旧!B:B,MATCH(测试!A694,旧!E:E,0)),0)</f>
        <v>[MSS] 40 - Donkey Kong (Horse Racing).bin</v>
      </c>
      <c r="F694" s="9">
        <f>IFERROR(IF(B694=INDEX(转换!B:B,MATCH(D694,转换!A:A,0)),0,1),1)</f>
        <v>0</v>
      </c>
      <c r="G694" s="9">
        <f t="shared" si="22"/>
        <v>0</v>
      </c>
      <c r="H694" s="9" t="str">
        <f t="shared" si="21"/>
        <v>-</v>
      </c>
    </row>
    <row r="695" spans="1:8" x14ac:dyDescent="0.3">
      <c r="A695" s="3" t="str">
        <f>新!E694</f>
        <v>CRC32:88215740</v>
      </c>
      <c r="B695" s="3" t="str">
        <f>新!A694</f>
        <v>Mario\Mario Sports Superstars</v>
      </c>
      <c r="C695" s="3" t="str">
        <f>新!B694</f>
        <v>[MSS] 41 - Diddy Kong (Soccer).bin</v>
      </c>
      <c r="D695" s="2" t="str">
        <f>IFERROR(INDEX(旧!A:A,MATCH(测试!A695,旧!E:E,0)),0)</f>
        <v>Mario\Mario Sports Superstars</v>
      </c>
      <c r="E695" s="2" t="str">
        <f>IFERROR(INDEX(旧!B:B,MATCH(测试!A695,旧!E:E,0)),0)</f>
        <v>[MSS] 41 - Diddy Kong (Soccer).bin</v>
      </c>
      <c r="F695" s="9">
        <f>IFERROR(IF(B695=INDEX(转换!B:B,MATCH(D695,转换!A:A,0)),0,1),1)</f>
        <v>0</v>
      </c>
      <c r="G695" s="9">
        <f t="shared" si="22"/>
        <v>0</v>
      </c>
      <c r="H695" s="9" t="str">
        <f t="shared" si="21"/>
        <v>-</v>
      </c>
    </row>
    <row r="696" spans="1:8" x14ac:dyDescent="0.3">
      <c r="A696" s="3" t="str">
        <f>新!E695</f>
        <v>CRC32:E06D5765</v>
      </c>
      <c r="B696" s="3" t="str">
        <f>新!A695</f>
        <v>Mario\Mario Sports Superstars</v>
      </c>
      <c r="C696" s="3" t="str">
        <f>新!B695</f>
        <v>[MSS] 42 - Diddy Kong (Baseball).bin</v>
      </c>
      <c r="D696" s="2" t="str">
        <f>IFERROR(INDEX(旧!A:A,MATCH(测试!A696,旧!E:E,0)),0)</f>
        <v>Mario\Mario Sports Superstars</v>
      </c>
      <c r="E696" s="2" t="str">
        <f>IFERROR(INDEX(旧!B:B,MATCH(测试!A696,旧!E:E,0)),0)</f>
        <v>[MSS] 42 - Diddy Kong (Baseball).bin</v>
      </c>
      <c r="F696" s="9">
        <f>IFERROR(IF(B696=INDEX(转换!B:B,MATCH(D696,转换!A:A,0)),0,1),1)</f>
        <v>0</v>
      </c>
      <c r="G696" s="9">
        <f t="shared" si="22"/>
        <v>0</v>
      </c>
      <c r="H696" s="9" t="str">
        <f t="shared" si="21"/>
        <v>-</v>
      </c>
    </row>
    <row r="697" spans="1:8" x14ac:dyDescent="0.3">
      <c r="A697" s="3" t="str">
        <f>新!E696</f>
        <v>CRC32:3D7BBEC4</v>
      </c>
      <c r="B697" s="3" t="str">
        <f>新!A696</f>
        <v>Mario\Mario Sports Superstars</v>
      </c>
      <c r="C697" s="3" t="str">
        <f>新!B696</f>
        <v>[MSS] 43 - Diddy Kong (Tennis).bin</v>
      </c>
      <c r="D697" s="2" t="str">
        <f>IFERROR(INDEX(旧!A:A,MATCH(测试!A697,旧!E:E,0)),0)</f>
        <v>Mario\Mario Sports Superstars</v>
      </c>
      <c r="E697" s="2" t="str">
        <f>IFERROR(INDEX(旧!B:B,MATCH(测试!A697,旧!E:E,0)),0)</f>
        <v>[MSS] 43 - Diddy Kong (Tennis).bin</v>
      </c>
      <c r="F697" s="9">
        <f>IFERROR(IF(B697=INDEX(转换!B:B,MATCH(D697,转换!A:A,0)),0,1),1)</f>
        <v>0</v>
      </c>
      <c r="G697" s="9">
        <f t="shared" si="22"/>
        <v>0</v>
      </c>
      <c r="H697" s="9" t="str">
        <f t="shared" si="21"/>
        <v>-</v>
      </c>
    </row>
    <row r="698" spans="1:8" x14ac:dyDescent="0.3">
      <c r="A698" s="3" t="str">
        <f>新!E697</f>
        <v>CRC32:D72E5A5F</v>
      </c>
      <c r="B698" s="3" t="str">
        <f>新!A697</f>
        <v>Mario\Mario Sports Superstars</v>
      </c>
      <c r="C698" s="3" t="str">
        <f>新!B697</f>
        <v>[MSS] 44 - Diddy Kong (Golf).bin</v>
      </c>
      <c r="D698" s="2" t="str">
        <f>IFERROR(INDEX(旧!A:A,MATCH(测试!A698,旧!E:E,0)),0)</f>
        <v>Mario\Mario Sports Superstars</v>
      </c>
      <c r="E698" s="2" t="str">
        <f>IFERROR(INDEX(旧!B:B,MATCH(测试!A698,旧!E:E,0)),0)</f>
        <v>[MSS] 44 - Diddy Kong (Golf).bin</v>
      </c>
      <c r="F698" s="9">
        <f>IFERROR(IF(B698=INDEX(转换!B:B,MATCH(D698,转换!A:A,0)),0,1),1)</f>
        <v>0</v>
      </c>
      <c r="G698" s="9">
        <f t="shared" si="22"/>
        <v>0</v>
      </c>
      <c r="H698" s="9" t="str">
        <f t="shared" si="21"/>
        <v>-</v>
      </c>
    </row>
    <row r="699" spans="1:8" x14ac:dyDescent="0.3">
      <c r="A699" s="3" t="str">
        <f>新!E698</f>
        <v>CRC32:4D15F883</v>
      </c>
      <c r="B699" s="3" t="str">
        <f>新!A698</f>
        <v>Mario\Mario Sports Superstars</v>
      </c>
      <c r="C699" s="3" t="str">
        <f>新!B698</f>
        <v>[MSS] 45 - Diddy Kong (Horse Racing).bin</v>
      </c>
      <c r="D699" s="2" t="str">
        <f>IFERROR(INDEX(旧!A:A,MATCH(测试!A699,旧!E:E,0)),0)</f>
        <v>Mario\Mario Sports Superstars</v>
      </c>
      <c r="E699" s="2" t="str">
        <f>IFERROR(INDEX(旧!B:B,MATCH(测试!A699,旧!E:E,0)),0)</f>
        <v>[MSS] 45 - Diddy Kong (Horse Racing).bin</v>
      </c>
      <c r="F699" s="9">
        <f>IFERROR(IF(B699=INDEX(转换!B:B,MATCH(D699,转换!A:A,0)),0,1),1)</f>
        <v>0</v>
      </c>
      <c r="G699" s="9">
        <f t="shared" si="22"/>
        <v>0</v>
      </c>
      <c r="H699" s="9" t="str">
        <f t="shared" si="21"/>
        <v>-</v>
      </c>
    </row>
    <row r="700" spans="1:8" x14ac:dyDescent="0.3">
      <c r="A700" s="3" t="str">
        <f>新!E699</f>
        <v>CRC32:D662617B</v>
      </c>
      <c r="B700" s="3" t="str">
        <f>新!A699</f>
        <v>Mario\Mario Sports Superstars</v>
      </c>
      <c r="C700" s="3" t="str">
        <f>新!B699</f>
        <v>[MSS] 46 - Bowser (Soccer).bin</v>
      </c>
      <c r="D700" s="2" t="str">
        <f>IFERROR(INDEX(旧!A:A,MATCH(测试!A700,旧!E:E,0)),0)</f>
        <v>Mario\Mario Sports Superstars</v>
      </c>
      <c r="E700" s="2" t="str">
        <f>IFERROR(INDEX(旧!B:B,MATCH(测试!A700,旧!E:E,0)),0)</f>
        <v>[MSS] 46 - Bowser (Soccer).bin</v>
      </c>
      <c r="F700" s="9">
        <f>IFERROR(IF(B700=INDEX(转换!B:B,MATCH(D700,转换!A:A,0)),0,1),1)</f>
        <v>0</v>
      </c>
      <c r="G700" s="9">
        <f t="shared" si="22"/>
        <v>0</v>
      </c>
      <c r="H700" s="9" t="str">
        <f t="shared" si="21"/>
        <v>-</v>
      </c>
    </row>
    <row r="701" spans="1:8" x14ac:dyDescent="0.3">
      <c r="A701" s="3" t="str">
        <f>新!E700</f>
        <v>CRC32:6FEF1D0D</v>
      </c>
      <c r="B701" s="3" t="str">
        <f>新!A700</f>
        <v>Mario\Mario Sports Superstars</v>
      </c>
      <c r="C701" s="3" t="str">
        <f>新!B700</f>
        <v>[MSS] 47 - Bowser (Baseball).bin</v>
      </c>
      <c r="D701" s="2" t="str">
        <f>IFERROR(INDEX(旧!A:A,MATCH(测试!A701,旧!E:E,0)),0)</f>
        <v>Mario\Mario Sports Superstars</v>
      </c>
      <c r="E701" s="2" t="str">
        <f>IFERROR(INDEX(旧!B:B,MATCH(测试!A701,旧!E:E,0)),0)</f>
        <v>[MSS] 47 - Bowser (Baseball).bin</v>
      </c>
      <c r="F701" s="9">
        <f>IFERROR(IF(B701=INDEX(转换!B:B,MATCH(D701,转换!A:A,0)),0,1),1)</f>
        <v>0</v>
      </c>
      <c r="G701" s="9">
        <f t="shared" si="22"/>
        <v>0</v>
      </c>
      <c r="H701" s="9" t="str">
        <f t="shared" si="21"/>
        <v>-</v>
      </c>
    </row>
    <row r="702" spans="1:8" x14ac:dyDescent="0.3">
      <c r="A702" s="3" t="str">
        <f>新!E701</f>
        <v>CRC32:2E96C833</v>
      </c>
      <c r="B702" s="3" t="str">
        <f>新!A701</f>
        <v>Mario\Mario Sports Superstars</v>
      </c>
      <c r="C702" s="3" t="str">
        <f>新!B701</f>
        <v>[MSS] 48 - Bowser (Tennis).bin</v>
      </c>
      <c r="D702" s="2" t="str">
        <f>IFERROR(INDEX(旧!A:A,MATCH(测试!A702,旧!E:E,0)),0)</f>
        <v>Mario\Mario Sports Superstars</v>
      </c>
      <c r="E702" s="2" t="str">
        <f>IFERROR(INDEX(旧!B:B,MATCH(测试!A702,旧!E:E,0)),0)</f>
        <v>[MSS] 48 - Bowser (Tennis).bin</v>
      </c>
      <c r="F702" s="9">
        <f>IFERROR(IF(B702=INDEX(转换!B:B,MATCH(D702,转换!A:A,0)),0,1),1)</f>
        <v>0</v>
      </c>
      <c r="G702" s="9">
        <f t="shared" si="22"/>
        <v>0</v>
      </c>
      <c r="H702" s="9" t="str">
        <f t="shared" si="21"/>
        <v>-</v>
      </c>
    </row>
    <row r="703" spans="1:8" x14ac:dyDescent="0.3">
      <c r="A703" s="3" t="str">
        <f>新!E702</f>
        <v>CRC32:EC5FA828</v>
      </c>
      <c r="B703" s="3" t="str">
        <f>新!A702</f>
        <v>Mario\Mario Sports Superstars</v>
      </c>
      <c r="C703" s="3" t="str">
        <f>新!B702</f>
        <v>[MSS] 49 - Bowser (Golf).bin</v>
      </c>
      <c r="D703" s="2" t="str">
        <f>IFERROR(INDEX(旧!A:A,MATCH(测试!A703,旧!E:E,0)),0)</f>
        <v>Mario\Mario Sports Superstars</v>
      </c>
      <c r="E703" s="2" t="str">
        <f>IFERROR(INDEX(旧!B:B,MATCH(测试!A703,旧!E:E,0)),0)</f>
        <v>[MSS] 49 - Bowser (Golf).bin</v>
      </c>
      <c r="F703" s="9">
        <f>IFERROR(IF(B703=INDEX(转换!B:B,MATCH(D703,转换!A:A,0)),0,1),1)</f>
        <v>0</v>
      </c>
      <c r="G703" s="9">
        <f t="shared" si="22"/>
        <v>0</v>
      </c>
      <c r="H703" s="9" t="str">
        <f t="shared" si="21"/>
        <v>-</v>
      </c>
    </row>
    <row r="704" spans="1:8" x14ac:dyDescent="0.3">
      <c r="A704" s="3" t="str">
        <f>新!E703</f>
        <v>CRC32:12106237</v>
      </c>
      <c r="B704" s="3" t="str">
        <f>新!A703</f>
        <v>Mario\Mario Sports Superstars</v>
      </c>
      <c r="C704" s="3" t="str">
        <f>新!B703</f>
        <v>[MSS] 50 - Bowser (Horse Racing).bin</v>
      </c>
      <c r="D704" s="2" t="str">
        <f>IFERROR(INDEX(旧!A:A,MATCH(测试!A704,旧!E:E,0)),0)</f>
        <v>Mario\Mario Sports Superstars</v>
      </c>
      <c r="E704" s="2" t="str">
        <f>IFERROR(INDEX(旧!B:B,MATCH(测试!A704,旧!E:E,0)),0)</f>
        <v>[MSS] 50 - Bowser (Horse Racing).bin</v>
      </c>
      <c r="F704" s="9">
        <f>IFERROR(IF(B704=INDEX(转换!B:B,MATCH(D704,转换!A:A,0)),0,1),1)</f>
        <v>0</v>
      </c>
      <c r="G704" s="9">
        <f t="shared" si="22"/>
        <v>0</v>
      </c>
      <c r="H704" s="9" t="str">
        <f t="shared" si="21"/>
        <v>-</v>
      </c>
    </row>
    <row r="705" spans="1:8" x14ac:dyDescent="0.3">
      <c r="A705" s="3" t="str">
        <f>新!E704</f>
        <v>CRC32:E163DD1A</v>
      </c>
      <c r="B705" s="3" t="str">
        <f>新!A704</f>
        <v>Mario\Mario Sports Superstars</v>
      </c>
      <c r="C705" s="3" t="str">
        <f>新!B704</f>
        <v>[MSS] 51 - Bowser Jr. (Soccer).bin</v>
      </c>
      <c r="D705" s="2" t="str">
        <f>IFERROR(INDEX(旧!A:A,MATCH(测试!A705,旧!E:E,0)),0)</f>
        <v>Mario\Mario Sports Superstars</v>
      </c>
      <c r="E705" s="2" t="str">
        <f>IFERROR(INDEX(旧!B:B,MATCH(测试!A705,旧!E:E,0)),0)</f>
        <v>[MSS] 51 - Bowser Jr. (Soccer).bin</v>
      </c>
      <c r="F705" s="9">
        <f>IFERROR(IF(B705=INDEX(转换!B:B,MATCH(D705,转换!A:A,0)),0,1),1)</f>
        <v>0</v>
      </c>
      <c r="G705" s="9">
        <f t="shared" si="22"/>
        <v>0</v>
      </c>
      <c r="H705" s="9" t="str">
        <f t="shared" si="21"/>
        <v>-</v>
      </c>
    </row>
    <row r="706" spans="1:8" x14ac:dyDescent="0.3">
      <c r="A706" s="3" t="str">
        <f>新!E705</f>
        <v>CRC32:1173E751</v>
      </c>
      <c r="B706" s="3" t="str">
        <f>新!A705</f>
        <v>Mario\Mario Sports Superstars</v>
      </c>
      <c r="C706" s="3" t="str">
        <f>新!B705</f>
        <v>[MSS] 52 - Bowser Jr. (Baseball).bin</v>
      </c>
      <c r="D706" s="2" t="str">
        <f>IFERROR(INDEX(旧!A:A,MATCH(测试!A706,旧!E:E,0)),0)</f>
        <v>Mario\Mario Sports Superstars</v>
      </c>
      <c r="E706" s="2" t="str">
        <f>IFERROR(INDEX(旧!B:B,MATCH(测试!A706,旧!E:E,0)),0)</f>
        <v>[MSS] 52 - Bowser Jr. (Baseball).bin</v>
      </c>
      <c r="F706" s="9">
        <f>IFERROR(IF(B706=INDEX(转换!B:B,MATCH(D706,转换!A:A,0)),0,1),1)</f>
        <v>0</v>
      </c>
      <c r="G706" s="9">
        <f t="shared" si="22"/>
        <v>0</v>
      </c>
      <c r="H706" s="9" t="str">
        <f t="shared" si="21"/>
        <v>-</v>
      </c>
    </row>
    <row r="707" spans="1:8" x14ac:dyDescent="0.3">
      <c r="A707" s="3" t="str">
        <f>新!E706</f>
        <v>CRC32:CC09AB76</v>
      </c>
      <c r="B707" s="3" t="str">
        <f>新!A706</f>
        <v>Mario\Mario Sports Superstars</v>
      </c>
      <c r="C707" s="3" t="str">
        <f>新!B706</f>
        <v>[MSS] 53 - Bowser Jr.  (Tennis).bin</v>
      </c>
      <c r="D707" s="2" t="str">
        <f>IFERROR(INDEX(旧!A:A,MATCH(测试!A707,旧!E:E,0)),0)</f>
        <v>Mario\Mario Sports Superstars</v>
      </c>
      <c r="E707" s="2" t="str">
        <f>IFERROR(INDEX(旧!B:B,MATCH(测试!A707,旧!E:E,0)),0)</f>
        <v>[MSS] 53 - Bowser Jr.  (Tennis).bin</v>
      </c>
      <c r="F707" s="9">
        <f>IFERROR(IF(B707=INDEX(转换!B:B,MATCH(D707,转换!A:A,0)),0,1),1)</f>
        <v>0</v>
      </c>
      <c r="G707" s="9">
        <f t="shared" si="22"/>
        <v>0</v>
      </c>
      <c r="H707" s="9" t="str">
        <f t="shared" si="21"/>
        <v>-</v>
      </c>
    </row>
    <row r="708" spans="1:8" x14ac:dyDescent="0.3">
      <c r="A708" s="3" t="str">
        <f>新!E707</f>
        <v>CRC32:8D4322E2</v>
      </c>
      <c r="B708" s="3" t="str">
        <f>新!A707</f>
        <v>Mario\Mario Sports Superstars</v>
      </c>
      <c r="C708" s="3" t="str">
        <f>新!B707</f>
        <v>[MSS] 54 - Bowser Jr. (Golf).bin</v>
      </c>
      <c r="D708" s="2" t="str">
        <f>IFERROR(INDEX(旧!A:A,MATCH(测试!A708,旧!E:E,0)),0)</f>
        <v>Mario\Mario Sports Superstars</v>
      </c>
      <c r="E708" s="2" t="str">
        <f>IFERROR(INDEX(旧!B:B,MATCH(测试!A708,旧!E:E,0)),0)</f>
        <v>[MSS] 54 - Bowser Jr. (Golf).bin</v>
      </c>
      <c r="F708" s="9">
        <f>IFERROR(IF(B708=INDEX(转换!B:B,MATCH(D708,转换!A:A,0)),0,1),1)</f>
        <v>0</v>
      </c>
      <c r="G708" s="9">
        <f t="shared" si="22"/>
        <v>0</v>
      </c>
      <c r="H708" s="9" t="str">
        <f t="shared" ref="H708:H771" si="23">_xlfn.IFS(F708+G708=0,"-",F708+G708=1,"文件名错误",F708+G708=2,"无此文件")</f>
        <v>-</v>
      </c>
    </row>
    <row r="709" spans="1:8" x14ac:dyDescent="0.3">
      <c r="A709" s="3" t="str">
        <f>新!E708</f>
        <v>CRC32:549A2060</v>
      </c>
      <c r="B709" s="3" t="str">
        <f>新!A708</f>
        <v>Mario\Mario Sports Superstars</v>
      </c>
      <c r="C709" s="3" t="str">
        <f>新!B708</f>
        <v>[MSS] 55 - Bowser Jr. (Horse Racing).bin</v>
      </c>
      <c r="D709" s="2" t="str">
        <f>IFERROR(INDEX(旧!A:A,MATCH(测试!A709,旧!E:E,0)),0)</f>
        <v>Mario\Mario Sports Superstars</v>
      </c>
      <c r="E709" s="2" t="str">
        <f>IFERROR(INDEX(旧!B:B,MATCH(测试!A709,旧!E:E,0)),0)</f>
        <v>[MSS] 55 - Bowser Jr. (Horse Racing).bin</v>
      </c>
      <c r="F709" s="9">
        <f>IFERROR(IF(B709=INDEX(转换!B:B,MATCH(D709,转换!A:A,0)),0,1),1)</f>
        <v>0</v>
      </c>
      <c r="G709" s="9">
        <f t="shared" si="22"/>
        <v>0</v>
      </c>
      <c r="H709" s="9" t="str">
        <f t="shared" si="23"/>
        <v>-</v>
      </c>
    </row>
    <row r="710" spans="1:8" x14ac:dyDescent="0.3">
      <c r="A710" s="3" t="str">
        <f>新!E709</f>
        <v>CRC32:C76EEB8F</v>
      </c>
      <c r="B710" s="3" t="str">
        <f>新!A709</f>
        <v>Mario\Mario Sports Superstars</v>
      </c>
      <c r="C710" s="3" t="str">
        <f>新!B709</f>
        <v>[MSS] 56 - Boo (Soccer).bin</v>
      </c>
      <c r="D710" s="2" t="str">
        <f>IFERROR(INDEX(旧!A:A,MATCH(测试!A710,旧!E:E,0)),0)</f>
        <v>Mario\Mario Sports Superstars</v>
      </c>
      <c r="E710" s="2" t="str">
        <f>IFERROR(INDEX(旧!B:B,MATCH(测试!A710,旧!E:E,0)),0)</f>
        <v>[MSS] 56 - Boo (Soccer).bin</v>
      </c>
      <c r="F710" s="9">
        <f>IFERROR(IF(B710=INDEX(转换!B:B,MATCH(D710,转换!A:A,0)),0,1),1)</f>
        <v>0</v>
      </c>
      <c r="G710" s="9">
        <f t="shared" si="22"/>
        <v>0</v>
      </c>
      <c r="H710" s="9" t="str">
        <f t="shared" si="23"/>
        <v>-</v>
      </c>
    </row>
    <row r="711" spans="1:8" x14ac:dyDescent="0.3">
      <c r="A711" s="3" t="str">
        <f>新!E710</f>
        <v>CRC32:78344431</v>
      </c>
      <c r="B711" s="3" t="str">
        <f>新!A710</f>
        <v>Mario\Mario Sports Superstars</v>
      </c>
      <c r="C711" s="3" t="str">
        <f>新!B710</f>
        <v>[MSS] 57 - Boo (Baseball).bin</v>
      </c>
      <c r="D711" s="2" t="str">
        <f>IFERROR(INDEX(旧!A:A,MATCH(测试!A711,旧!E:E,0)),0)</f>
        <v>Mario\Mario Sports Superstars</v>
      </c>
      <c r="E711" s="2" t="str">
        <f>IFERROR(INDEX(旧!B:B,MATCH(测试!A711,旧!E:E,0)),0)</f>
        <v>[MSS] 57 - Boo (Baseball).bin</v>
      </c>
      <c r="F711" s="9">
        <f>IFERROR(IF(B711=INDEX(转换!B:B,MATCH(D711,转换!A:A,0)),0,1),1)</f>
        <v>0</v>
      </c>
      <c r="G711" s="9">
        <f t="shared" si="22"/>
        <v>0</v>
      </c>
      <c r="H711" s="9" t="str">
        <f t="shared" si="23"/>
        <v>-</v>
      </c>
    </row>
    <row r="712" spans="1:8" x14ac:dyDescent="0.3">
      <c r="A712" s="3" t="str">
        <f>新!E711</f>
        <v>CRC32:2A4F83D8</v>
      </c>
      <c r="B712" s="3" t="str">
        <f>新!A711</f>
        <v>Mario\Mario Sports Superstars</v>
      </c>
      <c r="C712" s="3" t="str">
        <f>新!B711</f>
        <v>[MSS] 58 - Boo (Tennis).bin</v>
      </c>
      <c r="D712" s="2" t="str">
        <f>IFERROR(INDEX(旧!A:A,MATCH(测试!A712,旧!E:E,0)),0)</f>
        <v>Mario\Mario Sports Superstars</v>
      </c>
      <c r="E712" s="2" t="str">
        <f>IFERROR(INDEX(旧!B:B,MATCH(测试!A712,旧!E:E,0)),0)</f>
        <v>[MSS] 58 - Boo (Tennis).bin</v>
      </c>
      <c r="F712" s="9">
        <f>IFERROR(IF(B712=INDEX(转换!B:B,MATCH(D712,转换!A:A,0)),0,1),1)</f>
        <v>0</v>
      </c>
      <c r="G712" s="9">
        <f t="shared" si="22"/>
        <v>0</v>
      </c>
      <c r="H712" s="9" t="str">
        <f t="shared" si="23"/>
        <v>-</v>
      </c>
    </row>
    <row r="713" spans="1:8" x14ac:dyDescent="0.3">
      <c r="A713" s="3" t="str">
        <f>新!E712</f>
        <v>CRC32:ED076596</v>
      </c>
      <c r="B713" s="3" t="str">
        <f>新!A712</f>
        <v>Mario\Mario Sports Superstars</v>
      </c>
      <c r="C713" s="3" t="str">
        <f>新!B712</f>
        <v>[MSS] 59 - Boo (Golf).bin</v>
      </c>
      <c r="D713" s="2" t="str">
        <f>IFERROR(INDEX(旧!A:A,MATCH(测试!A713,旧!E:E,0)),0)</f>
        <v>Mario\Mario Sports Superstars</v>
      </c>
      <c r="E713" s="2" t="str">
        <f>IFERROR(INDEX(旧!B:B,MATCH(测试!A713,旧!E:E,0)),0)</f>
        <v>[MSS] 59 - Boo (Golf).bin</v>
      </c>
      <c r="F713" s="9">
        <f>IFERROR(IF(B713=INDEX(转换!B:B,MATCH(D713,转换!A:A,0)),0,1),1)</f>
        <v>0</v>
      </c>
      <c r="G713" s="9">
        <f t="shared" si="22"/>
        <v>0</v>
      </c>
      <c r="H713" s="9" t="str">
        <f t="shared" si="23"/>
        <v>-</v>
      </c>
    </row>
    <row r="714" spans="1:8" x14ac:dyDescent="0.3">
      <c r="A714" s="3" t="str">
        <f>新!E713</f>
        <v>CRC32:1BB912E6</v>
      </c>
      <c r="B714" s="3" t="str">
        <f>新!A713</f>
        <v>Mario\Mario Sports Superstars</v>
      </c>
      <c r="C714" s="3" t="str">
        <f>新!B713</f>
        <v>[MSS] 60 - Boo (Horse Racing).bin</v>
      </c>
      <c r="D714" s="2" t="str">
        <f>IFERROR(INDEX(旧!A:A,MATCH(测试!A714,旧!E:E,0)),0)</f>
        <v>Mario\Mario Sports Superstars</v>
      </c>
      <c r="E714" s="2" t="str">
        <f>IFERROR(INDEX(旧!B:B,MATCH(测试!A714,旧!E:E,0)),0)</f>
        <v>[MSS] 60 - Boo (Horse Racing).bin</v>
      </c>
      <c r="F714" s="9">
        <f>IFERROR(IF(B714=INDEX(转换!B:B,MATCH(D714,转换!A:A,0)),0,1),1)</f>
        <v>0</v>
      </c>
      <c r="G714" s="9">
        <f t="shared" si="22"/>
        <v>0</v>
      </c>
      <c r="H714" s="9" t="str">
        <f t="shared" si="23"/>
        <v>-</v>
      </c>
    </row>
    <row r="715" spans="1:8" x14ac:dyDescent="0.3">
      <c r="A715" s="3" t="str">
        <f>新!E714</f>
        <v>CRC32:E367C64D</v>
      </c>
      <c r="B715" s="3" t="str">
        <f>新!A714</f>
        <v>Mario\Mario Sports Superstars</v>
      </c>
      <c r="C715" s="3" t="str">
        <f>新!B714</f>
        <v>[MSS] 61 - Baby Mario (Soccer).bin</v>
      </c>
      <c r="D715" s="2" t="str">
        <f>IFERROR(INDEX(旧!A:A,MATCH(测试!A715,旧!E:E,0)),0)</f>
        <v>Mario\Mario Sports Superstars</v>
      </c>
      <c r="E715" s="2" t="str">
        <f>IFERROR(INDEX(旧!B:B,MATCH(测试!A715,旧!E:E,0)),0)</f>
        <v>[MSS] 61 - Baby Mario (Soccer).bin</v>
      </c>
      <c r="F715" s="9">
        <f>IFERROR(IF(B715=INDEX(转换!B:B,MATCH(D715,转换!A:A,0)),0,1),1)</f>
        <v>0</v>
      </c>
      <c r="G715" s="9">
        <f t="shared" si="22"/>
        <v>0</v>
      </c>
      <c r="H715" s="9" t="str">
        <f t="shared" si="23"/>
        <v>-</v>
      </c>
    </row>
    <row r="716" spans="1:8" x14ac:dyDescent="0.3">
      <c r="A716" s="3" t="str">
        <f>新!E715</f>
        <v>CRC32:10B6E82C</v>
      </c>
      <c r="B716" s="3" t="str">
        <f>新!A715</f>
        <v>Mario\Mario Sports Superstars</v>
      </c>
      <c r="C716" s="3" t="str">
        <f>新!B715</f>
        <v>[MSS] 62 - Baby Mario (Baseball).bin</v>
      </c>
      <c r="D716" s="2" t="str">
        <f>IFERROR(INDEX(旧!A:A,MATCH(测试!A716,旧!E:E,0)),0)</f>
        <v>Mario\Mario Sports Superstars</v>
      </c>
      <c r="E716" s="2" t="str">
        <f>IFERROR(INDEX(旧!B:B,MATCH(测试!A716,旧!E:E,0)),0)</f>
        <v>[MSS] 62 - Baby Mario (Baseball).bin</v>
      </c>
      <c r="F716" s="9">
        <f>IFERROR(IF(B716=INDEX(转换!B:B,MATCH(D716,转换!A:A,0)),0,1),1)</f>
        <v>0</v>
      </c>
      <c r="G716" s="9">
        <f t="shared" si="22"/>
        <v>0</v>
      </c>
      <c r="H716" s="9" t="str">
        <f t="shared" si="23"/>
        <v>-</v>
      </c>
    </row>
    <row r="717" spans="1:8" x14ac:dyDescent="0.3">
      <c r="A717" s="3" t="str">
        <f>新!E716</f>
        <v>CRC32:F765BC5D</v>
      </c>
      <c r="B717" s="3" t="str">
        <f>新!A716</f>
        <v>Mario\Mario Sports Superstars</v>
      </c>
      <c r="C717" s="3" t="str">
        <f>新!B716</f>
        <v>[MSS] 63 - Baby Mario (Tennis).bin</v>
      </c>
      <c r="D717" s="2" t="str">
        <f>IFERROR(INDEX(旧!A:A,MATCH(测试!A717,旧!E:E,0)),0)</f>
        <v>Mario\Mario Sports Superstars</v>
      </c>
      <c r="E717" s="2" t="str">
        <f>IFERROR(INDEX(旧!B:B,MATCH(测试!A717,旧!E:E,0)),0)</f>
        <v>[MSS] 63 - Baby Mario (Tennis).bin</v>
      </c>
      <c r="F717" s="9">
        <f>IFERROR(IF(B717=INDEX(转换!B:B,MATCH(D717,转换!A:A,0)),0,1),1)</f>
        <v>0</v>
      </c>
      <c r="G717" s="9">
        <f t="shared" si="22"/>
        <v>0</v>
      </c>
      <c r="H717" s="9" t="str">
        <f t="shared" si="23"/>
        <v>-</v>
      </c>
    </row>
    <row r="718" spans="1:8" x14ac:dyDescent="0.3">
      <c r="A718" s="3" t="str">
        <f>新!E717</f>
        <v>CRC32:43D5550F</v>
      </c>
      <c r="B718" s="3" t="str">
        <f>新!A717</f>
        <v>Mario\Mario Sports Superstars</v>
      </c>
      <c r="C718" s="3" t="str">
        <f>新!B717</f>
        <v>[MSS] 64 - Baby Mario (Golf).bin</v>
      </c>
      <c r="D718" s="2" t="str">
        <f>IFERROR(INDEX(旧!A:A,MATCH(测试!A718,旧!E:E,0)),0)</f>
        <v>Mario\Mario Sports Superstars</v>
      </c>
      <c r="E718" s="2" t="str">
        <f>IFERROR(INDEX(旧!B:B,MATCH(测试!A718,旧!E:E,0)),0)</f>
        <v>[MSS] 64 - Baby Mario (Golf).bin</v>
      </c>
      <c r="F718" s="9">
        <f>IFERROR(IF(B718=INDEX(转换!B:B,MATCH(D718,转换!A:A,0)),0,1),1)</f>
        <v>0</v>
      </c>
      <c r="G718" s="9">
        <f t="shared" si="22"/>
        <v>0</v>
      </c>
      <c r="H718" s="9" t="str">
        <f t="shared" si="23"/>
        <v>-</v>
      </c>
    </row>
    <row r="719" spans="1:8" x14ac:dyDescent="0.3">
      <c r="A719" s="3" t="str">
        <f>新!E718</f>
        <v>CRC32:40966C5A</v>
      </c>
      <c r="B719" s="3" t="str">
        <f>新!A718</f>
        <v>Mario\Mario Sports Superstars</v>
      </c>
      <c r="C719" s="3" t="str">
        <f>新!B718</f>
        <v>[MSS] 65 - Baby Mario (Horse Racing).bin</v>
      </c>
      <c r="D719" s="2" t="str">
        <f>IFERROR(INDEX(旧!A:A,MATCH(测试!A719,旧!E:E,0)),0)</f>
        <v>Mario\Mario Sports Superstars</v>
      </c>
      <c r="E719" s="2" t="str">
        <f>IFERROR(INDEX(旧!B:B,MATCH(测试!A719,旧!E:E,0)),0)</f>
        <v>[MSS] 65 - Baby Mario (Horse Racing).bin</v>
      </c>
      <c r="F719" s="9">
        <f>IFERROR(IF(B719=INDEX(转换!B:B,MATCH(D719,转换!A:A,0)),0,1),1)</f>
        <v>0</v>
      </c>
      <c r="G719" s="9">
        <f t="shared" si="22"/>
        <v>0</v>
      </c>
      <c r="H719" s="9" t="str">
        <f t="shared" si="23"/>
        <v>-</v>
      </c>
    </row>
    <row r="720" spans="1:8" x14ac:dyDescent="0.3">
      <c r="A720" s="3" t="str">
        <f>新!E719</f>
        <v>CRC32:1F31632F</v>
      </c>
      <c r="B720" s="3" t="str">
        <f>新!A719</f>
        <v>Mario\Mario Sports Superstars</v>
      </c>
      <c r="C720" s="3" t="str">
        <f>新!B719</f>
        <v>[MSS] 66 - Baby Luigi (Soccer).bin</v>
      </c>
      <c r="D720" s="2" t="str">
        <f>IFERROR(INDEX(旧!A:A,MATCH(测试!A720,旧!E:E,0)),0)</f>
        <v>Mario\Mario Sports Superstars</v>
      </c>
      <c r="E720" s="2" t="str">
        <f>IFERROR(INDEX(旧!B:B,MATCH(测试!A720,旧!E:E,0)),0)</f>
        <v>[MSS] 66 - Baby Luigi (Soccer).bin</v>
      </c>
      <c r="F720" s="9">
        <f>IFERROR(IF(B720=INDEX(转换!B:B,MATCH(D720,转换!A:A,0)),0,1),1)</f>
        <v>0</v>
      </c>
      <c r="G720" s="9">
        <f t="shared" si="22"/>
        <v>0</v>
      </c>
      <c r="H720" s="9" t="str">
        <f t="shared" si="23"/>
        <v>-</v>
      </c>
    </row>
    <row r="721" spans="1:8" x14ac:dyDescent="0.3">
      <c r="A721" s="3" t="str">
        <f>新!E720</f>
        <v>CRC32:6119193C</v>
      </c>
      <c r="B721" s="3" t="str">
        <f>新!A720</f>
        <v>Mario\Mario Sports Superstars</v>
      </c>
      <c r="C721" s="3" t="str">
        <f>新!B720</f>
        <v>[MSS] 67 - Baby Luigi (Baseball).bin</v>
      </c>
      <c r="D721" s="2" t="str">
        <f>IFERROR(INDEX(旧!A:A,MATCH(测试!A721,旧!E:E,0)),0)</f>
        <v>Mario\Mario Sports Superstars</v>
      </c>
      <c r="E721" s="2" t="str">
        <f>IFERROR(INDEX(旧!B:B,MATCH(测试!A721,旧!E:E,0)),0)</f>
        <v>[MSS] 67 - Baby Luigi (Baseball).bin</v>
      </c>
      <c r="F721" s="9">
        <f>IFERROR(IF(B721=INDEX(转换!B:B,MATCH(D721,转换!A:A,0)),0,1),1)</f>
        <v>0</v>
      </c>
      <c r="G721" s="9">
        <f t="shared" si="22"/>
        <v>0</v>
      </c>
      <c r="H721" s="9" t="str">
        <f t="shared" si="23"/>
        <v>-</v>
      </c>
    </row>
    <row r="722" spans="1:8" x14ac:dyDescent="0.3">
      <c r="A722" s="3" t="str">
        <f>新!E721</f>
        <v>CRC32:F9D53309</v>
      </c>
      <c r="B722" s="3" t="str">
        <f>新!A721</f>
        <v>Mario\Mario Sports Superstars</v>
      </c>
      <c r="C722" s="3" t="str">
        <f>新!B721</f>
        <v>[MSS] 68 - Baby Luigi (Tennis).bin</v>
      </c>
      <c r="D722" s="2" t="str">
        <f>IFERROR(INDEX(旧!A:A,MATCH(测试!A722,旧!E:E,0)),0)</f>
        <v>Mario\Mario Sports Superstars</v>
      </c>
      <c r="E722" s="2" t="str">
        <f>IFERROR(INDEX(旧!B:B,MATCH(测试!A722,旧!E:E,0)),0)</f>
        <v>[MSS] 68 - Baby Luigi (Tennis).bin</v>
      </c>
      <c r="F722" s="9">
        <f>IFERROR(IF(B722=INDEX(转换!B:B,MATCH(D722,转换!A:A,0)),0,1),1)</f>
        <v>0</v>
      </c>
      <c r="G722" s="9">
        <f t="shared" si="22"/>
        <v>0</v>
      </c>
      <c r="H722" s="9" t="str">
        <f t="shared" si="23"/>
        <v>-</v>
      </c>
    </row>
    <row r="723" spans="1:8" x14ac:dyDescent="0.3">
      <c r="A723" s="3" t="str">
        <f>新!E722</f>
        <v>CRC32:3AEB3DE3</v>
      </c>
      <c r="B723" s="3" t="str">
        <f>新!A722</f>
        <v>Mario\Mario Sports Superstars</v>
      </c>
      <c r="C723" s="3" t="str">
        <f>新!B722</f>
        <v>[MSS] 69 - Baby Luigi (Golf).bin</v>
      </c>
      <c r="D723" s="2" t="str">
        <f>IFERROR(INDEX(旧!A:A,MATCH(测试!A723,旧!E:E,0)),0)</f>
        <v>Mario\Mario Sports Superstars</v>
      </c>
      <c r="E723" s="2" t="str">
        <f>IFERROR(INDEX(旧!B:B,MATCH(测试!A723,旧!E:E,0)),0)</f>
        <v>[MSS] 69 - Baby Luigi (Golf).bin</v>
      </c>
      <c r="F723" s="9">
        <f>IFERROR(IF(B723=INDEX(转换!B:B,MATCH(D723,转换!A:A,0)),0,1),1)</f>
        <v>0</v>
      </c>
      <c r="G723" s="9">
        <f t="shared" si="22"/>
        <v>0</v>
      </c>
      <c r="H723" s="9" t="str">
        <f t="shared" si="23"/>
        <v>-</v>
      </c>
    </row>
    <row r="724" spans="1:8" x14ac:dyDescent="0.3">
      <c r="A724" s="3" t="str">
        <f>新!E723</f>
        <v>CRC32:36727BF7</v>
      </c>
      <c r="B724" s="3" t="str">
        <f>新!A723</f>
        <v>Mario\Mario Sports Superstars</v>
      </c>
      <c r="C724" s="3" t="str">
        <f>新!B723</f>
        <v>[MSS] 70 - Baby Luigi (Horse Racing).bin</v>
      </c>
      <c r="D724" s="2" t="str">
        <f>IFERROR(INDEX(旧!A:A,MATCH(测试!A724,旧!E:E,0)),0)</f>
        <v>Mario\Mario Sports Superstars</v>
      </c>
      <c r="E724" s="2" t="str">
        <f>IFERROR(INDEX(旧!B:B,MATCH(测试!A724,旧!E:E,0)),0)</f>
        <v>[MSS] 70 - Baby Luigi (Horse Racing).bin</v>
      </c>
      <c r="F724" s="9">
        <f>IFERROR(IF(B724=INDEX(转换!B:B,MATCH(D724,转换!A:A,0)),0,1),1)</f>
        <v>0</v>
      </c>
      <c r="G724" s="9">
        <f t="shared" si="22"/>
        <v>0</v>
      </c>
      <c r="H724" s="9" t="str">
        <f t="shared" si="23"/>
        <v>-</v>
      </c>
    </row>
    <row r="725" spans="1:8" x14ac:dyDescent="0.3">
      <c r="A725" s="3" t="str">
        <f>新!E724</f>
        <v>CRC32:712C06FA</v>
      </c>
      <c r="B725" s="3" t="str">
        <f>新!A724</f>
        <v>Mario\Mario Sports Superstars</v>
      </c>
      <c r="C725" s="3" t="str">
        <f>新!B724</f>
        <v>[MSS] 71 - Birdo (Soccer).bin</v>
      </c>
      <c r="D725" s="2" t="str">
        <f>IFERROR(INDEX(旧!A:A,MATCH(测试!A725,旧!E:E,0)),0)</f>
        <v>Mario\Mario Sports Superstars</v>
      </c>
      <c r="E725" s="2" t="str">
        <f>IFERROR(INDEX(旧!B:B,MATCH(测试!A725,旧!E:E,0)),0)</f>
        <v>[MSS] 71 - Birdo (Soccer).bin</v>
      </c>
      <c r="F725" s="9">
        <f>IFERROR(IF(B725=INDEX(转换!B:B,MATCH(D725,转换!A:A,0)),0,1),1)</f>
        <v>0</v>
      </c>
      <c r="G725" s="9">
        <f t="shared" si="22"/>
        <v>0</v>
      </c>
      <c r="H725" s="9" t="str">
        <f t="shared" si="23"/>
        <v>-</v>
      </c>
    </row>
    <row r="726" spans="1:8" x14ac:dyDescent="0.3">
      <c r="A726" s="3" t="str">
        <f>新!E725</f>
        <v>CRC32:32E6949F</v>
      </c>
      <c r="B726" s="3" t="str">
        <f>新!A725</f>
        <v>Mario\Mario Sports Superstars</v>
      </c>
      <c r="C726" s="3" t="str">
        <f>新!B725</f>
        <v>[MSS] 72 - Birdo (Baseball).bin</v>
      </c>
      <c r="D726" s="2" t="str">
        <f>IFERROR(INDEX(旧!A:A,MATCH(测试!A726,旧!E:E,0)),0)</f>
        <v>Mario\Mario Sports Superstars</v>
      </c>
      <c r="E726" s="2" t="str">
        <f>IFERROR(INDEX(旧!B:B,MATCH(测试!A726,旧!E:E,0)),0)</f>
        <v>[MSS] 72 - Birdo (Baseball).bin</v>
      </c>
      <c r="F726" s="9">
        <f>IFERROR(IF(B726=INDEX(转换!B:B,MATCH(D726,转换!A:A,0)),0,1),1)</f>
        <v>0</v>
      </c>
      <c r="G726" s="9">
        <f t="shared" si="22"/>
        <v>0</v>
      </c>
      <c r="H726" s="9" t="str">
        <f t="shared" si="23"/>
        <v>-</v>
      </c>
    </row>
    <row r="727" spans="1:8" x14ac:dyDescent="0.3">
      <c r="A727" s="3" t="str">
        <f>新!E726</f>
        <v>CRC32:662EAA01</v>
      </c>
      <c r="B727" s="3" t="str">
        <f>新!A726</f>
        <v>Mario\Mario Sports Superstars</v>
      </c>
      <c r="C727" s="3" t="str">
        <f>新!B726</f>
        <v>[MSS] 73 - Birdo (Tennis).bin</v>
      </c>
      <c r="D727" s="2" t="str">
        <f>IFERROR(INDEX(旧!A:A,MATCH(测试!A727,旧!E:E,0)),0)</f>
        <v>Mario\Mario Sports Superstars</v>
      </c>
      <c r="E727" s="2" t="str">
        <f>IFERROR(INDEX(旧!B:B,MATCH(测试!A727,旧!E:E,0)),0)</f>
        <v>[MSS] 73 - Birdo (Tennis).bin</v>
      </c>
      <c r="F727" s="9">
        <f>IFERROR(IF(B727=INDEX(转换!B:B,MATCH(D727,转换!A:A,0)),0,1),1)</f>
        <v>0</v>
      </c>
      <c r="G727" s="9">
        <f t="shared" si="22"/>
        <v>0</v>
      </c>
      <c r="H727" s="9" t="str">
        <f t="shared" si="23"/>
        <v>-</v>
      </c>
    </row>
    <row r="728" spans="1:8" x14ac:dyDescent="0.3">
      <c r="A728" s="3" t="str">
        <f>新!E727</f>
        <v>CRC32:B0AE5D85</v>
      </c>
      <c r="B728" s="3" t="str">
        <f>新!A727</f>
        <v>Mario\Mario Sports Superstars</v>
      </c>
      <c r="C728" s="3" t="str">
        <f>新!B727</f>
        <v>[MSS] 74 - Birdo (Golf).bin</v>
      </c>
      <c r="D728" s="2" t="str">
        <f>IFERROR(INDEX(旧!A:A,MATCH(测试!A728,旧!E:E,0)),0)</f>
        <v>Mario\Mario Sports Superstars</v>
      </c>
      <c r="E728" s="2" t="str">
        <f>IFERROR(INDEX(旧!B:B,MATCH(测试!A728,旧!E:E,0)),0)</f>
        <v>[MSS] 74 - Birdo (Golf).bin</v>
      </c>
      <c r="F728" s="9">
        <f>IFERROR(IF(B728=INDEX(转换!B:B,MATCH(D728,转换!A:A,0)),0,1),1)</f>
        <v>0</v>
      </c>
      <c r="G728" s="9">
        <f t="shared" si="22"/>
        <v>0</v>
      </c>
      <c r="H728" s="9" t="str">
        <f t="shared" si="23"/>
        <v>-</v>
      </c>
    </row>
    <row r="729" spans="1:8" x14ac:dyDescent="0.3">
      <c r="A729" s="3" t="str">
        <f>新!E728</f>
        <v>CRC32:167C6F63</v>
      </c>
      <c r="B729" s="3" t="str">
        <f>新!A728</f>
        <v>Mario\Mario Sports Superstars</v>
      </c>
      <c r="C729" s="3" t="str">
        <f>新!B728</f>
        <v>[MSS] 75 - Birdo (Horse Racing).bin</v>
      </c>
      <c r="D729" s="2" t="str">
        <f>IFERROR(INDEX(旧!A:A,MATCH(测试!A729,旧!E:E,0)),0)</f>
        <v>Mario\Mario Sports Superstars</v>
      </c>
      <c r="E729" s="2" t="str">
        <f>IFERROR(INDEX(旧!B:B,MATCH(测试!A729,旧!E:E,0)),0)</f>
        <v>[MSS] 75 - Birdo (Horse Racing).bin</v>
      </c>
      <c r="F729" s="9">
        <f>IFERROR(IF(B729=INDEX(转换!B:B,MATCH(D729,转换!A:A,0)),0,1),1)</f>
        <v>0</v>
      </c>
      <c r="G729" s="9">
        <f t="shared" si="22"/>
        <v>0</v>
      </c>
      <c r="H729" s="9" t="str">
        <f t="shared" si="23"/>
        <v>-</v>
      </c>
    </row>
    <row r="730" spans="1:8" x14ac:dyDescent="0.3">
      <c r="A730" s="3" t="str">
        <f>新!E729</f>
        <v>CRC32:BDEBFF54</v>
      </c>
      <c r="B730" s="3" t="str">
        <f>新!A729</f>
        <v>Mario\Mario Sports Superstars</v>
      </c>
      <c r="C730" s="3" t="str">
        <f>新!B729</f>
        <v>[MSS] 76 - Rosalina (Soccer).bin</v>
      </c>
      <c r="D730" s="2" t="str">
        <f>IFERROR(INDEX(旧!A:A,MATCH(测试!A730,旧!E:E,0)),0)</f>
        <v>Mario\Mario Sports Superstars</v>
      </c>
      <c r="E730" s="2" t="str">
        <f>IFERROR(INDEX(旧!B:B,MATCH(测试!A730,旧!E:E,0)),0)</f>
        <v>[MSS] 76 - Rosalina (Soccer).bin</v>
      </c>
      <c r="F730" s="9">
        <f>IFERROR(IF(B730=INDEX(转换!B:B,MATCH(D730,转换!A:A,0)),0,1),1)</f>
        <v>0</v>
      </c>
      <c r="G730" s="9">
        <f t="shared" si="22"/>
        <v>0</v>
      </c>
      <c r="H730" s="9" t="str">
        <f t="shared" si="23"/>
        <v>-</v>
      </c>
    </row>
    <row r="731" spans="1:8" x14ac:dyDescent="0.3">
      <c r="A731" s="3" t="str">
        <f>新!E730</f>
        <v>CRC32:1731377C</v>
      </c>
      <c r="B731" s="3" t="str">
        <f>新!A730</f>
        <v>Mario\Mario Sports Superstars</v>
      </c>
      <c r="C731" s="3" t="str">
        <f>新!B730</f>
        <v>[MSS] 77 - Rosalina (Baseball).bin</v>
      </c>
      <c r="D731" s="2" t="str">
        <f>IFERROR(INDEX(旧!A:A,MATCH(测试!A731,旧!E:E,0)),0)</f>
        <v>Mario\Mario Sports Superstars</v>
      </c>
      <c r="E731" s="2" t="str">
        <f>IFERROR(INDEX(旧!B:B,MATCH(测试!A731,旧!E:E,0)),0)</f>
        <v>[MSS] 77 - Rosalina (Baseball).bin</v>
      </c>
      <c r="F731" s="9">
        <f>IFERROR(IF(B731=INDEX(转换!B:B,MATCH(D731,转换!A:A,0)),0,1),1)</f>
        <v>0</v>
      </c>
      <c r="G731" s="9">
        <f t="shared" si="22"/>
        <v>0</v>
      </c>
      <c r="H731" s="9" t="str">
        <f t="shared" si="23"/>
        <v>-</v>
      </c>
    </row>
    <row r="732" spans="1:8" x14ac:dyDescent="0.3">
      <c r="A732" s="3" t="str">
        <f>新!E731</f>
        <v>CRC32:5B1B8059</v>
      </c>
      <c r="B732" s="3" t="str">
        <f>新!A731</f>
        <v>Mario\Mario Sports Superstars</v>
      </c>
      <c r="C732" s="3" t="str">
        <f>新!B731</f>
        <v>[MSS] 78 - Rosalina (Tennis).bin</v>
      </c>
      <c r="D732" s="2" t="str">
        <f>IFERROR(INDEX(旧!A:A,MATCH(测试!A732,旧!E:E,0)),0)</f>
        <v>Mario\Mario Sports Superstars</v>
      </c>
      <c r="E732" s="2" t="str">
        <f>IFERROR(INDEX(旧!B:B,MATCH(测试!A732,旧!E:E,0)),0)</f>
        <v>[MSS] 78 - Rosalina (Tennis).bin</v>
      </c>
      <c r="F732" s="9">
        <f>IFERROR(IF(B732=INDEX(转换!B:B,MATCH(D732,转换!A:A,0)),0,1),1)</f>
        <v>0</v>
      </c>
      <c r="G732" s="9">
        <f t="shared" si="22"/>
        <v>0</v>
      </c>
      <c r="H732" s="9" t="str">
        <f t="shared" si="23"/>
        <v>-</v>
      </c>
    </row>
    <row r="733" spans="1:8" x14ac:dyDescent="0.3">
      <c r="A733" s="3" t="str">
        <f>新!E732</f>
        <v>CRC32:5A1F5D83</v>
      </c>
      <c r="B733" s="3" t="str">
        <f>新!A732</f>
        <v>Mario\Mario Sports Superstars</v>
      </c>
      <c r="C733" s="3" t="str">
        <f>新!B732</f>
        <v>[MSS] 79 - Rosalina (Golf).bin</v>
      </c>
      <c r="D733" s="2" t="str">
        <f>IFERROR(INDEX(旧!A:A,MATCH(测试!A733,旧!E:E,0)),0)</f>
        <v>Mario\Mario Sports Superstars</v>
      </c>
      <c r="E733" s="2" t="str">
        <f>IFERROR(INDEX(旧!B:B,MATCH(测试!A733,旧!E:E,0)),0)</f>
        <v>[MSS] 79 - Rosalina (Golf).bin</v>
      </c>
      <c r="F733" s="9">
        <f>IFERROR(IF(B733=INDEX(转换!B:B,MATCH(D733,转换!A:A,0)),0,1),1)</f>
        <v>0</v>
      </c>
      <c r="G733" s="9">
        <f t="shared" si="22"/>
        <v>0</v>
      </c>
      <c r="H733" s="9" t="str">
        <f t="shared" si="23"/>
        <v>-</v>
      </c>
    </row>
    <row r="734" spans="1:8" x14ac:dyDescent="0.3">
      <c r="A734" s="3" t="str">
        <f>新!E733</f>
        <v>CRC32:945FBA84</v>
      </c>
      <c r="B734" s="3" t="str">
        <f>新!A733</f>
        <v>Mario\Mario Sports Superstars</v>
      </c>
      <c r="C734" s="3" t="str">
        <f>新!B733</f>
        <v>[MSS] 80 - Rosalina (Horse Racing).bin</v>
      </c>
      <c r="D734" s="2" t="str">
        <f>IFERROR(INDEX(旧!A:A,MATCH(测试!A734,旧!E:E,0)),0)</f>
        <v>Mario\Mario Sports Superstars</v>
      </c>
      <c r="E734" s="2" t="str">
        <f>IFERROR(INDEX(旧!B:B,MATCH(测试!A734,旧!E:E,0)),0)</f>
        <v>[MSS] 80 - Rosalina (Horse Racing).bin</v>
      </c>
      <c r="F734" s="9">
        <f>IFERROR(IF(B734=INDEX(转换!B:B,MATCH(D734,转换!A:A,0)),0,1),1)</f>
        <v>0</v>
      </c>
      <c r="G734" s="9">
        <f t="shared" si="22"/>
        <v>0</v>
      </c>
      <c r="H734" s="9" t="str">
        <f t="shared" si="23"/>
        <v>-</v>
      </c>
    </row>
    <row r="735" spans="1:8" x14ac:dyDescent="0.3">
      <c r="A735" s="3" t="str">
        <f>新!E734</f>
        <v>CRC32:36856A9C</v>
      </c>
      <c r="B735" s="3" t="str">
        <f>新!A734</f>
        <v>Mario\Mario Sports Superstars</v>
      </c>
      <c r="C735" s="3" t="str">
        <f>新!B734</f>
        <v>[MSS] 81 - Metal Mario (Soccer).bin</v>
      </c>
      <c r="D735" s="2" t="str">
        <f>IFERROR(INDEX(旧!A:A,MATCH(测试!A735,旧!E:E,0)),0)</f>
        <v>Mario\Mario Sports Superstars</v>
      </c>
      <c r="E735" s="2" t="str">
        <f>IFERROR(INDEX(旧!B:B,MATCH(测试!A735,旧!E:E,0)),0)</f>
        <v>[MSS] 81 - Metal Mario (Soccer).bin</v>
      </c>
      <c r="F735" s="9">
        <f>IFERROR(IF(B735=INDEX(转换!B:B,MATCH(D735,转换!A:A,0)),0,1),1)</f>
        <v>0</v>
      </c>
      <c r="G735" s="9">
        <f t="shared" si="22"/>
        <v>0</v>
      </c>
      <c r="H735" s="9" t="str">
        <f t="shared" si="23"/>
        <v>-</v>
      </c>
    </row>
    <row r="736" spans="1:8" x14ac:dyDescent="0.3">
      <c r="A736" s="3" t="str">
        <f>新!E735</f>
        <v>CRC32:DBB7B740</v>
      </c>
      <c r="B736" s="3" t="str">
        <f>新!A735</f>
        <v>Mario\Mario Sports Superstars</v>
      </c>
      <c r="C736" s="3" t="str">
        <f>新!B735</f>
        <v>[MSS] 82 - Metal Mario (Baseball).bin</v>
      </c>
      <c r="D736" s="2" t="str">
        <f>IFERROR(INDEX(旧!A:A,MATCH(测试!A736,旧!E:E,0)),0)</f>
        <v>Mario\Mario Sports Superstars</v>
      </c>
      <c r="E736" s="2" t="str">
        <f>IFERROR(INDEX(旧!B:B,MATCH(测试!A736,旧!E:E,0)),0)</f>
        <v>[MSS] 82 - Metal Mario (Baseball).bin</v>
      </c>
      <c r="F736" s="9">
        <f>IFERROR(IF(B736=INDEX(转换!B:B,MATCH(D736,转换!A:A,0)),0,1),1)</f>
        <v>0</v>
      </c>
      <c r="G736" s="9">
        <f t="shared" si="22"/>
        <v>0</v>
      </c>
      <c r="H736" s="9" t="str">
        <f t="shared" si="23"/>
        <v>-</v>
      </c>
    </row>
    <row r="737" spans="1:8" x14ac:dyDescent="0.3">
      <c r="A737" s="3" t="str">
        <f>新!E736</f>
        <v>CRC32:0C7FBDA4</v>
      </c>
      <c r="B737" s="3" t="str">
        <f>新!A736</f>
        <v>Mario\Mario Sports Superstars</v>
      </c>
      <c r="C737" s="3" t="str">
        <f>新!B736</f>
        <v>[MSS] 83 - Metal Mario (Tennis).bin</v>
      </c>
      <c r="D737" s="2" t="str">
        <f>IFERROR(INDEX(旧!A:A,MATCH(测试!A737,旧!E:E,0)),0)</f>
        <v>Mario\Mario Sports Superstars</v>
      </c>
      <c r="E737" s="2" t="str">
        <f>IFERROR(INDEX(旧!B:B,MATCH(测试!A737,旧!E:E,0)),0)</f>
        <v>[MSS] 83 - Metal Mario (Tennis).bin</v>
      </c>
      <c r="F737" s="9">
        <f>IFERROR(IF(B737=INDEX(转换!B:B,MATCH(D737,转换!A:A,0)),0,1),1)</f>
        <v>0</v>
      </c>
      <c r="G737" s="9">
        <f t="shared" si="22"/>
        <v>0</v>
      </c>
      <c r="H737" s="9" t="str">
        <f t="shared" si="23"/>
        <v>-</v>
      </c>
    </row>
    <row r="738" spans="1:8" x14ac:dyDescent="0.3">
      <c r="A738" s="3" t="str">
        <f>新!E737</f>
        <v>CRC32:CED54304</v>
      </c>
      <c r="B738" s="3" t="str">
        <f>新!A737</f>
        <v>Mario\Mario Sports Superstars</v>
      </c>
      <c r="C738" s="3" t="str">
        <f>新!B737</f>
        <v>[MSS] 84 - Metal Mario (Golf).bin</v>
      </c>
      <c r="D738" s="2" t="str">
        <f>IFERROR(INDEX(旧!A:A,MATCH(测试!A738,旧!E:E,0)),0)</f>
        <v>Mario\Mario Sports Superstars</v>
      </c>
      <c r="E738" s="2" t="str">
        <f>IFERROR(INDEX(旧!B:B,MATCH(测试!A738,旧!E:E,0)),0)</f>
        <v>[MSS] 84 - Metal Mario (Golf).bin</v>
      </c>
      <c r="F738" s="9">
        <f>IFERROR(IF(B738=INDEX(转换!B:B,MATCH(D738,转换!A:A,0)),0,1),1)</f>
        <v>0</v>
      </c>
      <c r="G738" s="9">
        <f t="shared" si="22"/>
        <v>0</v>
      </c>
      <c r="H738" s="9" t="str">
        <f t="shared" si="23"/>
        <v>-</v>
      </c>
    </row>
    <row r="739" spans="1:8" x14ac:dyDescent="0.3">
      <c r="A739" s="3" t="str">
        <f>新!E738</f>
        <v>CRC32:A1EBB303</v>
      </c>
      <c r="B739" s="3" t="str">
        <f>新!A738</f>
        <v>Mario\Mario Sports Superstars</v>
      </c>
      <c r="C739" s="3" t="str">
        <f>新!B738</f>
        <v>[MSS] 85 - Metal Mario (Horse Racing).bin</v>
      </c>
      <c r="D739" s="2" t="str">
        <f>IFERROR(INDEX(旧!A:A,MATCH(测试!A739,旧!E:E,0)),0)</f>
        <v>Mario\Mario Sports Superstars</v>
      </c>
      <c r="E739" s="2" t="str">
        <f>IFERROR(INDEX(旧!B:B,MATCH(测试!A739,旧!E:E,0)),0)</f>
        <v>[MSS] 85 - Metal Mario (Horse Racing).bin</v>
      </c>
      <c r="F739" s="9">
        <f>IFERROR(IF(B739=INDEX(转换!B:B,MATCH(D739,转换!A:A,0)),0,1),1)</f>
        <v>0</v>
      </c>
      <c r="G739" s="9">
        <f t="shared" si="22"/>
        <v>0</v>
      </c>
      <c r="H739" s="9" t="str">
        <f t="shared" si="23"/>
        <v>-</v>
      </c>
    </row>
    <row r="740" spans="1:8" x14ac:dyDescent="0.3">
      <c r="A740" s="3" t="str">
        <f>新!E739</f>
        <v>CRC32:171F162F</v>
      </c>
      <c r="B740" s="3" t="str">
        <f>新!A739</f>
        <v>Mario\Mario Sports Superstars</v>
      </c>
      <c r="C740" s="3" t="str">
        <f>新!B739</f>
        <v>[MSS] 86 - Pink Gold Peach (Soccer).bin</v>
      </c>
      <c r="D740" s="2" t="str">
        <f>IFERROR(INDEX(旧!A:A,MATCH(测试!A740,旧!E:E,0)),0)</f>
        <v>Mario\Mario Sports Superstars</v>
      </c>
      <c r="E740" s="2" t="str">
        <f>IFERROR(INDEX(旧!B:B,MATCH(测试!A740,旧!E:E,0)),0)</f>
        <v>[MSS] 86 - Pink Gold Peach (Soccer).bin</v>
      </c>
      <c r="F740" s="9">
        <f>IFERROR(IF(B740=INDEX(转换!B:B,MATCH(D740,转换!A:A,0)),0,1),1)</f>
        <v>0</v>
      </c>
      <c r="G740" s="9">
        <f t="shared" si="22"/>
        <v>0</v>
      </c>
      <c r="H740" s="9" t="str">
        <f t="shared" si="23"/>
        <v>-</v>
      </c>
    </row>
    <row r="741" spans="1:8" x14ac:dyDescent="0.3">
      <c r="A741" s="3" t="str">
        <f>新!E740</f>
        <v>CRC32:DFE2DEBF</v>
      </c>
      <c r="B741" s="3" t="str">
        <f>新!A740</f>
        <v>Mario\Mario Sports Superstars</v>
      </c>
      <c r="C741" s="3" t="str">
        <f>新!B740</f>
        <v>[MSS] 87 - Pink Gold Peach (Baseball).bin</v>
      </c>
      <c r="D741" s="2" t="str">
        <f>IFERROR(INDEX(旧!A:A,MATCH(测试!A741,旧!E:E,0)),0)</f>
        <v>Mario\Mario Sports Superstars</v>
      </c>
      <c r="E741" s="2" t="str">
        <f>IFERROR(INDEX(旧!B:B,MATCH(测试!A741,旧!E:E,0)),0)</f>
        <v>[MSS] 87 - Pink Gold Peach (Baseball).bin</v>
      </c>
      <c r="F741" s="9">
        <f>IFERROR(IF(B741=INDEX(转换!B:B,MATCH(D741,转换!A:A,0)),0,1),1)</f>
        <v>0</v>
      </c>
      <c r="G741" s="9">
        <f t="shared" si="22"/>
        <v>0</v>
      </c>
      <c r="H741" s="9" t="str">
        <f t="shared" si="23"/>
        <v>-</v>
      </c>
    </row>
    <row r="742" spans="1:8" x14ac:dyDescent="0.3">
      <c r="A742" s="3" t="str">
        <f>新!E741</f>
        <v>CRC32:4DA15823</v>
      </c>
      <c r="B742" s="3" t="str">
        <f>新!A741</f>
        <v>Mario\Mario Sports Superstars</v>
      </c>
      <c r="C742" s="3" t="str">
        <f>新!B741</f>
        <v>[MSS] 88 - Pink Gold Peach (Tennis).bin</v>
      </c>
      <c r="D742" s="2" t="str">
        <f>IFERROR(INDEX(旧!A:A,MATCH(测试!A742,旧!E:E,0)),0)</f>
        <v>Mario\Mario Sports Superstars</v>
      </c>
      <c r="E742" s="2" t="str">
        <f>IFERROR(INDEX(旧!B:B,MATCH(测试!A742,旧!E:E,0)),0)</f>
        <v>[MSS] 88 - Pink Gold Peach (Tennis).bin</v>
      </c>
      <c r="F742" s="9">
        <f>IFERROR(IF(B742=INDEX(转换!B:B,MATCH(D742,转换!A:A,0)),0,1),1)</f>
        <v>0</v>
      </c>
      <c r="G742" s="9">
        <f t="shared" si="22"/>
        <v>0</v>
      </c>
      <c r="H742" s="9" t="str">
        <f t="shared" si="23"/>
        <v>-</v>
      </c>
    </row>
    <row r="743" spans="1:8" x14ac:dyDescent="0.3">
      <c r="A743" s="3" t="str">
        <f>新!E742</f>
        <v>CRC32:9B4FDE95</v>
      </c>
      <c r="B743" s="3" t="str">
        <f>新!A742</f>
        <v>Mario\Mario Sports Superstars</v>
      </c>
      <c r="C743" s="3" t="str">
        <f>新!B742</f>
        <v>[MSS] 89 - Pink Gold Peach (Golf).bin</v>
      </c>
      <c r="D743" s="2" t="str">
        <f>IFERROR(INDEX(旧!A:A,MATCH(测试!A743,旧!E:E,0)),0)</f>
        <v>Mario\Mario Sports Superstars</v>
      </c>
      <c r="E743" s="2" t="str">
        <f>IFERROR(INDEX(旧!B:B,MATCH(测试!A743,旧!E:E,0)),0)</f>
        <v>[MSS] 89 - Pink Gold Peach (Golf).bin</v>
      </c>
      <c r="F743" s="9">
        <f>IFERROR(IF(B743=INDEX(转换!B:B,MATCH(D743,转换!A:A,0)),0,1),1)</f>
        <v>0</v>
      </c>
      <c r="G743" s="9">
        <f t="shared" si="22"/>
        <v>0</v>
      </c>
      <c r="H743" s="9" t="str">
        <f t="shared" si="23"/>
        <v>-</v>
      </c>
    </row>
    <row r="744" spans="1:8" x14ac:dyDescent="0.3">
      <c r="A744" s="3" t="str">
        <f>新!E743</f>
        <v>CRC32:9346321C</v>
      </c>
      <c r="B744" s="3" t="str">
        <f>新!A743</f>
        <v>Mario\Mario Sports Superstars</v>
      </c>
      <c r="C744" s="3" t="str">
        <f>新!B743</f>
        <v>[MSS] 90 - Pink Gold Peach (Horse Racing).bin</v>
      </c>
      <c r="D744" s="2" t="str">
        <f>IFERROR(INDEX(旧!A:A,MATCH(测试!A744,旧!E:E,0)),0)</f>
        <v>Mario\Mario Sports Superstars</v>
      </c>
      <c r="E744" s="2" t="str">
        <f>IFERROR(INDEX(旧!B:B,MATCH(测试!A744,旧!E:E,0)),0)</f>
        <v>[MSS] 90 - Pink Gold Peach (Horse Racing).bin</v>
      </c>
      <c r="F744" s="9">
        <f>IFERROR(IF(B744=INDEX(转换!B:B,MATCH(D744,转换!A:A,0)),0,1),1)</f>
        <v>0</v>
      </c>
      <c r="G744" s="9">
        <f t="shared" si="22"/>
        <v>0</v>
      </c>
      <c r="H744" s="9" t="str">
        <f t="shared" si="23"/>
        <v>-</v>
      </c>
    </row>
    <row r="745" spans="1:8" x14ac:dyDescent="0.3">
      <c r="A745" s="3" t="str">
        <f>新!E744</f>
        <v>CRC32:7FCB87B7</v>
      </c>
      <c r="B745" s="3" t="str">
        <f>新!A744</f>
        <v>Mario\My Mario Wooden Blocks</v>
      </c>
      <c r="C745" s="3" t="str">
        <f>新!B744</f>
        <v>[MMB] 01 - Mario.bin</v>
      </c>
      <c r="D745" s="2">
        <f>IFERROR(INDEX(旧!A:A,MATCH(测试!A745,旧!E:E,0)),0)</f>
        <v>0</v>
      </c>
      <c r="E745" s="2">
        <f>IFERROR(INDEX(旧!B:B,MATCH(测试!A745,旧!E:E,0)),0)</f>
        <v>0</v>
      </c>
      <c r="F745" s="9">
        <f>IFERROR(IF(B745=INDEX(转换!B:B,MATCH(D745,转换!A:A,0)),0,1),1)</f>
        <v>1</v>
      </c>
      <c r="G745" s="9">
        <f t="shared" si="22"/>
        <v>1</v>
      </c>
      <c r="H745" s="9" t="str">
        <f t="shared" si="23"/>
        <v>无此文件</v>
      </c>
    </row>
    <row r="746" spans="1:8" x14ac:dyDescent="0.3">
      <c r="A746" s="3" t="str">
        <f>新!E745</f>
        <v>CRC32:3B653285</v>
      </c>
      <c r="B746" s="3" t="str">
        <f>新!A745</f>
        <v>Mario\My Mario Wooden Blocks</v>
      </c>
      <c r="C746" s="3" t="str">
        <f>新!B745</f>
        <v>[MMB] 02 - Luigi.bin</v>
      </c>
      <c r="D746" s="2">
        <f>IFERROR(INDEX(旧!A:A,MATCH(测试!A746,旧!E:E,0)),0)</f>
        <v>0</v>
      </c>
      <c r="E746" s="2">
        <f>IFERROR(INDEX(旧!B:B,MATCH(测试!A746,旧!E:E,0)),0)</f>
        <v>0</v>
      </c>
      <c r="F746" s="9">
        <f>IFERROR(IF(B746=INDEX(转换!B:B,MATCH(D746,转换!A:A,0)),0,1),1)</f>
        <v>1</v>
      </c>
      <c r="G746" s="9">
        <f t="shared" si="22"/>
        <v>1</v>
      </c>
      <c r="H746" s="9" t="str">
        <f t="shared" si="23"/>
        <v>无此文件</v>
      </c>
    </row>
    <row r="747" spans="1:8" x14ac:dyDescent="0.3">
      <c r="A747" s="3" t="str">
        <f>新!E746</f>
        <v>CRC32:DCF6F696</v>
      </c>
      <c r="B747" s="3" t="str">
        <f>新!A746</f>
        <v>Mario\My Mario Wooden Blocks</v>
      </c>
      <c r="C747" s="3" t="str">
        <f>新!B746</f>
        <v>[MMB] 03 - Peach.bin</v>
      </c>
      <c r="D747" s="2">
        <f>IFERROR(INDEX(旧!A:A,MATCH(测试!A747,旧!E:E,0)),0)</f>
        <v>0</v>
      </c>
      <c r="E747" s="2">
        <f>IFERROR(INDEX(旧!B:B,MATCH(测试!A747,旧!E:E,0)),0)</f>
        <v>0</v>
      </c>
      <c r="F747" s="9">
        <f>IFERROR(IF(B747=INDEX(转换!B:B,MATCH(D747,转换!A:A,0)),0,1),1)</f>
        <v>1</v>
      </c>
      <c r="G747" s="9">
        <f t="shared" si="22"/>
        <v>1</v>
      </c>
      <c r="H747" s="9" t="str">
        <f t="shared" si="23"/>
        <v>无此文件</v>
      </c>
    </row>
    <row r="748" spans="1:8" x14ac:dyDescent="0.3">
      <c r="A748" s="3" t="str">
        <f>新!E747</f>
        <v>CRC32:A57433F8</v>
      </c>
      <c r="B748" s="3" t="str">
        <f>新!A747</f>
        <v>Mario\My Mario Wooden Blocks</v>
      </c>
      <c r="C748" s="3" t="str">
        <f>新!B747</f>
        <v>[MMB] 04 - Yoshi.bin</v>
      </c>
      <c r="D748" s="2">
        <f>IFERROR(INDEX(旧!A:A,MATCH(测试!A748,旧!E:E,0)),0)</f>
        <v>0</v>
      </c>
      <c r="E748" s="2">
        <f>IFERROR(INDEX(旧!B:B,MATCH(测试!A748,旧!E:E,0)),0)</f>
        <v>0</v>
      </c>
      <c r="F748" s="9">
        <f>IFERROR(IF(B748=INDEX(转换!B:B,MATCH(D748,转换!A:A,0)),0,1),1)</f>
        <v>1</v>
      </c>
      <c r="G748" s="9">
        <f t="shared" ref="G748:G811" si="24">IF(E748=C748,0,1)</f>
        <v>1</v>
      </c>
      <c r="H748" s="9" t="str">
        <f t="shared" si="23"/>
        <v>无此文件</v>
      </c>
    </row>
    <row r="749" spans="1:8" x14ac:dyDescent="0.3">
      <c r="A749" s="3" t="str">
        <f>新!E748</f>
        <v>CRC32:B174F63D</v>
      </c>
      <c r="B749" s="3" t="str">
        <f>新!A748</f>
        <v>Mario\Super Mario Bros. 30th Anniversary</v>
      </c>
      <c r="C749" s="3" t="str">
        <f>新!B748</f>
        <v>[3AM] 01 - Mario Classic Colors.bin</v>
      </c>
      <c r="D749" s="2" t="str">
        <f>IFERROR(INDEX(旧!A:A,MATCH(测试!A749,旧!E:E,0)),0)</f>
        <v>Mario\Super Mario Bros. 30th Anniversary</v>
      </c>
      <c r="E749" s="2" t="str">
        <f>IFERROR(INDEX(旧!B:B,MATCH(测试!A749,旧!E:E,0)),0)</f>
        <v>[3AM] 01 - Mario Classic Colors.bin</v>
      </c>
      <c r="F749" s="9">
        <f>IFERROR(IF(B749=INDEX(转换!B:B,MATCH(D749,转换!A:A,0)),0,1),1)</f>
        <v>0</v>
      </c>
      <c r="G749" s="9">
        <f t="shared" si="24"/>
        <v>0</v>
      </c>
      <c r="H749" s="9" t="str">
        <f t="shared" si="23"/>
        <v>-</v>
      </c>
    </row>
    <row r="750" spans="1:8" x14ac:dyDescent="0.3">
      <c r="A750" s="3" t="str">
        <f>新!E749</f>
        <v>CRC32:2AD5DAB4</v>
      </c>
      <c r="B750" s="3" t="str">
        <f>新!A749</f>
        <v>Mario\Super Mario Bros. 30th Anniversary</v>
      </c>
      <c r="C750" s="3" t="str">
        <f>新!B749</f>
        <v>[3AM] 02 - Mario Modern Colors.bin</v>
      </c>
      <c r="D750" s="2" t="str">
        <f>IFERROR(INDEX(旧!A:A,MATCH(测试!A750,旧!E:E,0)),0)</f>
        <v>Mario\Super Mario Bros. 30th Anniversary</v>
      </c>
      <c r="E750" s="2" t="str">
        <f>IFERROR(INDEX(旧!B:B,MATCH(测试!A750,旧!E:E,0)),0)</f>
        <v>[3AM] 02 - Mario Modern Colors.bin</v>
      </c>
      <c r="F750" s="9">
        <f>IFERROR(IF(B750=INDEX(转换!B:B,MATCH(D750,转换!A:A,0)),0,1),1)</f>
        <v>0</v>
      </c>
      <c r="G750" s="9">
        <f t="shared" si="24"/>
        <v>0</v>
      </c>
      <c r="H750" s="9" t="str">
        <f t="shared" si="23"/>
        <v>-</v>
      </c>
    </row>
    <row r="751" spans="1:8" x14ac:dyDescent="0.3">
      <c r="A751" s="3" t="str">
        <f>新!E750</f>
        <v>CRC32:3DD7B13E</v>
      </c>
      <c r="B751" s="3" t="str">
        <f>新!A750</f>
        <v>Mario\Super Mario Cereal</v>
      </c>
      <c r="C751" s="3" t="str">
        <f>新!B750</f>
        <v>[SMC] 01 - Super Mario Cereal.bin</v>
      </c>
      <c r="D751" s="2" t="str">
        <f>IFERROR(INDEX(旧!A:A,MATCH(测试!A751,旧!E:E,0)),0)</f>
        <v>Mario\Super Mario Cereal</v>
      </c>
      <c r="E751" s="2" t="str">
        <f>IFERROR(INDEX(旧!B:B,MATCH(测试!A751,旧!E:E,0)),0)</f>
        <v>[SMC] 01 - Super Mario Cereal.bin</v>
      </c>
      <c r="F751" s="9">
        <f>IFERROR(IF(B751=INDEX(转换!B:B,MATCH(D751,转换!A:A,0)),0,1),1)</f>
        <v>0</v>
      </c>
      <c r="G751" s="9">
        <f t="shared" si="24"/>
        <v>0</v>
      </c>
      <c r="H751" s="9" t="str">
        <f t="shared" si="23"/>
        <v>-</v>
      </c>
    </row>
    <row r="752" spans="1:8" x14ac:dyDescent="0.3">
      <c r="A752" s="3" t="str">
        <f>新!E751</f>
        <v>CRC32:D90EDD24</v>
      </c>
      <c r="B752" s="3" t="str">
        <f>新!A751</f>
        <v>Mario\Super Mario Figures</v>
      </c>
      <c r="C752" s="3" t="str">
        <f>新!B751</f>
        <v>[SM] 01 - Mario.bin</v>
      </c>
      <c r="D752" s="2" t="str">
        <f>IFERROR(INDEX(旧!A:A,MATCH(测试!A752,旧!E:E,0)),0)</f>
        <v>Mario\Super Mario Figures</v>
      </c>
      <c r="E752" s="2" t="str">
        <f>IFERROR(INDEX(旧!B:B,MATCH(测试!A752,旧!E:E,0)),0)</f>
        <v>[SM] 01 - Mario.bin</v>
      </c>
      <c r="F752" s="9">
        <f>IFERROR(IF(B752=INDEX(转换!B:B,MATCH(D752,转换!A:A,0)),0,1),1)</f>
        <v>0</v>
      </c>
      <c r="G752" s="9">
        <f t="shared" si="24"/>
        <v>0</v>
      </c>
      <c r="H752" s="9" t="str">
        <f t="shared" si="23"/>
        <v>-</v>
      </c>
    </row>
    <row r="753" spans="1:8" x14ac:dyDescent="0.3">
      <c r="A753" s="3" t="str">
        <f>新!E752</f>
        <v>CRC32:6683898D</v>
      </c>
      <c r="B753" s="3" t="str">
        <f>新!A752</f>
        <v>Mario\Super Mario Figures</v>
      </c>
      <c r="C753" s="3" t="str">
        <f>新!B752</f>
        <v>[SM] 02 - Peach.bin</v>
      </c>
      <c r="D753" s="2" t="str">
        <f>IFERROR(INDEX(旧!A:A,MATCH(测试!A753,旧!E:E,0)),0)</f>
        <v>Mario\Super Mario Figures</v>
      </c>
      <c r="E753" s="2" t="str">
        <f>IFERROR(INDEX(旧!B:B,MATCH(测试!A753,旧!E:E,0)),0)</f>
        <v>[SM] 02 - Peach.bin</v>
      </c>
      <c r="F753" s="9">
        <f>IFERROR(IF(B753=INDEX(转换!B:B,MATCH(D753,转换!A:A,0)),0,1),1)</f>
        <v>0</v>
      </c>
      <c r="G753" s="9">
        <f t="shared" si="24"/>
        <v>0</v>
      </c>
      <c r="H753" s="9" t="str">
        <f t="shared" si="23"/>
        <v>-</v>
      </c>
    </row>
    <row r="754" spans="1:8" x14ac:dyDescent="0.3">
      <c r="A754" s="3" t="str">
        <f>新!E753</f>
        <v>CRC32:460784A6</v>
      </c>
      <c r="B754" s="3" t="str">
        <f>新!A753</f>
        <v>Mario\Super Mario Figures</v>
      </c>
      <c r="C754" s="3" t="str">
        <f>新!B753</f>
        <v>[SM] 03 - Toad.bin</v>
      </c>
      <c r="D754" s="2" t="str">
        <f>IFERROR(INDEX(旧!A:A,MATCH(测试!A754,旧!E:E,0)),0)</f>
        <v>Mario\Super Mario Figures</v>
      </c>
      <c r="E754" s="2" t="str">
        <f>IFERROR(INDEX(旧!B:B,MATCH(测试!A754,旧!E:E,0)),0)</f>
        <v>[SM] 03 - Toad.bin</v>
      </c>
      <c r="F754" s="9">
        <f>IFERROR(IF(B754=INDEX(转换!B:B,MATCH(D754,转换!A:A,0)),0,1),1)</f>
        <v>0</v>
      </c>
      <c r="G754" s="9">
        <f t="shared" si="24"/>
        <v>0</v>
      </c>
      <c r="H754" s="9" t="str">
        <f t="shared" si="23"/>
        <v>-</v>
      </c>
    </row>
    <row r="755" spans="1:8" x14ac:dyDescent="0.3">
      <c r="A755" s="3" t="str">
        <f>新!E754</f>
        <v>CRC32:8AD18F6A</v>
      </c>
      <c r="B755" s="3" t="str">
        <f>新!A754</f>
        <v>Mario\Super Mario Figures</v>
      </c>
      <c r="C755" s="3" t="str">
        <f>新!B754</f>
        <v>[SM] 04 - Luigi.bin</v>
      </c>
      <c r="D755" s="2" t="str">
        <f>IFERROR(INDEX(旧!A:A,MATCH(测试!A755,旧!E:E,0)),0)</f>
        <v>Mario\Super Mario Figures</v>
      </c>
      <c r="E755" s="2" t="str">
        <f>IFERROR(INDEX(旧!B:B,MATCH(测试!A755,旧!E:E,0)),0)</f>
        <v>[SM] 04 - Luigi.bin</v>
      </c>
      <c r="F755" s="9">
        <f>IFERROR(IF(B755=INDEX(转换!B:B,MATCH(D755,转换!A:A,0)),0,1),1)</f>
        <v>0</v>
      </c>
      <c r="G755" s="9">
        <f t="shared" si="24"/>
        <v>0</v>
      </c>
      <c r="H755" s="9" t="str">
        <f t="shared" si="23"/>
        <v>-</v>
      </c>
    </row>
    <row r="756" spans="1:8" x14ac:dyDescent="0.3">
      <c r="A756" s="3" t="str">
        <f>新!E755</f>
        <v>CRC32:42634292</v>
      </c>
      <c r="B756" s="3" t="str">
        <f>新!A755</f>
        <v>Mario\Super Mario Figures</v>
      </c>
      <c r="C756" s="3" t="str">
        <f>新!B755</f>
        <v>[SM] 05 - Yoshi.bin</v>
      </c>
      <c r="D756" s="2" t="str">
        <f>IFERROR(INDEX(旧!A:A,MATCH(测试!A756,旧!E:E,0)),0)</f>
        <v>Mario\Super Mario Figures</v>
      </c>
      <c r="E756" s="2" t="str">
        <f>IFERROR(INDEX(旧!B:B,MATCH(测试!A756,旧!E:E,0)),0)</f>
        <v>[SM] 05 - Yoshi.bin</v>
      </c>
      <c r="F756" s="9">
        <f>IFERROR(IF(B756=INDEX(转换!B:B,MATCH(D756,转换!A:A,0)),0,1),1)</f>
        <v>0</v>
      </c>
      <c r="G756" s="9">
        <f t="shared" si="24"/>
        <v>0</v>
      </c>
      <c r="H756" s="9" t="str">
        <f t="shared" si="23"/>
        <v>-</v>
      </c>
    </row>
    <row r="757" spans="1:8" x14ac:dyDescent="0.3">
      <c r="A757" s="3" t="str">
        <f>新!E756</f>
        <v>CRC32:5A55B678</v>
      </c>
      <c r="B757" s="3" t="str">
        <f>新!A756</f>
        <v>Mario\Super Mario Figures</v>
      </c>
      <c r="C757" s="3" t="str">
        <f>新!B756</f>
        <v>[SM] 06 - Bowser.bin</v>
      </c>
      <c r="D757" s="2" t="str">
        <f>IFERROR(INDEX(旧!A:A,MATCH(测试!A757,旧!E:E,0)),0)</f>
        <v>Mario\Super Mario Figures</v>
      </c>
      <c r="E757" s="2" t="str">
        <f>IFERROR(INDEX(旧!B:B,MATCH(测试!A757,旧!E:E,0)),0)</f>
        <v>[SM] 06 - Bowser.bin</v>
      </c>
      <c r="F757" s="9">
        <f>IFERROR(IF(B757=INDEX(转换!B:B,MATCH(D757,转换!A:A,0)),0,1),1)</f>
        <v>0</v>
      </c>
      <c r="G757" s="9">
        <f t="shared" si="24"/>
        <v>0</v>
      </c>
      <c r="H757" s="9" t="str">
        <f t="shared" si="23"/>
        <v>-</v>
      </c>
    </row>
    <row r="758" spans="1:8" x14ac:dyDescent="0.3">
      <c r="A758" s="3" t="str">
        <f>新!E757</f>
        <v>CRC32:85A9E618</v>
      </c>
      <c r="B758" s="3" t="str">
        <f>新!A757</f>
        <v>Mario\Super Mario Figures</v>
      </c>
      <c r="C758" s="3" t="str">
        <f>新!B757</f>
        <v>[SM] 07 - Mario (Gold Edition).bin</v>
      </c>
      <c r="D758" s="2" t="str">
        <f>IFERROR(INDEX(旧!A:A,MATCH(测试!A758,旧!E:E,0)),0)</f>
        <v>Mario\Super Mario Figures</v>
      </c>
      <c r="E758" s="2" t="str">
        <f>IFERROR(INDEX(旧!B:B,MATCH(测试!A758,旧!E:E,0)),0)</f>
        <v>[SM] 07 - Mario (Gold Edition).bin</v>
      </c>
      <c r="F758" s="9">
        <f>IFERROR(IF(B758=INDEX(转换!B:B,MATCH(D758,转换!A:A,0)),0,1),1)</f>
        <v>0</v>
      </c>
      <c r="G758" s="9">
        <f t="shared" si="24"/>
        <v>0</v>
      </c>
      <c r="H758" s="9" t="str">
        <f t="shared" si="23"/>
        <v>-</v>
      </c>
    </row>
    <row r="759" spans="1:8" x14ac:dyDescent="0.3">
      <c r="A759" s="3" t="str">
        <f>新!E758</f>
        <v>CRC32:0F4F0DDB</v>
      </c>
      <c r="B759" s="3" t="str">
        <f>新!A758</f>
        <v>Mario\Super Mario Figures</v>
      </c>
      <c r="C759" s="3" t="str">
        <f>新!B758</f>
        <v>[SM] 08 - Mario (Silver Edition).bin</v>
      </c>
      <c r="D759" s="2" t="str">
        <f>IFERROR(INDEX(旧!A:A,MATCH(测试!A759,旧!E:E,0)),0)</f>
        <v>Mario\Super Mario Figures</v>
      </c>
      <c r="E759" s="2" t="str">
        <f>IFERROR(INDEX(旧!B:B,MATCH(测试!A759,旧!E:E,0)),0)</f>
        <v>[SM] 08 - Mario (Silver Edition).bin</v>
      </c>
      <c r="F759" s="9">
        <f>IFERROR(IF(B759=INDEX(转换!B:B,MATCH(D759,转换!A:A,0)),0,1),1)</f>
        <v>0</v>
      </c>
      <c r="G759" s="9">
        <f t="shared" si="24"/>
        <v>0</v>
      </c>
      <c r="H759" s="9" t="str">
        <f t="shared" si="23"/>
        <v>-</v>
      </c>
    </row>
    <row r="760" spans="1:8" x14ac:dyDescent="0.3">
      <c r="A760" s="3" t="str">
        <f>新!E759</f>
        <v>CRC32:038C4743</v>
      </c>
      <c r="B760" s="3" t="str">
        <f>新!A759</f>
        <v>Mario\Super Mario Figures</v>
      </c>
      <c r="C760" s="3" t="str">
        <f>新!B759</f>
        <v>[SM] 09 - Wario.bin</v>
      </c>
      <c r="D760" s="2" t="str">
        <f>IFERROR(INDEX(旧!A:A,MATCH(测试!A760,旧!E:E,0)),0)</f>
        <v>Mario\Super Mario Figures</v>
      </c>
      <c r="E760" s="2" t="str">
        <f>IFERROR(INDEX(旧!B:B,MATCH(测试!A760,旧!E:E,0)),0)</f>
        <v>[SM] 09 - Wario.bin</v>
      </c>
      <c r="F760" s="9">
        <f>IFERROR(IF(B760=INDEX(转换!B:B,MATCH(D760,转换!A:A,0)),0,1),1)</f>
        <v>0</v>
      </c>
      <c r="G760" s="9">
        <f t="shared" si="24"/>
        <v>0</v>
      </c>
      <c r="H760" s="9" t="str">
        <f t="shared" si="23"/>
        <v>-</v>
      </c>
    </row>
    <row r="761" spans="1:8" x14ac:dyDescent="0.3">
      <c r="A761" s="3" t="str">
        <f>新!E760</f>
        <v>CRC32:D3AD54A2</v>
      </c>
      <c r="B761" s="3" t="str">
        <f>新!A760</f>
        <v>Mario\Super Mario Figures</v>
      </c>
      <c r="C761" s="3" t="str">
        <f>新!B760</f>
        <v>[SM] 10 - Waluigi.bin</v>
      </c>
      <c r="D761" s="2" t="str">
        <f>IFERROR(INDEX(旧!A:A,MATCH(测试!A761,旧!E:E,0)),0)</f>
        <v>Mario\Super Mario Figures</v>
      </c>
      <c r="E761" s="2" t="str">
        <f>IFERROR(INDEX(旧!B:B,MATCH(测试!A761,旧!E:E,0)),0)</f>
        <v>[SM] 10 - Waluigi.bin</v>
      </c>
      <c r="F761" s="9">
        <f>IFERROR(IF(B761=INDEX(转换!B:B,MATCH(D761,转换!A:A,0)),0,1),1)</f>
        <v>0</v>
      </c>
      <c r="G761" s="9">
        <f t="shared" si="24"/>
        <v>0</v>
      </c>
      <c r="H761" s="9" t="str">
        <f t="shared" si="23"/>
        <v>-</v>
      </c>
    </row>
    <row r="762" spans="1:8" x14ac:dyDescent="0.3">
      <c r="A762" s="3" t="str">
        <f>新!E761</f>
        <v>CRC32:977EE945</v>
      </c>
      <c r="B762" s="3" t="str">
        <f>新!A761</f>
        <v>Mario\Super Mario Figures</v>
      </c>
      <c r="C762" s="3" t="str">
        <f>新!B761</f>
        <v>[SM] 11 - Daisy.bin</v>
      </c>
      <c r="D762" s="2" t="str">
        <f>IFERROR(INDEX(旧!A:A,MATCH(测试!A762,旧!E:E,0)),0)</f>
        <v>Mario\Super Mario Figures</v>
      </c>
      <c r="E762" s="2" t="str">
        <f>IFERROR(INDEX(旧!B:B,MATCH(测试!A762,旧!E:E,0)),0)</f>
        <v>[SM] 11 - Daisy.bin</v>
      </c>
      <c r="F762" s="9">
        <f>IFERROR(IF(B762=INDEX(转换!B:B,MATCH(D762,转换!A:A,0)),0,1),1)</f>
        <v>0</v>
      </c>
      <c r="G762" s="9">
        <f t="shared" si="24"/>
        <v>0</v>
      </c>
      <c r="H762" s="9" t="str">
        <f t="shared" si="23"/>
        <v>-</v>
      </c>
    </row>
    <row r="763" spans="1:8" x14ac:dyDescent="0.3">
      <c r="A763" s="3" t="str">
        <f>新!E762</f>
        <v>CRC32:2B262D80</v>
      </c>
      <c r="B763" s="3" t="str">
        <f>新!A762</f>
        <v>Mario\Super Mario Figures</v>
      </c>
      <c r="C763" s="3" t="str">
        <f>新!B762</f>
        <v>[SM] 12 - Rosalina.bin</v>
      </c>
      <c r="D763" s="2" t="str">
        <f>IFERROR(INDEX(旧!A:A,MATCH(测试!A763,旧!E:E,0)),0)</f>
        <v>Mario\Super Mario Figures</v>
      </c>
      <c r="E763" s="2" t="str">
        <f>IFERROR(INDEX(旧!B:B,MATCH(测试!A763,旧!E:E,0)),0)</f>
        <v>[SM] 12 - Rosalina.bin</v>
      </c>
      <c r="F763" s="9">
        <f>IFERROR(IF(B763=INDEX(转换!B:B,MATCH(D763,转换!A:A,0)),0,1),1)</f>
        <v>0</v>
      </c>
      <c r="G763" s="9">
        <f t="shared" si="24"/>
        <v>0</v>
      </c>
      <c r="H763" s="9" t="str">
        <f t="shared" si="23"/>
        <v>-</v>
      </c>
    </row>
    <row r="764" spans="1:8" x14ac:dyDescent="0.3">
      <c r="A764" s="3" t="str">
        <f>新!E763</f>
        <v>CRC32:12F03505</v>
      </c>
      <c r="B764" s="3" t="str">
        <f>新!A763</f>
        <v>Mario\Super Mario Figures</v>
      </c>
      <c r="C764" s="3" t="str">
        <f>新!B763</f>
        <v>[SM] 13 - Donkey Kong.bin</v>
      </c>
      <c r="D764" s="2" t="str">
        <f>IFERROR(INDEX(旧!A:A,MATCH(测试!A764,旧!E:E,0)),0)</f>
        <v>Mario\Super Mario Figures</v>
      </c>
      <c r="E764" s="2" t="str">
        <f>IFERROR(INDEX(旧!B:B,MATCH(测试!A764,旧!E:E,0)),0)</f>
        <v>[SM] 13 - Donkey Kong.bin</v>
      </c>
      <c r="F764" s="9">
        <f>IFERROR(IF(B764=INDEX(转换!B:B,MATCH(D764,转换!A:A,0)),0,1),1)</f>
        <v>0</v>
      </c>
      <c r="G764" s="9">
        <f t="shared" si="24"/>
        <v>0</v>
      </c>
      <c r="H764" s="9" t="str">
        <f t="shared" si="23"/>
        <v>-</v>
      </c>
    </row>
    <row r="765" spans="1:8" x14ac:dyDescent="0.3">
      <c r="A765" s="3" t="str">
        <f>新!E764</f>
        <v>CRC32:75ABA3AF</v>
      </c>
      <c r="B765" s="3" t="str">
        <f>新!A764</f>
        <v>Mario\Super Mario Figures</v>
      </c>
      <c r="C765" s="3" t="str">
        <f>新!B764</f>
        <v>[SM] 14 - Diddy Kong.bin</v>
      </c>
      <c r="D765" s="2" t="str">
        <f>IFERROR(INDEX(旧!A:A,MATCH(测试!A765,旧!E:E,0)),0)</f>
        <v>Mario\Super Mario Figures</v>
      </c>
      <c r="E765" s="2" t="str">
        <f>IFERROR(INDEX(旧!B:B,MATCH(测试!A765,旧!E:E,0)),0)</f>
        <v>[SM] 14 - Diddy Kong.bin</v>
      </c>
      <c r="F765" s="9">
        <f>IFERROR(IF(B765=INDEX(转换!B:B,MATCH(D765,转换!A:A,0)),0,1),1)</f>
        <v>0</v>
      </c>
      <c r="G765" s="9">
        <f t="shared" si="24"/>
        <v>0</v>
      </c>
      <c r="H765" s="9" t="str">
        <f t="shared" si="23"/>
        <v>-</v>
      </c>
    </row>
    <row r="766" spans="1:8" x14ac:dyDescent="0.3">
      <c r="A766" s="3" t="str">
        <f>新!E765</f>
        <v>CRC32:6EBDEA6E</v>
      </c>
      <c r="B766" s="3" t="str">
        <f>新!A765</f>
        <v>Mario\Super Mario Figures</v>
      </c>
      <c r="C766" s="3" t="str">
        <f>新!B765</f>
        <v>[SM] 15 - Boo.bin</v>
      </c>
      <c r="D766" s="2" t="str">
        <f>IFERROR(INDEX(旧!A:A,MATCH(测试!A766,旧!E:E,0)),0)</f>
        <v>Mario\Super Mario Figures</v>
      </c>
      <c r="E766" s="2" t="str">
        <f>IFERROR(INDEX(旧!B:B,MATCH(测试!A766,旧!E:E,0)),0)</f>
        <v>[SM] 15 - Boo.bin</v>
      </c>
      <c r="F766" s="9">
        <f>IFERROR(IF(B766=INDEX(转换!B:B,MATCH(D766,转换!A:A,0)),0,1),1)</f>
        <v>0</v>
      </c>
      <c r="G766" s="9">
        <f t="shared" si="24"/>
        <v>0</v>
      </c>
      <c r="H766" s="9" t="str">
        <f t="shared" si="23"/>
        <v>-</v>
      </c>
    </row>
    <row r="767" spans="1:8" x14ac:dyDescent="0.3">
      <c r="A767" s="3" t="str">
        <f>新!E766</f>
        <v>CRC32:BB3E72BF</v>
      </c>
      <c r="B767" s="3" t="str">
        <f>新!A766</f>
        <v>Mario\Super Mario Figures</v>
      </c>
      <c r="C767" s="3" t="str">
        <f>新!B766</f>
        <v>[SM] 16 - Goomba.bin</v>
      </c>
      <c r="D767" s="2" t="str">
        <f>IFERROR(INDEX(旧!A:A,MATCH(测试!A767,旧!E:E,0)),0)</f>
        <v>Mario\Super Mario Figures</v>
      </c>
      <c r="E767" s="2" t="str">
        <f>IFERROR(INDEX(旧!B:B,MATCH(测试!A767,旧!E:E,0)),0)</f>
        <v>[SM] 16 - Goomba.bin</v>
      </c>
      <c r="F767" s="9">
        <f>IFERROR(IF(B767=INDEX(转换!B:B,MATCH(D767,转换!A:A,0)),0,1),1)</f>
        <v>0</v>
      </c>
      <c r="G767" s="9">
        <f t="shared" si="24"/>
        <v>0</v>
      </c>
      <c r="H767" s="9" t="str">
        <f t="shared" si="23"/>
        <v>-</v>
      </c>
    </row>
    <row r="768" spans="1:8" x14ac:dyDescent="0.3">
      <c r="A768" s="3" t="str">
        <f>新!E767</f>
        <v>CRC32:7B8B2708</v>
      </c>
      <c r="B768" s="3" t="str">
        <f>新!A767</f>
        <v>Mario\Super Mario Figures</v>
      </c>
      <c r="C768" s="3" t="str">
        <f>新!B767</f>
        <v>[SM] 17 - Koopa Troopa.bin</v>
      </c>
      <c r="D768" s="2" t="str">
        <f>IFERROR(INDEX(旧!A:A,MATCH(测试!A768,旧!E:E,0)),0)</f>
        <v>Mario\Super Mario Figures</v>
      </c>
      <c r="E768" s="2" t="str">
        <f>IFERROR(INDEX(旧!B:B,MATCH(测试!A768,旧!E:E,0)),0)</f>
        <v>[SM] 17 - Koopa Troopa.bin</v>
      </c>
      <c r="F768" s="9">
        <f>IFERROR(IF(B768=INDEX(转换!B:B,MATCH(D768,转换!A:A,0)),0,1),1)</f>
        <v>0</v>
      </c>
      <c r="G768" s="9">
        <f t="shared" si="24"/>
        <v>0</v>
      </c>
      <c r="H768" s="9" t="str">
        <f t="shared" si="23"/>
        <v>-</v>
      </c>
    </row>
    <row r="769" spans="1:8" x14ac:dyDescent="0.3">
      <c r="A769" s="3" t="str">
        <f>新!E768</f>
        <v>CRC32:A5002B65</v>
      </c>
      <c r="B769" s="3" t="str">
        <f>新!A768</f>
        <v>Mario\Super Mario Figures</v>
      </c>
      <c r="C769" s="3" t="str">
        <f>新!B768</f>
        <v>[SM] 18 - Mario (Wedding).bin</v>
      </c>
      <c r="D769" s="2" t="str">
        <f>IFERROR(INDEX(旧!A:A,MATCH(测试!A769,旧!E:E,0)),0)</f>
        <v>Mario\Super Mario Figures</v>
      </c>
      <c r="E769" s="2" t="str">
        <f>IFERROR(INDEX(旧!B:B,MATCH(测试!A769,旧!E:E,0)),0)</f>
        <v>[SM] 18 - Mario (Wedding).bin</v>
      </c>
      <c r="F769" s="9">
        <f>IFERROR(IF(B769=INDEX(转换!B:B,MATCH(D769,转换!A:A,0)),0,1),1)</f>
        <v>0</v>
      </c>
      <c r="G769" s="9">
        <f t="shared" si="24"/>
        <v>0</v>
      </c>
      <c r="H769" s="9" t="str">
        <f t="shared" si="23"/>
        <v>-</v>
      </c>
    </row>
    <row r="770" spans="1:8" x14ac:dyDescent="0.3">
      <c r="A770" s="3" t="str">
        <f>新!E769</f>
        <v>CRC32:02105BE1</v>
      </c>
      <c r="B770" s="3" t="str">
        <f>新!A769</f>
        <v>Mario\Super Mario Figures</v>
      </c>
      <c r="C770" s="3" t="str">
        <f>新!B769</f>
        <v>[SM] 19 - Peach (Wedding).bin</v>
      </c>
      <c r="D770" s="2" t="str">
        <f>IFERROR(INDEX(旧!A:A,MATCH(测试!A770,旧!E:E,0)),0)</f>
        <v>Mario\Super Mario Figures</v>
      </c>
      <c r="E770" s="2" t="str">
        <f>IFERROR(INDEX(旧!B:B,MATCH(测试!A770,旧!E:E,0)),0)</f>
        <v>[SM] 19 - Peach (Wedding).bin</v>
      </c>
      <c r="F770" s="9">
        <f>IFERROR(IF(B770=INDEX(转换!B:B,MATCH(D770,转换!A:A,0)),0,1),1)</f>
        <v>0</v>
      </c>
      <c r="G770" s="9">
        <f t="shared" si="24"/>
        <v>0</v>
      </c>
      <c r="H770" s="9" t="str">
        <f t="shared" si="23"/>
        <v>-</v>
      </c>
    </row>
    <row r="771" spans="1:8" x14ac:dyDescent="0.3">
      <c r="A771" s="3" t="str">
        <f>新!E770</f>
        <v>CRC32:83E3D414</v>
      </c>
      <c r="B771" s="3" t="str">
        <f>新!A770</f>
        <v>Mario\Super Mario Figures</v>
      </c>
      <c r="C771" s="3" t="str">
        <f>新!B770</f>
        <v>[SM] 20 - Bowser (Wedding).bin</v>
      </c>
      <c r="D771" s="2" t="str">
        <f>IFERROR(INDEX(旧!A:A,MATCH(测试!A771,旧!E:E,0)),0)</f>
        <v>Mario\Super Mario Figures</v>
      </c>
      <c r="E771" s="2" t="str">
        <f>IFERROR(INDEX(旧!B:B,MATCH(测试!A771,旧!E:E,0)),0)</f>
        <v>[SM] 20 - Bowser (Wedding).bin</v>
      </c>
      <c r="F771" s="9">
        <f>IFERROR(IF(B771=INDEX(转换!B:B,MATCH(D771,转换!A:A,0)),0,1),1)</f>
        <v>0</v>
      </c>
      <c r="G771" s="9">
        <f t="shared" si="24"/>
        <v>0</v>
      </c>
      <c r="H771" s="9" t="str">
        <f t="shared" si="23"/>
        <v>-</v>
      </c>
    </row>
    <row r="772" spans="1:8" x14ac:dyDescent="0.3">
      <c r="A772" s="3" t="str">
        <f>新!E771</f>
        <v>CRC32:603EFD8E</v>
      </c>
      <c r="B772" s="3" t="str">
        <f>新!A771</f>
        <v>Mario\Super Mario Figures</v>
      </c>
      <c r="C772" s="3" t="str">
        <f>新!B771</f>
        <v>[SM] 21 - Cat Mario.bin</v>
      </c>
      <c r="D772" s="2" t="str">
        <f>IFERROR(INDEX(旧!A:A,MATCH(测试!A772,旧!E:E,0)),0)</f>
        <v>Mario\Super Mario Figures</v>
      </c>
      <c r="E772" s="2" t="str">
        <f>IFERROR(INDEX(旧!B:B,MATCH(测试!A772,旧!E:E,0)),0)</f>
        <v>[SM] 21 - Cat Mario.bin</v>
      </c>
      <c r="F772" s="9">
        <f>IFERROR(IF(B772=INDEX(转换!B:B,MATCH(D772,转换!A:A,0)),0,1),1)</f>
        <v>0</v>
      </c>
      <c r="G772" s="9">
        <f t="shared" si="24"/>
        <v>0</v>
      </c>
      <c r="H772" s="9" t="str">
        <f t="shared" ref="H772:H835" si="25">_xlfn.IFS(F772+G772=0,"-",F772+G772=1,"文件名错误",F772+G772=2,"无此文件")</f>
        <v>-</v>
      </c>
    </row>
    <row r="773" spans="1:8" x14ac:dyDescent="0.3">
      <c r="A773" s="3" t="str">
        <f>新!E772</f>
        <v>CRC32:4617BBF3</v>
      </c>
      <c r="B773" s="3" t="str">
        <f>新!A772</f>
        <v>Mario\Super Mario Figures</v>
      </c>
      <c r="C773" s="3" t="str">
        <f>新!B772</f>
        <v>[SM] 22 - Cat Peach.bin</v>
      </c>
      <c r="D773" s="2" t="str">
        <f>IFERROR(INDEX(旧!A:A,MATCH(测试!A773,旧!E:E,0)),0)</f>
        <v>Mario\Super Mario Figures</v>
      </c>
      <c r="E773" s="2" t="str">
        <f>IFERROR(INDEX(旧!B:B,MATCH(测试!A773,旧!E:E,0)),0)</f>
        <v>[SM] 22 - Cat Peach.bin</v>
      </c>
      <c r="F773" s="9">
        <f>IFERROR(IF(B773=INDEX(转换!B:B,MATCH(D773,转换!A:A,0)),0,1),1)</f>
        <v>0</v>
      </c>
      <c r="G773" s="9">
        <f t="shared" si="24"/>
        <v>0</v>
      </c>
      <c r="H773" s="9" t="str">
        <f t="shared" si="25"/>
        <v>-</v>
      </c>
    </row>
    <row r="774" spans="1:8" x14ac:dyDescent="0.3">
      <c r="A774" s="3" t="str">
        <f>新!E773</f>
        <v>CRC32:2DB8A0DE</v>
      </c>
      <c r="B774" s="3" t="str">
        <f>新!A773</f>
        <v>Mario\Super Nintendo World Power-Up Bands</v>
      </c>
      <c r="C774" s="3" t="str">
        <f>新!B773</f>
        <v>[SNW] 01 - Mario Power-Up Band.bin</v>
      </c>
      <c r="D774" s="2" t="str">
        <f>IFERROR(INDEX(旧!A:A,MATCH(测试!A774,旧!E:E,0)),0)</f>
        <v>Mario\Super Nintendo World Power-Up Bands</v>
      </c>
      <c r="E774" s="2" t="str">
        <f>IFERROR(INDEX(旧!B:B,MATCH(测试!A774,旧!E:E,0)),0)</f>
        <v>[SNW] 01 - Mario Power-Up Band.bin</v>
      </c>
      <c r="F774" s="9">
        <f>IFERROR(IF(B774=INDEX(转换!B:B,MATCH(D774,转换!A:A,0)),0,1),1)</f>
        <v>0</v>
      </c>
      <c r="G774" s="9">
        <f t="shared" si="24"/>
        <v>0</v>
      </c>
      <c r="H774" s="9" t="str">
        <f t="shared" si="25"/>
        <v>-</v>
      </c>
    </row>
    <row r="775" spans="1:8" x14ac:dyDescent="0.3">
      <c r="A775" s="3" t="str">
        <f>新!E774</f>
        <v>CRC32:FE4EEEB0</v>
      </c>
      <c r="B775" s="3" t="str">
        <f>新!A774</f>
        <v>Mario\Super Nintendo World Power-Up Bands</v>
      </c>
      <c r="C775" s="3" t="str">
        <f>新!B774</f>
        <v>[SNW] 02 - Luigi Power-Up Band.bin</v>
      </c>
      <c r="D775" s="2" t="str">
        <f>IFERROR(INDEX(旧!A:A,MATCH(测试!A775,旧!E:E,0)),0)</f>
        <v>Mario\Super Nintendo World Power-Up Bands</v>
      </c>
      <c r="E775" s="2" t="str">
        <f>IFERROR(INDEX(旧!B:B,MATCH(测试!A775,旧!E:E,0)),0)</f>
        <v>[SNW] 02 - Luigi Power-Up Band.bin</v>
      </c>
      <c r="F775" s="9">
        <f>IFERROR(IF(B775=INDEX(转换!B:B,MATCH(D775,转换!A:A,0)),0,1),1)</f>
        <v>0</v>
      </c>
      <c r="G775" s="9">
        <f t="shared" si="24"/>
        <v>0</v>
      </c>
      <c r="H775" s="9" t="str">
        <f t="shared" si="25"/>
        <v>-</v>
      </c>
    </row>
    <row r="776" spans="1:8" x14ac:dyDescent="0.3">
      <c r="A776" s="3" t="str">
        <f>新!E775</f>
        <v>CRC32:4FA5711D</v>
      </c>
      <c r="B776" s="3" t="str">
        <f>新!A775</f>
        <v>Mario\Super Nintendo World Power-Up Bands</v>
      </c>
      <c r="C776" s="3" t="str">
        <f>新!B775</f>
        <v>[SNW] 03 - Peach Power-Up Band.bin</v>
      </c>
      <c r="D776" s="2" t="str">
        <f>IFERROR(INDEX(旧!A:A,MATCH(测试!A776,旧!E:E,0)),0)</f>
        <v>Mario\Super Nintendo World Power-Up Bands</v>
      </c>
      <c r="E776" s="2" t="str">
        <f>IFERROR(INDEX(旧!B:B,MATCH(测试!A776,旧!E:E,0)),0)</f>
        <v>[SNW] 03 - Peach Power-Up Band.bin</v>
      </c>
      <c r="F776" s="9">
        <f>IFERROR(IF(B776=INDEX(转换!B:B,MATCH(D776,转换!A:A,0)),0,1),1)</f>
        <v>0</v>
      </c>
      <c r="G776" s="9">
        <f t="shared" si="24"/>
        <v>0</v>
      </c>
      <c r="H776" s="9" t="str">
        <f t="shared" si="25"/>
        <v>-</v>
      </c>
    </row>
    <row r="777" spans="1:8" x14ac:dyDescent="0.3">
      <c r="A777" s="3" t="str">
        <f>新!E776</f>
        <v>CRC32:6208E982</v>
      </c>
      <c r="B777" s="3" t="str">
        <f>新!A776</f>
        <v>Mario\Super Nintendo World Power-Up Bands</v>
      </c>
      <c r="C777" s="3" t="str">
        <f>新!B776</f>
        <v>[SNW] 04 - Daisy Power-Up Band.bin</v>
      </c>
      <c r="D777" s="2" t="str">
        <f>IFERROR(INDEX(旧!A:A,MATCH(测试!A777,旧!E:E,0)),0)</f>
        <v>Mario\Super Nintendo World Power-Up Bands</v>
      </c>
      <c r="E777" s="2" t="str">
        <f>IFERROR(INDEX(旧!B:B,MATCH(测试!A777,旧!E:E,0)),0)</f>
        <v>[SNW] 04 - Daisy Power-Up Band.bin</v>
      </c>
      <c r="F777" s="9">
        <f>IFERROR(IF(B777=INDEX(转换!B:B,MATCH(D777,转换!A:A,0)),0,1),1)</f>
        <v>0</v>
      </c>
      <c r="G777" s="9">
        <f t="shared" si="24"/>
        <v>0</v>
      </c>
      <c r="H777" s="9" t="str">
        <f t="shared" si="25"/>
        <v>-</v>
      </c>
    </row>
    <row r="778" spans="1:8" x14ac:dyDescent="0.3">
      <c r="A778" s="3" t="str">
        <f>新!E777</f>
        <v>CRC32:1E27EE8C</v>
      </c>
      <c r="B778" s="3" t="str">
        <f>新!A777</f>
        <v>Mario\Super Nintendo World Power-Up Bands</v>
      </c>
      <c r="C778" s="3" t="str">
        <f>新!B777</f>
        <v>[SNW] 05 - Toad Power-Up Band.bin</v>
      </c>
      <c r="D778" s="2" t="str">
        <f>IFERROR(INDEX(旧!A:A,MATCH(测试!A778,旧!E:E,0)),0)</f>
        <v>Mario\Super Nintendo World Power-Up Bands</v>
      </c>
      <c r="E778" s="2" t="str">
        <f>IFERROR(INDEX(旧!B:B,MATCH(测试!A778,旧!E:E,0)),0)</f>
        <v>[SNW] 05 - Toad Power-Up Band.bin</v>
      </c>
      <c r="F778" s="9">
        <f>IFERROR(IF(B778=INDEX(转换!B:B,MATCH(D778,转换!A:A,0)),0,1),1)</f>
        <v>0</v>
      </c>
      <c r="G778" s="9">
        <f t="shared" si="24"/>
        <v>0</v>
      </c>
      <c r="H778" s="9" t="str">
        <f t="shared" si="25"/>
        <v>-</v>
      </c>
    </row>
    <row r="779" spans="1:8" x14ac:dyDescent="0.3">
      <c r="A779" s="3" t="str">
        <f>新!E778</f>
        <v>CRC32:8B2E9D85</v>
      </c>
      <c r="B779" s="3" t="str">
        <f>新!A778</f>
        <v>Mario\Super Nintendo World Power-Up Bands</v>
      </c>
      <c r="C779" s="3" t="str">
        <f>新!B778</f>
        <v>[SNW] 06 - Yoshi Power-Up Band.bin</v>
      </c>
      <c r="D779" s="2" t="str">
        <f>IFERROR(INDEX(旧!A:A,MATCH(测试!A779,旧!E:E,0)),0)</f>
        <v>Mario\Super Nintendo World Power-Up Bands</v>
      </c>
      <c r="E779" s="2" t="str">
        <f>IFERROR(INDEX(旧!B:B,MATCH(测试!A779,旧!E:E,0)),0)</f>
        <v>[SNW] 06 - Yoshi Power-Up Band.bin</v>
      </c>
      <c r="F779" s="9">
        <f>IFERROR(IF(B779=INDEX(转换!B:B,MATCH(D779,转换!A:A,0)),0,1),1)</f>
        <v>0</v>
      </c>
      <c r="G779" s="9">
        <f t="shared" si="24"/>
        <v>0</v>
      </c>
      <c r="H779" s="9" t="str">
        <f t="shared" si="25"/>
        <v>-</v>
      </c>
    </row>
    <row r="780" spans="1:8" x14ac:dyDescent="0.3">
      <c r="A780" s="3" t="str">
        <f>新!E779</f>
        <v>CRC32:955B8DA2</v>
      </c>
      <c r="B780" s="3" t="str">
        <f>新!A779</f>
        <v>Mario\Super Nintendo World Power-Up Bands</v>
      </c>
      <c r="C780" s="3" t="str">
        <f>新!B779</f>
        <v>[SNW] 07 - Gold Mario Power-Up Band.bin</v>
      </c>
      <c r="D780" s="2">
        <f>IFERROR(INDEX(旧!A:A,MATCH(测试!A780,旧!E:E,0)),0)</f>
        <v>0</v>
      </c>
      <c r="E780" s="2">
        <f>IFERROR(INDEX(旧!B:B,MATCH(测试!A780,旧!E:E,0)),0)</f>
        <v>0</v>
      </c>
      <c r="F780" s="9">
        <f>IFERROR(IF(B780=INDEX(转换!B:B,MATCH(D780,转换!A:A,0)),0,1),1)</f>
        <v>1</v>
      </c>
      <c r="G780" s="9">
        <f t="shared" si="24"/>
        <v>1</v>
      </c>
      <c r="H780" s="9" t="str">
        <f t="shared" si="25"/>
        <v>无此文件</v>
      </c>
    </row>
    <row r="781" spans="1:8" x14ac:dyDescent="0.3">
      <c r="A781" s="3" t="str">
        <f>新!E780</f>
        <v>CRC32:F5B1EF81</v>
      </c>
      <c r="B781" s="3" t="str">
        <f>新!A780</f>
        <v>Mario\Super Nintendo World Power-Up Bands</v>
      </c>
      <c r="C781" s="3" t="str">
        <f>新!B780</f>
        <v>[SNW] 08 - Donkey Kong Power-Up Band.bin</v>
      </c>
      <c r="D781" s="2">
        <f>IFERROR(INDEX(旧!A:A,MATCH(测试!A781,旧!E:E,0)),0)</f>
        <v>0</v>
      </c>
      <c r="E781" s="2">
        <f>IFERROR(INDEX(旧!B:B,MATCH(测试!A781,旧!E:E,0)),0)</f>
        <v>0</v>
      </c>
      <c r="F781" s="9">
        <f>IFERROR(IF(B781=INDEX(转换!B:B,MATCH(D781,转换!A:A,0)),0,1),1)</f>
        <v>1</v>
      </c>
      <c r="G781" s="9">
        <f t="shared" si="24"/>
        <v>1</v>
      </c>
      <c r="H781" s="9" t="str">
        <f t="shared" si="25"/>
        <v>无此文件</v>
      </c>
    </row>
    <row r="782" spans="1:8" x14ac:dyDescent="0.3">
      <c r="A782" s="3" t="str">
        <f>新!E781</f>
        <v>CRC32:EF3616D6</v>
      </c>
      <c r="B782" s="3" t="str">
        <f>新!A781</f>
        <v>Mario\Super Nintendo World Power-Up Bands</v>
      </c>
      <c r="C782" s="3" t="str">
        <f>新!B781</f>
        <v>[SNW] 09 - Diddy Kong Power-Up Band.bin</v>
      </c>
      <c r="D782" s="2">
        <f>IFERROR(INDEX(旧!A:A,MATCH(测试!A782,旧!E:E,0)),0)</f>
        <v>0</v>
      </c>
      <c r="E782" s="2">
        <f>IFERROR(INDEX(旧!B:B,MATCH(测试!A782,旧!E:E,0)),0)</f>
        <v>0</v>
      </c>
      <c r="F782" s="9">
        <f>IFERROR(IF(B782=INDEX(转换!B:B,MATCH(D782,转换!A:A,0)),0,1),1)</f>
        <v>1</v>
      </c>
      <c r="G782" s="9">
        <f t="shared" si="24"/>
        <v>1</v>
      </c>
      <c r="H782" s="9" t="str">
        <f t="shared" si="25"/>
        <v>无此文件</v>
      </c>
    </row>
    <row r="783" spans="1:8" x14ac:dyDescent="0.3">
      <c r="A783" s="3" t="str">
        <f>新!E782</f>
        <v>CRC32:9E00C8CC</v>
      </c>
      <c r="B783" s="3" t="str">
        <f>新!A782</f>
        <v>Mega Man</v>
      </c>
      <c r="C783" s="3" t="str">
        <f>新!B782</f>
        <v>[MM] 01 - Mega Man.bin</v>
      </c>
      <c r="D783" s="2" t="str">
        <f>IFERROR(INDEX(旧!A:A,MATCH(测试!A783,旧!E:E,0)),0)</f>
        <v>Mega Man</v>
      </c>
      <c r="E783" s="2" t="str">
        <f>IFERROR(INDEX(旧!B:B,MATCH(测试!A783,旧!E:E,0)),0)</f>
        <v>[MM] 01 - Mega Man.bin</v>
      </c>
      <c r="F783" s="9">
        <f>IFERROR(IF(B783=INDEX(转换!B:B,MATCH(D783,转换!A:A,0)),0,1),1)</f>
        <v>0</v>
      </c>
      <c r="G783" s="9">
        <f t="shared" si="24"/>
        <v>0</v>
      </c>
      <c r="H783" s="9" t="str">
        <f t="shared" si="25"/>
        <v>-</v>
      </c>
    </row>
    <row r="784" spans="1:8" x14ac:dyDescent="0.3">
      <c r="A784" s="3" t="str">
        <f>新!E783</f>
        <v>CRC32:5C6F54BD</v>
      </c>
      <c r="B784" s="3" t="str">
        <f>新!A783</f>
        <v>Metroid</v>
      </c>
      <c r="C784" s="3" t="str">
        <f>新!B783</f>
        <v>[MET] 01 - Samus Aran.bin</v>
      </c>
      <c r="D784" s="2" t="str">
        <f>IFERROR(INDEX(旧!A:A,MATCH(测试!A784,旧!E:E,0)),0)</f>
        <v>Metroid</v>
      </c>
      <c r="E784" s="2" t="str">
        <f>IFERROR(INDEX(旧!B:B,MATCH(测试!A784,旧!E:E,0)),0)</f>
        <v>[MET] 01 - Samus Aran.bin</v>
      </c>
      <c r="F784" s="9">
        <f>IFERROR(IF(B784=INDEX(转换!B:B,MATCH(D784,转换!A:A,0)),0,1),1)</f>
        <v>0</v>
      </c>
      <c r="G784" s="9">
        <f t="shared" si="24"/>
        <v>0</v>
      </c>
      <c r="H784" s="9" t="str">
        <f t="shared" si="25"/>
        <v>-</v>
      </c>
    </row>
    <row r="785" spans="1:8" x14ac:dyDescent="0.3">
      <c r="A785" s="3" t="str">
        <f>新!E784</f>
        <v>CRC32:3D2FBB09</v>
      </c>
      <c r="B785" s="3" t="str">
        <f>新!A784</f>
        <v>Metroid</v>
      </c>
      <c r="C785" s="3" t="str">
        <f>新!B784</f>
        <v>[MET] 02 - Metroid.bin</v>
      </c>
      <c r="D785" s="2" t="str">
        <f>IFERROR(INDEX(旧!A:A,MATCH(测试!A785,旧!E:E,0)),0)</f>
        <v>Metroid</v>
      </c>
      <c r="E785" s="2" t="str">
        <f>IFERROR(INDEX(旧!B:B,MATCH(测试!A785,旧!E:E,0)),0)</f>
        <v>[MET] 02 - Metroid.bin</v>
      </c>
      <c r="F785" s="9">
        <f>IFERROR(IF(B785=INDEX(转换!B:B,MATCH(D785,转换!A:A,0)),0,1),1)</f>
        <v>0</v>
      </c>
      <c r="G785" s="9">
        <f t="shared" si="24"/>
        <v>0</v>
      </c>
      <c r="H785" s="9" t="str">
        <f t="shared" si="25"/>
        <v>-</v>
      </c>
    </row>
    <row r="786" spans="1:8" x14ac:dyDescent="0.3">
      <c r="A786" s="3" t="str">
        <f>新!E785</f>
        <v>CRC32:689781E1</v>
      </c>
      <c r="B786" s="3" t="str">
        <f>新!A785</f>
        <v>Metroid</v>
      </c>
      <c r="C786" s="3" t="str">
        <f>新!B785</f>
        <v>[MET] 03 - Samus (Metroid Dread).bin</v>
      </c>
      <c r="D786" s="2" t="str">
        <f>IFERROR(INDEX(旧!A:A,MATCH(测试!A786,旧!E:E,0)),0)</f>
        <v>Metroid</v>
      </c>
      <c r="E786" s="2" t="str">
        <f>IFERROR(INDEX(旧!B:B,MATCH(测试!A786,旧!E:E,0)),0)</f>
        <v>[MET] 03 - Samus (Metroid Dread).bin</v>
      </c>
      <c r="F786" s="9">
        <f>IFERROR(IF(B786=INDEX(转换!B:B,MATCH(D786,转换!A:A,0)),0,1),1)</f>
        <v>0</v>
      </c>
      <c r="G786" s="9">
        <f t="shared" si="24"/>
        <v>0</v>
      </c>
      <c r="H786" s="9" t="str">
        <f t="shared" si="25"/>
        <v>-</v>
      </c>
    </row>
    <row r="787" spans="1:8" x14ac:dyDescent="0.3">
      <c r="A787" s="3" t="str">
        <f>新!E786</f>
        <v>CRC32:131EE656</v>
      </c>
      <c r="B787" s="3" t="str">
        <f>新!A786</f>
        <v>Metroid</v>
      </c>
      <c r="C787" s="3" t="str">
        <f>新!B786</f>
        <v>[MET] 04 - E.M.M.I..bin</v>
      </c>
      <c r="D787" s="2" t="str">
        <f>IFERROR(INDEX(旧!A:A,MATCH(测试!A787,旧!E:E,0)),0)</f>
        <v>Metroid</v>
      </c>
      <c r="E787" s="2" t="str">
        <f>IFERROR(INDEX(旧!B:B,MATCH(测试!A787,旧!E:E,0)),0)</f>
        <v>[MET] 04 - E.M.M.I..bin</v>
      </c>
      <c r="F787" s="9">
        <f>IFERROR(IF(B787=INDEX(转换!B:B,MATCH(D787,转换!A:A,0)),0,1),1)</f>
        <v>0</v>
      </c>
      <c r="G787" s="9">
        <f t="shared" si="24"/>
        <v>0</v>
      </c>
      <c r="H787" s="9" t="str">
        <f t="shared" si="25"/>
        <v>-</v>
      </c>
    </row>
    <row r="788" spans="1:8" x14ac:dyDescent="0.3">
      <c r="A788" s="3" t="str">
        <f>新!E787</f>
        <v>CRC32:8C9D9D29</v>
      </c>
      <c r="B788" s="3" t="str">
        <f>新!A787</f>
        <v>Metroid\Metroid Prime 4 - Beyond</v>
      </c>
      <c r="C788" s="3" t="str">
        <f>新!B787</f>
        <v>[MP4] 01 - Samus.bin</v>
      </c>
      <c r="D788" s="2">
        <f>IFERROR(INDEX(旧!A:A,MATCH(测试!A788,旧!E:E,0)),0)</f>
        <v>0</v>
      </c>
      <c r="E788" s="2">
        <f>IFERROR(INDEX(旧!B:B,MATCH(测试!A788,旧!E:E,0)),0)</f>
        <v>0</v>
      </c>
      <c r="F788" s="9">
        <f>IFERROR(IF(B788=INDEX(转换!B:B,MATCH(D788,转换!A:A,0)),0,1),1)</f>
        <v>1</v>
      </c>
      <c r="G788" s="9">
        <f t="shared" si="24"/>
        <v>1</v>
      </c>
      <c r="H788" s="9" t="str">
        <f t="shared" si="25"/>
        <v>无此文件</v>
      </c>
    </row>
    <row r="789" spans="1:8" x14ac:dyDescent="0.3">
      <c r="A789" s="3" t="str">
        <f>新!E788</f>
        <v>CRC32:014E2D64</v>
      </c>
      <c r="B789" s="3" t="str">
        <f>新!A788</f>
        <v>Metroid\Metroid Prime 4 - Beyond</v>
      </c>
      <c r="C789" s="3" t="str">
        <f>新!B788</f>
        <v>[MP4] 02 - Samus &amp; Vi-O-La.bin</v>
      </c>
      <c r="D789" s="2">
        <f>IFERROR(INDEX(旧!A:A,MATCH(测试!A789,旧!E:E,0)),0)</f>
        <v>0</v>
      </c>
      <c r="E789" s="2">
        <f>IFERROR(INDEX(旧!B:B,MATCH(测试!A789,旧!E:E,0)),0)</f>
        <v>0</v>
      </c>
      <c r="F789" s="9">
        <f>IFERROR(IF(B789=INDEX(转换!B:B,MATCH(D789,转换!A:A,0)),0,1),1)</f>
        <v>1</v>
      </c>
      <c r="G789" s="9">
        <f t="shared" si="24"/>
        <v>1</v>
      </c>
      <c r="H789" s="9" t="str">
        <f t="shared" si="25"/>
        <v>无此文件</v>
      </c>
    </row>
    <row r="790" spans="1:8" x14ac:dyDescent="0.3">
      <c r="A790" s="3" t="str">
        <f>新!E789</f>
        <v>CRC32:5B647D5C</v>
      </c>
      <c r="B790" s="3" t="str">
        <f>新!A789</f>
        <v>Metroid\Metroid Prime 4 - Beyond</v>
      </c>
      <c r="C790" s="3" t="str">
        <f>新!B789</f>
        <v>[MP4] 03 - Sylux.bin</v>
      </c>
      <c r="D790" s="2">
        <f>IFERROR(INDEX(旧!A:A,MATCH(测试!A790,旧!E:E,0)),0)</f>
        <v>0</v>
      </c>
      <c r="E790" s="2">
        <f>IFERROR(INDEX(旧!B:B,MATCH(测试!A790,旧!E:E,0)),0)</f>
        <v>0</v>
      </c>
      <c r="F790" s="9">
        <f>IFERROR(IF(B790=INDEX(转换!B:B,MATCH(D790,转换!A:A,0)),0,1),1)</f>
        <v>1</v>
      </c>
      <c r="G790" s="9">
        <f t="shared" si="24"/>
        <v>1</v>
      </c>
      <c r="H790" s="9" t="str">
        <f t="shared" si="25"/>
        <v>无此文件</v>
      </c>
    </row>
    <row r="791" spans="1:8" x14ac:dyDescent="0.3">
      <c r="A791" s="3" t="str">
        <f>新!E790</f>
        <v>CRC32:16425CCF</v>
      </c>
      <c r="B791" s="3" t="str">
        <f>新!A790</f>
        <v>Monster Hunter Rise</v>
      </c>
      <c r="C791" s="3" t="str">
        <f>新!B790</f>
        <v>[MHR] 01 - Palamute.bin</v>
      </c>
      <c r="D791" s="2" t="str">
        <f>IFERROR(INDEX(旧!A:A,MATCH(测试!A791,旧!E:E,0)),0)</f>
        <v>Monster Hunter Rise</v>
      </c>
      <c r="E791" s="2" t="str">
        <f>IFERROR(INDEX(旧!B:B,MATCH(测试!A791,旧!E:E,0)),0)</f>
        <v>[MHR] 01 - Palamute.bin</v>
      </c>
      <c r="F791" s="9">
        <f>IFERROR(IF(B791=INDEX(转换!B:B,MATCH(D791,转换!A:A,0)),0,1),1)</f>
        <v>0</v>
      </c>
      <c r="G791" s="9">
        <f t="shared" si="24"/>
        <v>0</v>
      </c>
      <c r="H791" s="9" t="str">
        <f t="shared" si="25"/>
        <v>-</v>
      </c>
    </row>
    <row r="792" spans="1:8" x14ac:dyDescent="0.3">
      <c r="A792" s="3" t="str">
        <f>新!E791</f>
        <v>CRC32:AEB3F47B</v>
      </c>
      <c r="B792" s="3" t="str">
        <f>新!A791</f>
        <v>Monster Hunter Rise</v>
      </c>
      <c r="C792" s="3" t="str">
        <f>新!B791</f>
        <v>[MHR] 02 - Magnamalo.bin</v>
      </c>
      <c r="D792" s="2" t="str">
        <f>IFERROR(INDEX(旧!A:A,MATCH(测试!A792,旧!E:E,0)),0)</f>
        <v>Monster Hunter Rise</v>
      </c>
      <c r="E792" s="2" t="str">
        <f>IFERROR(INDEX(旧!B:B,MATCH(测试!A792,旧!E:E,0)),0)</f>
        <v>[MHR] 02 - Magnamalo.bin</v>
      </c>
      <c r="F792" s="9">
        <f>IFERROR(IF(B792=INDEX(转换!B:B,MATCH(D792,转换!A:A,0)),0,1),1)</f>
        <v>0</v>
      </c>
      <c r="G792" s="9">
        <f t="shared" si="24"/>
        <v>0</v>
      </c>
      <c r="H792" s="9" t="str">
        <f t="shared" si="25"/>
        <v>-</v>
      </c>
    </row>
    <row r="793" spans="1:8" x14ac:dyDescent="0.3">
      <c r="A793" s="3" t="str">
        <f>新!E792</f>
        <v>CRC32:CA4A2C33</v>
      </c>
      <c r="B793" s="3" t="str">
        <f>新!A792</f>
        <v>Monster Hunter Rise</v>
      </c>
      <c r="C793" s="3" t="str">
        <f>新!B792</f>
        <v>[MHR] 03 - Palico.bin</v>
      </c>
      <c r="D793" s="2" t="str">
        <f>IFERROR(INDEX(旧!A:A,MATCH(测试!A793,旧!E:E,0)),0)</f>
        <v>Monster Hunter Rise</v>
      </c>
      <c r="E793" s="2" t="str">
        <f>IFERROR(INDEX(旧!B:B,MATCH(测试!A793,旧!E:E,0)),0)</f>
        <v>[MHR] 03 - Palico.bin</v>
      </c>
      <c r="F793" s="9">
        <f>IFERROR(IF(B793=INDEX(转换!B:B,MATCH(D793,转换!A:A,0)),0,1),1)</f>
        <v>0</v>
      </c>
      <c r="G793" s="9">
        <f t="shared" si="24"/>
        <v>0</v>
      </c>
      <c r="H793" s="9" t="str">
        <f t="shared" si="25"/>
        <v>-</v>
      </c>
    </row>
    <row r="794" spans="1:8" x14ac:dyDescent="0.3">
      <c r="A794" s="3" t="str">
        <f>新!E793</f>
        <v>CRC32:3E81C7BA</v>
      </c>
      <c r="B794" s="3" t="str">
        <f>新!A793</f>
        <v>Monster Hunter Rise</v>
      </c>
      <c r="C794" s="3" t="str">
        <f>新!B793</f>
        <v>[MHR] 04 - Malzeno.bin</v>
      </c>
      <c r="D794" s="2" t="str">
        <f>IFERROR(INDEX(旧!A:A,MATCH(测试!A794,旧!E:E,0)),0)</f>
        <v>Monster Hunter Rise</v>
      </c>
      <c r="E794" s="2" t="str">
        <f>IFERROR(INDEX(旧!B:B,MATCH(测试!A794,旧!E:E,0)),0)</f>
        <v>[MHR] 04 - Malzeno.bin</v>
      </c>
      <c r="F794" s="9">
        <f>IFERROR(IF(B794=INDEX(转换!B:B,MATCH(D794,转换!A:A,0)),0,1),1)</f>
        <v>0</v>
      </c>
      <c r="G794" s="9">
        <f t="shared" si="24"/>
        <v>0</v>
      </c>
      <c r="H794" s="9" t="str">
        <f t="shared" si="25"/>
        <v>-</v>
      </c>
    </row>
    <row r="795" spans="1:8" x14ac:dyDescent="0.3">
      <c r="A795" s="3" t="str">
        <f>新!E794</f>
        <v>CRC32:23A169DE</v>
      </c>
      <c r="B795" s="3" t="str">
        <f>新!A794</f>
        <v>Monster Hunter Rise</v>
      </c>
      <c r="C795" s="3" t="str">
        <f>新!B794</f>
        <v>[MHR] 05 - Palamute (Canyne Malzeno X).bin</v>
      </c>
      <c r="D795" s="2" t="str">
        <f>IFERROR(INDEX(旧!A:A,MATCH(测试!A795,旧!E:E,0)),0)</f>
        <v>Monster Hunter Rise</v>
      </c>
      <c r="E795" s="2" t="str">
        <f>IFERROR(INDEX(旧!B:B,MATCH(测试!A795,旧!E:E,0)),0)</f>
        <v>[MHR] 05 - Palamute (Canyne Malzeno X).bin</v>
      </c>
      <c r="F795" s="9">
        <f>IFERROR(IF(B795=INDEX(转换!B:B,MATCH(D795,转换!A:A,0)),0,1),1)</f>
        <v>0</v>
      </c>
      <c r="G795" s="9">
        <f t="shared" si="24"/>
        <v>0</v>
      </c>
      <c r="H795" s="9" t="str">
        <f t="shared" si="25"/>
        <v>-</v>
      </c>
    </row>
    <row r="796" spans="1:8" x14ac:dyDescent="0.3">
      <c r="A796" s="3" t="str">
        <f>新!E795</f>
        <v>CRC32:A4819223</v>
      </c>
      <c r="B796" s="3" t="str">
        <f>新!A795</f>
        <v>Monster Hunter Rise</v>
      </c>
      <c r="C796" s="3" t="str">
        <f>新!B795</f>
        <v>[MHR] 06 - Palico (Felyne Malzeno X).bin</v>
      </c>
      <c r="D796" s="2" t="str">
        <f>IFERROR(INDEX(旧!A:A,MATCH(测试!A796,旧!E:E,0)),0)</f>
        <v>Monster Hunter Rise</v>
      </c>
      <c r="E796" s="2" t="str">
        <f>IFERROR(INDEX(旧!B:B,MATCH(测试!A796,旧!E:E,0)),0)</f>
        <v>[MHR] 06 - Palico (Felyne Malzeno X).bin</v>
      </c>
      <c r="F796" s="9">
        <f>IFERROR(IF(B796=INDEX(转换!B:B,MATCH(D796,转换!A:A,0)),0,1),1)</f>
        <v>0</v>
      </c>
      <c r="G796" s="9">
        <f t="shared" si="24"/>
        <v>0</v>
      </c>
      <c r="H796" s="9" t="str">
        <f t="shared" si="25"/>
        <v>-</v>
      </c>
    </row>
    <row r="797" spans="1:8" x14ac:dyDescent="0.3">
      <c r="A797" s="3" t="str">
        <f>新!E796</f>
        <v>CRC32:E16B616F</v>
      </c>
      <c r="B797" s="3" t="str">
        <f>新!A796</f>
        <v>Monster Hunter Stories</v>
      </c>
      <c r="C797" s="3" t="str">
        <f>新!B796</f>
        <v>[MHS] 01 - One-Eyed Rathalos and Rider (Female).bin</v>
      </c>
      <c r="D797" s="2" t="str">
        <f>IFERROR(INDEX(旧!A:A,MATCH(测试!A797,旧!E:E,0)),0)</f>
        <v>Monster Hunter Stories</v>
      </c>
      <c r="E797" s="2" t="str">
        <f>IFERROR(INDEX(旧!B:B,MATCH(测试!A797,旧!E:E,0)),0)</f>
        <v>[MHS] 01 - One-Eyed Rathalos and Rider (Female).bin</v>
      </c>
      <c r="F797" s="9">
        <f>IFERROR(IF(B797=INDEX(转换!B:B,MATCH(D797,转换!A:A,0)),0,1),1)</f>
        <v>0</v>
      </c>
      <c r="G797" s="9">
        <f t="shared" si="24"/>
        <v>0</v>
      </c>
      <c r="H797" s="9" t="str">
        <f t="shared" si="25"/>
        <v>-</v>
      </c>
    </row>
    <row r="798" spans="1:8" x14ac:dyDescent="0.3">
      <c r="A798" s="3" t="str">
        <f>新!E797</f>
        <v>CRC32:8F39379C</v>
      </c>
      <c r="B798" s="3" t="str">
        <f>新!A797</f>
        <v>Monster Hunter Stories</v>
      </c>
      <c r="C798" s="3" t="str">
        <f>新!B797</f>
        <v>[MHS] 02 - One-Eyed Rathalos and Rider (Male).bin</v>
      </c>
      <c r="D798" s="2" t="str">
        <f>IFERROR(INDEX(旧!A:A,MATCH(测试!A798,旧!E:E,0)),0)</f>
        <v>Monster Hunter Stories</v>
      </c>
      <c r="E798" s="2" t="str">
        <f>IFERROR(INDEX(旧!B:B,MATCH(测试!A798,旧!E:E,0)),0)</f>
        <v>[MHS] 02 - One-Eyed Rathalos and Rider (Male).bin</v>
      </c>
      <c r="F798" s="9">
        <f>IFERROR(IF(B798=INDEX(转换!B:B,MATCH(D798,转换!A:A,0)),0,1),1)</f>
        <v>0</v>
      </c>
      <c r="G798" s="9">
        <f t="shared" si="24"/>
        <v>0</v>
      </c>
      <c r="H798" s="9" t="str">
        <f t="shared" si="25"/>
        <v>-</v>
      </c>
    </row>
    <row r="799" spans="1:8" x14ac:dyDescent="0.3">
      <c r="A799" s="3" t="str">
        <f>新!E798</f>
        <v>CRC32:E6BDA7DC</v>
      </c>
      <c r="B799" s="3" t="str">
        <f>新!A798</f>
        <v>Monster Hunter Stories</v>
      </c>
      <c r="C799" s="3" t="str">
        <f>新!B798</f>
        <v>[MHS] 03 - Navirou.bin</v>
      </c>
      <c r="D799" s="2" t="str">
        <f>IFERROR(INDEX(旧!A:A,MATCH(测试!A799,旧!E:E,0)),0)</f>
        <v>Monster Hunter Stories</v>
      </c>
      <c r="E799" s="2" t="str">
        <f>IFERROR(INDEX(旧!B:B,MATCH(测试!A799,旧!E:E,0)),0)</f>
        <v>[MHS] 03 - Nabiru.bin</v>
      </c>
      <c r="F799" s="9">
        <f>IFERROR(IF(B799=INDEX(转换!B:B,MATCH(D799,转换!A:A,0)),0,1),1)</f>
        <v>0</v>
      </c>
      <c r="G799" s="9">
        <f t="shared" si="24"/>
        <v>1</v>
      </c>
      <c r="H799" s="9" t="str">
        <f t="shared" si="25"/>
        <v>文件名错误</v>
      </c>
    </row>
    <row r="800" spans="1:8" x14ac:dyDescent="0.3">
      <c r="A800" s="3" t="str">
        <f>新!E799</f>
        <v>CRC32:A6DBFA72</v>
      </c>
      <c r="B800" s="3" t="str">
        <f>新!A799</f>
        <v>Monster Hunter Stories</v>
      </c>
      <c r="C800" s="3" t="str">
        <f>新!B799</f>
        <v>[MHS] 04 - Rathian and Cheval.bin</v>
      </c>
      <c r="D800" s="2" t="str">
        <f>IFERROR(INDEX(旧!A:A,MATCH(测试!A800,旧!E:E,0)),0)</f>
        <v>Monster Hunter Stories</v>
      </c>
      <c r="E800" s="2" t="str">
        <f>IFERROR(INDEX(旧!B:B,MATCH(测试!A800,旧!E:E,0)),0)</f>
        <v>[MHS] 04 - Rathian and Cheval.bin</v>
      </c>
      <c r="F800" s="9">
        <f>IFERROR(IF(B800=INDEX(转换!B:B,MATCH(D800,转换!A:A,0)),0,1),1)</f>
        <v>0</v>
      </c>
      <c r="G800" s="9">
        <f t="shared" si="24"/>
        <v>0</v>
      </c>
      <c r="H800" s="9" t="str">
        <f t="shared" si="25"/>
        <v>-</v>
      </c>
    </row>
    <row r="801" spans="1:8" x14ac:dyDescent="0.3">
      <c r="A801" s="3" t="str">
        <f>新!E800</f>
        <v>CRC32:AF29FF19</v>
      </c>
      <c r="B801" s="3" t="str">
        <f>新!A800</f>
        <v>Monster Hunter Stories</v>
      </c>
      <c r="C801" s="3" t="str">
        <f>新!B800</f>
        <v>[MHS] 05 - Barioth and Ayuria.bin</v>
      </c>
      <c r="D801" s="2" t="str">
        <f>IFERROR(INDEX(旧!A:A,MATCH(测试!A801,旧!E:E,0)),0)</f>
        <v>Monster Hunter Stories</v>
      </c>
      <c r="E801" s="2" t="str">
        <f>IFERROR(INDEX(旧!B:B,MATCH(测试!A801,旧!E:E,0)),0)</f>
        <v>[MHS] 05 - Barioth and Ayuria.bin</v>
      </c>
      <c r="F801" s="9">
        <f>IFERROR(IF(B801=INDEX(转换!B:B,MATCH(D801,转换!A:A,0)),0,1),1)</f>
        <v>0</v>
      </c>
      <c r="G801" s="9">
        <f t="shared" si="24"/>
        <v>0</v>
      </c>
      <c r="H801" s="9" t="str">
        <f t="shared" si="25"/>
        <v>-</v>
      </c>
    </row>
    <row r="802" spans="1:8" x14ac:dyDescent="0.3">
      <c r="A802" s="3" t="str">
        <f>新!E801</f>
        <v>CRC32:B22D1D20</v>
      </c>
      <c r="B802" s="3" t="str">
        <f>新!A801</f>
        <v>Monster Hunter Stories</v>
      </c>
      <c r="C802" s="3" t="str">
        <f>新!B801</f>
        <v>[MHS] 06 - Qurupeco and Dan.bin</v>
      </c>
      <c r="D802" s="2" t="str">
        <f>IFERROR(INDEX(旧!A:A,MATCH(测试!A802,旧!E:E,0)),0)</f>
        <v>Monster Hunter Stories</v>
      </c>
      <c r="E802" s="2" t="str">
        <f>IFERROR(INDEX(旧!B:B,MATCH(测试!A802,旧!E:E,0)),0)</f>
        <v>[MHS] 06 - Qurupeco and Dan.bin</v>
      </c>
      <c r="F802" s="9">
        <f>IFERROR(IF(B802=INDEX(转换!B:B,MATCH(D802,转换!A:A,0)),0,1),1)</f>
        <v>0</v>
      </c>
      <c r="G802" s="9">
        <f t="shared" si="24"/>
        <v>0</v>
      </c>
      <c r="H802" s="9" t="str">
        <f t="shared" si="25"/>
        <v>-</v>
      </c>
    </row>
    <row r="803" spans="1:8" x14ac:dyDescent="0.3">
      <c r="A803" s="3" t="str">
        <f>新!E802</f>
        <v>CRC32:17500878</v>
      </c>
      <c r="B803" s="3" t="str">
        <f>新!A802</f>
        <v>Monster Hunter Stories</v>
      </c>
      <c r="C803" s="3" t="str">
        <f>新!B802</f>
        <v>[MHS] 07 - Ena.bin</v>
      </c>
      <c r="D803" s="2" t="str">
        <f>IFERROR(INDEX(旧!A:A,MATCH(测试!A803,旧!E:E,0)),0)</f>
        <v>Monster Hunter Stories</v>
      </c>
      <c r="E803" s="2" t="str">
        <f>IFERROR(INDEX(旧!B:B,MATCH(测试!A803,旧!E:E,0)),0)</f>
        <v>[MHS] 07 - Ena.bin</v>
      </c>
      <c r="F803" s="9">
        <f>IFERROR(IF(B803=INDEX(转换!B:B,MATCH(D803,转换!A:A,0)),0,1),1)</f>
        <v>0</v>
      </c>
      <c r="G803" s="9">
        <f t="shared" si="24"/>
        <v>0</v>
      </c>
      <c r="H803" s="9" t="str">
        <f t="shared" si="25"/>
        <v>-</v>
      </c>
    </row>
    <row r="804" spans="1:8" x14ac:dyDescent="0.3">
      <c r="A804" s="3" t="str">
        <f>新!E803</f>
        <v>CRC32:311A58BA</v>
      </c>
      <c r="B804" s="3" t="str">
        <f>新!A803</f>
        <v>Monster Hunter Stories</v>
      </c>
      <c r="C804" s="3" t="str">
        <f>新!B803</f>
        <v>[MHS] 08 - Razewing Ratha.bin</v>
      </c>
      <c r="D804" s="2" t="str">
        <f>IFERROR(INDEX(旧!A:A,MATCH(测试!A804,旧!E:E,0)),0)</f>
        <v>Monster Hunter Stories</v>
      </c>
      <c r="E804" s="2" t="str">
        <f>IFERROR(INDEX(旧!B:B,MATCH(测试!A804,旧!E:E,0)),0)</f>
        <v>[MHS] 08 - Razewing Ratha.bin</v>
      </c>
      <c r="F804" s="9">
        <f>IFERROR(IF(B804=INDEX(转换!B:B,MATCH(D804,转换!A:A,0)),0,1),1)</f>
        <v>0</v>
      </c>
      <c r="G804" s="9">
        <f t="shared" si="24"/>
        <v>0</v>
      </c>
      <c r="H804" s="9" t="str">
        <f t="shared" si="25"/>
        <v>-</v>
      </c>
    </row>
    <row r="805" spans="1:8" x14ac:dyDescent="0.3">
      <c r="A805" s="3" t="str">
        <f>新!E804</f>
        <v>CRC32:5E6D6C69</v>
      </c>
      <c r="B805" s="3" t="str">
        <f>新!A804</f>
        <v>Monster Hunter Stories</v>
      </c>
      <c r="C805" s="3" t="str">
        <f>新!B804</f>
        <v>[MHS] 09 - Tsukino.bin</v>
      </c>
      <c r="D805" s="2" t="str">
        <f>IFERROR(INDEX(旧!A:A,MATCH(测试!A805,旧!E:E,0)),0)</f>
        <v>Monster Hunter Stories</v>
      </c>
      <c r="E805" s="2" t="str">
        <f>IFERROR(INDEX(旧!B:B,MATCH(测试!A805,旧!E:E,0)),0)</f>
        <v>[MHS] 09 - Tsukino.bin</v>
      </c>
      <c r="F805" s="9">
        <f>IFERROR(IF(B805=INDEX(转换!B:B,MATCH(D805,转换!A:A,0)),0,1),1)</f>
        <v>0</v>
      </c>
      <c r="G805" s="9">
        <f t="shared" si="24"/>
        <v>0</v>
      </c>
      <c r="H805" s="9" t="str">
        <f t="shared" si="25"/>
        <v>-</v>
      </c>
    </row>
    <row r="806" spans="1:8" x14ac:dyDescent="0.3">
      <c r="A806" s="3" t="str">
        <f>新!E805</f>
        <v>CRC32:BEF7940F</v>
      </c>
      <c r="B806" s="3" t="str">
        <f>新!A805</f>
        <v>Pikmin</v>
      </c>
      <c r="C806" s="3" t="str">
        <f>新!B805</f>
        <v>[PIK] 01 - Pikmin.bin</v>
      </c>
      <c r="D806" s="2" t="str">
        <f>IFERROR(INDEX(旧!A:A,MATCH(测试!A806,旧!E:E,0)),0)</f>
        <v>Pikmin</v>
      </c>
      <c r="E806" s="2" t="str">
        <f>IFERROR(INDEX(旧!B:B,MATCH(测试!A806,旧!E:E,0)),0)</f>
        <v>[PIK] 01 - Pikmin.bin</v>
      </c>
      <c r="F806" s="9">
        <f>IFERROR(IF(B806=INDEX(转换!B:B,MATCH(D806,转换!A:A,0)),0,1),1)</f>
        <v>0</v>
      </c>
      <c r="G806" s="9">
        <f t="shared" si="24"/>
        <v>0</v>
      </c>
      <c r="H806" s="9" t="str">
        <f t="shared" si="25"/>
        <v>-</v>
      </c>
    </row>
    <row r="807" spans="1:8" x14ac:dyDescent="0.3">
      <c r="A807" s="3" t="str">
        <f>新!E806</f>
        <v>CRC32:87FD4E73</v>
      </c>
      <c r="B807" s="3" t="str">
        <f>新!A806</f>
        <v>Pokkén Tournament</v>
      </c>
      <c r="C807" s="3" t="str">
        <f>新!B806</f>
        <v>[PT] 01 - Shadow Mewtwo.bin</v>
      </c>
      <c r="D807" s="2" t="str">
        <f>IFERROR(INDEX(旧!A:A,MATCH(测试!A807,旧!E:E,0)),0)</f>
        <v>Pokkén Tournament</v>
      </c>
      <c r="E807" s="2" t="str">
        <f>IFERROR(INDEX(旧!B:B,MATCH(测试!A807,旧!E:E,0)),0)</f>
        <v>[PT] 01 - Shadow Mewtwo.bin</v>
      </c>
      <c r="F807" s="9">
        <f>IFERROR(IF(B807=INDEX(转换!B:B,MATCH(D807,转换!A:A,0)),0,1),1)</f>
        <v>0</v>
      </c>
      <c r="G807" s="9">
        <f t="shared" si="24"/>
        <v>0</v>
      </c>
      <c r="H807" s="9" t="str">
        <f t="shared" si="25"/>
        <v>-</v>
      </c>
    </row>
    <row r="808" spans="1:8" x14ac:dyDescent="0.3">
      <c r="A808" s="3" t="str">
        <f>新!E807</f>
        <v>CRC32:19A6A164</v>
      </c>
      <c r="B808" s="3" t="str">
        <f>新!A807</f>
        <v>Shovel Knight</v>
      </c>
      <c r="C808" s="3" t="str">
        <f>新!B807</f>
        <v>[SN] 01 - Shovel Knight.bin</v>
      </c>
      <c r="D808" s="2" t="str">
        <f>IFERROR(INDEX(旧!A:A,MATCH(测试!A808,旧!E:E,0)),0)</f>
        <v>Shovel Knight</v>
      </c>
      <c r="E808" s="2" t="str">
        <f>IFERROR(INDEX(旧!B:B,MATCH(测试!A808,旧!E:E,0)),0)</f>
        <v>[SN] 01 - Shovel Knight.bin</v>
      </c>
      <c r="F808" s="9">
        <f>IFERROR(IF(B808=INDEX(转换!B:B,MATCH(D808,转换!A:A,0)),0,1),1)</f>
        <v>0</v>
      </c>
      <c r="G808" s="9">
        <f t="shared" si="24"/>
        <v>0</v>
      </c>
      <c r="H808" s="9" t="str">
        <f t="shared" si="25"/>
        <v>-</v>
      </c>
    </row>
    <row r="809" spans="1:8" x14ac:dyDescent="0.3">
      <c r="A809" s="3" t="str">
        <f>新!E808</f>
        <v>CRC32:D631CD52</v>
      </c>
      <c r="B809" s="3" t="str">
        <f>新!A808</f>
        <v>Shovel Knight</v>
      </c>
      <c r="C809" s="3" t="str">
        <f>新!B808</f>
        <v>[SN] 02 - Plague Knight.bin</v>
      </c>
      <c r="D809" s="2" t="str">
        <f>IFERROR(INDEX(旧!A:A,MATCH(测试!A809,旧!E:E,0)),0)</f>
        <v>Shovel Knight</v>
      </c>
      <c r="E809" s="2" t="str">
        <f>IFERROR(INDEX(旧!B:B,MATCH(测试!A809,旧!E:E,0)),0)</f>
        <v>[SN] 02 - Plague Knight.bin</v>
      </c>
      <c r="F809" s="9">
        <f>IFERROR(IF(B809=INDEX(转换!B:B,MATCH(D809,转换!A:A,0)),0,1),1)</f>
        <v>0</v>
      </c>
      <c r="G809" s="9">
        <f t="shared" si="24"/>
        <v>0</v>
      </c>
      <c r="H809" s="9" t="str">
        <f t="shared" si="25"/>
        <v>-</v>
      </c>
    </row>
    <row r="810" spans="1:8" x14ac:dyDescent="0.3">
      <c r="A810" s="3" t="str">
        <f>新!E809</f>
        <v>CRC32:E78BACA3</v>
      </c>
      <c r="B810" s="3" t="str">
        <f>新!A809</f>
        <v>Shovel Knight</v>
      </c>
      <c r="C810" s="3" t="str">
        <f>新!B809</f>
        <v>[SN] 03 - Specter Knight.bin</v>
      </c>
      <c r="D810" s="2" t="str">
        <f>IFERROR(INDEX(旧!A:A,MATCH(测试!A810,旧!E:E,0)),0)</f>
        <v>Shovel Knight</v>
      </c>
      <c r="E810" s="2" t="str">
        <f>IFERROR(INDEX(旧!B:B,MATCH(测试!A810,旧!E:E,0)),0)</f>
        <v>[SN] 03 - Specter Knight.bin</v>
      </c>
      <c r="F810" s="9">
        <f>IFERROR(IF(B810=INDEX(转换!B:B,MATCH(D810,转换!A:A,0)),0,1),1)</f>
        <v>0</v>
      </c>
      <c r="G810" s="9">
        <f t="shared" si="24"/>
        <v>0</v>
      </c>
      <c r="H810" s="9" t="str">
        <f t="shared" si="25"/>
        <v>-</v>
      </c>
    </row>
    <row r="811" spans="1:8" x14ac:dyDescent="0.3">
      <c r="A811" s="3" t="str">
        <f>新!E810</f>
        <v>CRC32:2DA3DC18</v>
      </c>
      <c r="B811" s="3" t="str">
        <f>新!A810</f>
        <v>Shovel Knight</v>
      </c>
      <c r="C811" s="3" t="str">
        <f>新!B810</f>
        <v>[SN] 04 - King Knight.bin</v>
      </c>
      <c r="D811" s="2" t="str">
        <f>IFERROR(INDEX(旧!A:A,MATCH(测试!A811,旧!E:E,0)),0)</f>
        <v>Shovel Knight</v>
      </c>
      <c r="E811" s="2" t="str">
        <f>IFERROR(INDEX(旧!B:B,MATCH(测试!A811,旧!E:E,0)),0)</f>
        <v>[SN] 04 - King Knight.bin</v>
      </c>
      <c r="F811" s="9">
        <f>IFERROR(IF(B811=INDEX(转换!B:B,MATCH(D811,转换!A:A,0)),0,1),1)</f>
        <v>0</v>
      </c>
      <c r="G811" s="9">
        <f t="shared" si="24"/>
        <v>0</v>
      </c>
      <c r="H811" s="9" t="str">
        <f t="shared" si="25"/>
        <v>-</v>
      </c>
    </row>
    <row r="812" spans="1:8" x14ac:dyDescent="0.3">
      <c r="A812" s="3" t="str">
        <f>新!E811</f>
        <v>CRC32:C623062A</v>
      </c>
      <c r="B812" s="3" t="str">
        <f>新!A811</f>
        <v>Shovel Knight</v>
      </c>
      <c r="C812" s="3" t="str">
        <f>新!B811</f>
        <v>[SN] 05 - Shovel Knight (Gold Edition).bin</v>
      </c>
      <c r="D812" s="2" t="str">
        <f>IFERROR(INDEX(旧!A:A,MATCH(测试!A812,旧!E:E,0)),0)</f>
        <v>Shovel Knight</v>
      </c>
      <c r="E812" s="2" t="str">
        <f>IFERROR(INDEX(旧!B:B,MATCH(测试!A812,旧!E:E,0)),0)</f>
        <v>[SN] 05 - Shovel Knight (Gold Edition).bin</v>
      </c>
      <c r="F812" s="9">
        <f>IFERROR(IF(B812=INDEX(转换!B:B,MATCH(D812,转换!A:A,0)),0,1),1)</f>
        <v>0</v>
      </c>
      <c r="G812" s="9">
        <f t="shared" ref="G812:G874" si="26">IF(E812=C812,0,1)</f>
        <v>0</v>
      </c>
      <c r="H812" s="9" t="str">
        <f t="shared" si="25"/>
        <v>-</v>
      </c>
    </row>
    <row r="813" spans="1:8" x14ac:dyDescent="0.3">
      <c r="A813" s="3" t="str">
        <f>新!E812</f>
        <v>CRC32:42DB98DB</v>
      </c>
      <c r="B813" s="3" t="str">
        <f>新!A812</f>
        <v>Skylanders SuperChargers</v>
      </c>
      <c r="C813" s="3" t="str">
        <f>新!B812</f>
        <v>[SS] 01 - Hammer Slam Bowser.bin</v>
      </c>
      <c r="D813" s="2" t="str">
        <f>IFERROR(INDEX(旧!A:A,MATCH(测试!A813,旧!E:E,0)),0)</f>
        <v>Skylanders SuperChargers</v>
      </c>
      <c r="E813" s="2" t="str">
        <f>IFERROR(INDEX(旧!B:B,MATCH(测试!A813,旧!E:E,0)),0)</f>
        <v>[SS] 01 - Hammer Slam Bowser.bin</v>
      </c>
      <c r="F813" s="9">
        <f>IFERROR(IF(B813=INDEX(转换!B:B,MATCH(D813,转换!A:A,0)),0,1),1)</f>
        <v>0</v>
      </c>
      <c r="G813" s="9">
        <f t="shared" si="26"/>
        <v>0</v>
      </c>
      <c r="H813" s="9" t="str">
        <f t="shared" si="25"/>
        <v>-</v>
      </c>
    </row>
    <row r="814" spans="1:8" x14ac:dyDescent="0.3">
      <c r="A814" s="3" t="str">
        <f>新!E813</f>
        <v>CRC32:0EB9A5B5</v>
      </c>
      <c r="B814" s="3" t="str">
        <f>新!A813</f>
        <v>Skylanders SuperChargers</v>
      </c>
      <c r="C814" s="3" t="str">
        <f>新!B813</f>
        <v>[SS] 02 - Turbo Charge Donkey Kong.bin</v>
      </c>
      <c r="D814" s="2" t="str">
        <f>IFERROR(INDEX(旧!A:A,MATCH(测试!A814,旧!E:E,0)),0)</f>
        <v>Skylanders SuperChargers</v>
      </c>
      <c r="E814" s="2" t="str">
        <f>IFERROR(INDEX(旧!B:B,MATCH(测试!A814,旧!E:E,0)),0)</f>
        <v>[SS] 02 - Turbo Charge Donkey Kong.bin</v>
      </c>
      <c r="F814" s="9">
        <f>IFERROR(IF(B814=INDEX(转换!B:B,MATCH(D814,转换!A:A,0)),0,1),1)</f>
        <v>0</v>
      </c>
      <c r="G814" s="9">
        <f t="shared" si="26"/>
        <v>0</v>
      </c>
      <c r="H814" s="9" t="str">
        <f t="shared" si="25"/>
        <v>-</v>
      </c>
    </row>
    <row r="815" spans="1:8" x14ac:dyDescent="0.3">
      <c r="A815" s="3" t="str">
        <f>新!E814</f>
        <v>CRC32:ACA0A957</v>
      </c>
      <c r="B815" s="3" t="str">
        <f>新!A814</f>
        <v>Skylanders SuperChargers</v>
      </c>
      <c r="C815" s="3" t="str">
        <f>新!B814</f>
        <v>[SS] 03 - Dark Hammer Slam Bowser.bin</v>
      </c>
      <c r="D815" s="2" t="str">
        <f>IFERROR(INDEX(旧!A:A,MATCH(测试!A815,旧!E:E,0)),0)</f>
        <v>Skylanders SuperChargers</v>
      </c>
      <c r="E815" s="2" t="str">
        <f>IFERROR(INDEX(旧!B:B,MATCH(测试!A815,旧!E:E,0)),0)</f>
        <v>[SS] 03 - Dark Hammer Slam Bowser.bin</v>
      </c>
      <c r="F815" s="9">
        <f>IFERROR(IF(B815=INDEX(转换!B:B,MATCH(D815,转换!A:A,0)),0,1),1)</f>
        <v>0</v>
      </c>
      <c r="G815" s="9">
        <f t="shared" si="26"/>
        <v>0</v>
      </c>
      <c r="H815" s="9" t="str">
        <f t="shared" si="25"/>
        <v>-</v>
      </c>
    </row>
    <row r="816" spans="1:8" x14ac:dyDescent="0.3">
      <c r="A816" s="3" t="str">
        <f>新!E815</f>
        <v>CRC32:551FA85F</v>
      </c>
      <c r="B816" s="3" t="str">
        <f>新!A815</f>
        <v>Skylanders SuperChargers</v>
      </c>
      <c r="C816" s="3" t="str">
        <f>新!B815</f>
        <v>[SS] 04 - Dark Turbo Charge Donkey Kong.bin</v>
      </c>
      <c r="D816" s="2" t="str">
        <f>IFERROR(INDEX(旧!A:A,MATCH(测试!A816,旧!E:E,0)),0)</f>
        <v>Skylanders SuperChargers</v>
      </c>
      <c r="E816" s="2" t="str">
        <f>IFERROR(INDEX(旧!B:B,MATCH(测试!A816,旧!E:E,0)),0)</f>
        <v>[SS] 04 - Dark Turbo Charge Donkey Kong.bin</v>
      </c>
      <c r="F816" s="9">
        <f>IFERROR(IF(B816=INDEX(转换!B:B,MATCH(D816,转换!A:A,0)),0,1),1)</f>
        <v>0</v>
      </c>
      <c r="G816" s="9">
        <f t="shared" si="26"/>
        <v>0</v>
      </c>
      <c r="H816" s="9" t="str">
        <f t="shared" si="25"/>
        <v>-</v>
      </c>
    </row>
    <row r="817" spans="1:8" x14ac:dyDescent="0.3">
      <c r="A817" s="3" t="str">
        <f>新!E816</f>
        <v>CRC32:4BD991E8</v>
      </c>
      <c r="B817" s="3" t="str">
        <f>新!A816</f>
        <v>Splatoon</v>
      </c>
      <c r="C817" s="3" t="str">
        <f>新!B816</f>
        <v>[SPL] 01 - Inkling Boy.bin</v>
      </c>
      <c r="D817" s="2" t="str">
        <f>IFERROR(INDEX(旧!A:A,MATCH(测试!A817,旧!E:E,0)),0)</f>
        <v>Splatoon</v>
      </c>
      <c r="E817" s="2" t="str">
        <f>IFERROR(INDEX(旧!B:B,MATCH(测试!A817,旧!E:E,0)),0)</f>
        <v>[Splatoon] 01 - Inkling Boy.bin</v>
      </c>
      <c r="F817" s="9">
        <f>IFERROR(IF(B817=INDEX(转换!B:B,MATCH(D817,转换!A:A,0)),0,1),1)</f>
        <v>0</v>
      </c>
      <c r="G817" s="9">
        <f t="shared" si="26"/>
        <v>1</v>
      </c>
      <c r="H817" s="9" t="str">
        <f t="shared" si="25"/>
        <v>文件名错误</v>
      </c>
    </row>
    <row r="818" spans="1:8" x14ac:dyDescent="0.3">
      <c r="A818" s="3" t="str">
        <f>新!E817</f>
        <v>CRC32:A45D565A</v>
      </c>
      <c r="B818" s="3" t="str">
        <f>新!A817</f>
        <v>Splatoon</v>
      </c>
      <c r="C818" s="3" t="str">
        <f>新!B817</f>
        <v>[SPL] 02 - Inkling Girl.bin</v>
      </c>
      <c r="D818" s="2" t="str">
        <f>IFERROR(INDEX(旧!A:A,MATCH(测试!A818,旧!E:E,0)),0)</f>
        <v>Splatoon</v>
      </c>
      <c r="E818" s="2" t="str">
        <f>IFERROR(INDEX(旧!B:B,MATCH(测试!A818,旧!E:E,0)),0)</f>
        <v>[Splatoon] 02 - Inkling Girl.bin</v>
      </c>
      <c r="F818" s="9">
        <f>IFERROR(IF(B818=INDEX(转换!B:B,MATCH(D818,转换!A:A,0)),0,1),1)</f>
        <v>0</v>
      </c>
      <c r="G818" s="9">
        <f t="shared" si="26"/>
        <v>1</v>
      </c>
      <c r="H818" s="9" t="str">
        <f t="shared" si="25"/>
        <v>文件名错误</v>
      </c>
    </row>
    <row r="819" spans="1:8" x14ac:dyDescent="0.3">
      <c r="A819" s="3" t="str">
        <f>新!E818</f>
        <v>CRC32:8D7AD4A6</v>
      </c>
      <c r="B819" s="3" t="str">
        <f>新!A818</f>
        <v>Splatoon</v>
      </c>
      <c r="C819" s="3" t="str">
        <f>新!B818</f>
        <v>[SPL] 03 - Inkling Squid.bin</v>
      </c>
      <c r="D819" s="2" t="str">
        <f>IFERROR(INDEX(旧!A:A,MATCH(测试!A819,旧!E:E,0)),0)</f>
        <v>Splatoon</v>
      </c>
      <c r="E819" s="2" t="str">
        <f>IFERROR(INDEX(旧!B:B,MATCH(测试!A819,旧!E:E,0)),0)</f>
        <v>[Splatoon] 03 - Inkling Squid.bin</v>
      </c>
      <c r="F819" s="9">
        <f>IFERROR(IF(B819=INDEX(转换!B:B,MATCH(D819,转换!A:A,0)),0,1),1)</f>
        <v>0</v>
      </c>
      <c r="G819" s="9">
        <f t="shared" si="26"/>
        <v>1</v>
      </c>
      <c r="H819" s="9" t="str">
        <f t="shared" si="25"/>
        <v>文件名错误</v>
      </c>
    </row>
    <row r="820" spans="1:8" x14ac:dyDescent="0.3">
      <c r="A820" s="3" t="str">
        <f>新!E819</f>
        <v>CRC32:0567FC5F</v>
      </c>
      <c r="B820" s="3" t="str">
        <f>新!A819</f>
        <v>Splatoon</v>
      </c>
      <c r="C820" s="3" t="str">
        <f>新!B819</f>
        <v>[SPL] 04 - Callie.bin</v>
      </c>
      <c r="D820" s="2" t="str">
        <f>IFERROR(INDEX(旧!A:A,MATCH(测试!A820,旧!E:E,0)),0)</f>
        <v>Splatoon</v>
      </c>
      <c r="E820" s="2" t="str">
        <f>IFERROR(INDEX(旧!B:B,MATCH(测试!A820,旧!E:E,0)),0)</f>
        <v>[Splatoon] 04 - Callie.bin</v>
      </c>
      <c r="F820" s="9">
        <f>IFERROR(IF(B820=INDEX(转换!B:B,MATCH(D820,转换!A:A,0)),0,1),1)</f>
        <v>0</v>
      </c>
      <c r="G820" s="9">
        <f t="shared" si="26"/>
        <v>1</v>
      </c>
      <c r="H820" s="9" t="str">
        <f t="shared" si="25"/>
        <v>文件名错误</v>
      </c>
    </row>
    <row r="821" spans="1:8" x14ac:dyDescent="0.3">
      <c r="A821" s="3" t="str">
        <f>新!E820</f>
        <v>CRC32:E6A721D4</v>
      </c>
      <c r="B821" s="3" t="str">
        <f>新!A820</f>
        <v>Splatoon</v>
      </c>
      <c r="C821" s="3" t="str">
        <f>新!B820</f>
        <v>[SPL] 05 - Marie.bin</v>
      </c>
      <c r="D821" s="2" t="str">
        <f>IFERROR(INDEX(旧!A:A,MATCH(测试!A821,旧!E:E,0)),0)</f>
        <v>Splatoon</v>
      </c>
      <c r="E821" s="2" t="str">
        <f>IFERROR(INDEX(旧!B:B,MATCH(测试!A821,旧!E:E,0)),0)</f>
        <v>[Splatoon] 05 - Marie.bin</v>
      </c>
      <c r="F821" s="9">
        <f>IFERROR(IF(B821=INDEX(转换!B:B,MATCH(D821,转换!A:A,0)),0,1),1)</f>
        <v>0</v>
      </c>
      <c r="G821" s="9">
        <f t="shared" si="26"/>
        <v>1</v>
      </c>
      <c r="H821" s="9" t="str">
        <f t="shared" si="25"/>
        <v>文件名错误</v>
      </c>
    </row>
    <row r="822" spans="1:8" x14ac:dyDescent="0.3">
      <c r="A822" s="3" t="str">
        <f>新!E821</f>
        <v>CRC32:692BEE6D</v>
      </c>
      <c r="B822" s="3" t="str">
        <f>新!A821</f>
        <v>Splatoon</v>
      </c>
      <c r="C822" s="3" t="str">
        <f>新!B821</f>
        <v>[SPL] 06 - Inkling Boy (Purple).bin</v>
      </c>
      <c r="D822" s="2" t="str">
        <f>IFERROR(INDEX(旧!A:A,MATCH(测试!A822,旧!E:E,0)),0)</f>
        <v>Splatoon</v>
      </c>
      <c r="E822" s="2" t="str">
        <f>IFERROR(INDEX(旧!B:B,MATCH(测试!A822,旧!E:E,0)),0)</f>
        <v>[Splatoon] 06 - Inkling Boy (Purple).bin</v>
      </c>
      <c r="F822" s="9">
        <f>IFERROR(IF(B822=INDEX(转换!B:B,MATCH(D822,转换!A:A,0)),0,1),1)</f>
        <v>0</v>
      </c>
      <c r="G822" s="9">
        <f t="shared" si="26"/>
        <v>1</v>
      </c>
      <c r="H822" s="9" t="str">
        <f t="shared" si="25"/>
        <v>文件名错误</v>
      </c>
    </row>
    <row r="823" spans="1:8" x14ac:dyDescent="0.3">
      <c r="A823" s="3" t="str">
        <f>新!E822</f>
        <v>CRC32:C78C2634</v>
      </c>
      <c r="B823" s="3" t="str">
        <f>新!A822</f>
        <v>Splatoon</v>
      </c>
      <c r="C823" s="3" t="str">
        <f>新!B822</f>
        <v>[SPL] 07 - Inkling Girl (Lime Green).bin</v>
      </c>
      <c r="D823" s="2" t="str">
        <f>IFERROR(INDEX(旧!A:A,MATCH(测试!A823,旧!E:E,0)),0)</f>
        <v>Splatoon</v>
      </c>
      <c r="E823" s="2" t="str">
        <f>IFERROR(INDEX(旧!B:B,MATCH(测试!A823,旧!E:E,0)),0)</f>
        <v>[Splatoon] 07 - Inkling Girl (Lime Green).bin</v>
      </c>
      <c r="F823" s="9">
        <f>IFERROR(IF(B823=INDEX(转换!B:B,MATCH(D823,转换!A:A,0)),0,1),1)</f>
        <v>0</v>
      </c>
      <c r="G823" s="9">
        <f t="shared" si="26"/>
        <v>1</v>
      </c>
      <c r="H823" s="9" t="str">
        <f t="shared" si="25"/>
        <v>文件名错误</v>
      </c>
    </row>
    <row r="824" spans="1:8" x14ac:dyDescent="0.3">
      <c r="A824" s="3" t="str">
        <f>新!E823</f>
        <v>CRC32:6802A56C</v>
      </c>
      <c r="B824" s="3" t="str">
        <f>新!A823</f>
        <v>Splatoon</v>
      </c>
      <c r="C824" s="3" t="str">
        <f>新!B823</f>
        <v>[SPL] 08 - Inkling Squid (Orange).bin</v>
      </c>
      <c r="D824" s="2" t="str">
        <f>IFERROR(INDEX(旧!A:A,MATCH(测试!A824,旧!E:E,0)),0)</f>
        <v>Splatoon</v>
      </c>
      <c r="E824" s="2" t="str">
        <f>IFERROR(INDEX(旧!B:B,MATCH(测试!A824,旧!E:E,0)),0)</f>
        <v>[Splatoon] 08 - Inkling Squid (Orange).bin</v>
      </c>
      <c r="F824" s="9">
        <f>IFERROR(IF(B824=INDEX(转换!B:B,MATCH(D824,转换!A:A,0)),0,1),1)</f>
        <v>0</v>
      </c>
      <c r="G824" s="9">
        <f t="shared" si="26"/>
        <v>1</v>
      </c>
      <c r="H824" s="9" t="str">
        <f t="shared" si="25"/>
        <v>文件名错误</v>
      </c>
    </row>
    <row r="825" spans="1:8" x14ac:dyDescent="0.3">
      <c r="A825" s="3" t="str">
        <f>新!E824</f>
        <v>CRC32:079E8BD4</v>
      </c>
      <c r="B825" s="3" t="str">
        <f>新!A824</f>
        <v>Splatoon</v>
      </c>
      <c r="C825" s="3" t="str">
        <f>新!B824</f>
        <v>[SPL] 09 - Inkling Boy (Neon Green).bin</v>
      </c>
      <c r="D825" s="2" t="str">
        <f>IFERROR(INDEX(旧!A:A,MATCH(测试!A825,旧!E:E,0)),0)</f>
        <v>Splatoon</v>
      </c>
      <c r="E825" s="2" t="str">
        <f>IFERROR(INDEX(旧!B:B,MATCH(测试!A825,旧!E:E,0)),0)</f>
        <v>[Splatoon] 09 - Inkling Boy (Neon Green).bin</v>
      </c>
      <c r="F825" s="9">
        <f>IFERROR(IF(B825=INDEX(转换!B:B,MATCH(D825,转换!A:A,0)),0,1),1)</f>
        <v>0</v>
      </c>
      <c r="G825" s="9">
        <f t="shared" si="26"/>
        <v>1</v>
      </c>
      <c r="H825" s="9" t="str">
        <f t="shared" si="25"/>
        <v>文件名错误</v>
      </c>
    </row>
    <row r="826" spans="1:8" x14ac:dyDescent="0.3">
      <c r="A826" s="3" t="str">
        <f>新!E825</f>
        <v>CRC32:57C1235F</v>
      </c>
      <c r="B826" s="3" t="str">
        <f>新!A825</f>
        <v>Splatoon</v>
      </c>
      <c r="C826" s="3" t="str">
        <f>新!B825</f>
        <v>[SPL] 10 - Inkling Girl (Neon Pink).bin</v>
      </c>
      <c r="D826" s="2" t="str">
        <f>IFERROR(INDEX(旧!A:A,MATCH(测试!A826,旧!E:E,0)),0)</f>
        <v>Splatoon</v>
      </c>
      <c r="E826" s="2" t="str">
        <f>IFERROR(INDEX(旧!B:B,MATCH(测试!A826,旧!E:E,0)),0)</f>
        <v>[Splatoon] 10 - Inkling Girl (Neon Pink).bin</v>
      </c>
      <c r="F826" s="9">
        <f>IFERROR(IF(B826=INDEX(转换!B:B,MATCH(D826,转换!A:A,0)),0,1),1)</f>
        <v>0</v>
      </c>
      <c r="G826" s="9">
        <f t="shared" si="26"/>
        <v>1</v>
      </c>
      <c r="H826" s="9" t="str">
        <f t="shared" si="25"/>
        <v>文件名错误</v>
      </c>
    </row>
    <row r="827" spans="1:8" x14ac:dyDescent="0.3">
      <c r="A827" s="3" t="str">
        <f>新!E826</f>
        <v>CRC32:2869F678</v>
      </c>
      <c r="B827" s="3" t="str">
        <f>新!A826</f>
        <v>Splatoon</v>
      </c>
      <c r="C827" s="3" t="str">
        <f>新!B826</f>
        <v>[SPL] 11 - Squid (Neon Purple).bin</v>
      </c>
      <c r="D827" s="2" t="str">
        <f>IFERROR(INDEX(旧!A:A,MATCH(测试!A827,旧!E:E,0)),0)</f>
        <v>Splatoon</v>
      </c>
      <c r="E827" s="2" t="str">
        <f>IFERROR(INDEX(旧!B:B,MATCH(测试!A827,旧!E:E,0)),0)</f>
        <v>[Splatoon] 11 - Squid (Neon Purple).bin</v>
      </c>
      <c r="F827" s="9">
        <f>IFERROR(IF(B827=INDEX(转换!B:B,MATCH(D827,转换!A:A,0)),0,1),1)</f>
        <v>0</v>
      </c>
      <c r="G827" s="9">
        <f t="shared" si="26"/>
        <v>1</v>
      </c>
      <c r="H827" s="9" t="str">
        <f t="shared" si="25"/>
        <v>文件名错误</v>
      </c>
    </row>
    <row r="828" spans="1:8" x14ac:dyDescent="0.3">
      <c r="A828" s="3" t="str">
        <f>新!E827</f>
        <v>CRC32:2E9F7E59</v>
      </c>
      <c r="B828" s="3" t="str">
        <f>新!A827</f>
        <v>Splatoon</v>
      </c>
      <c r="C828" s="3" t="str">
        <f>新!B827</f>
        <v>[SPL] 12 - Pearl.bin</v>
      </c>
      <c r="D828" s="2" t="str">
        <f>IFERROR(INDEX(旧!A:A,MATCH(测试!A828,旧!E:E,0)),0)</f>
        <v>Splatoon</v>
      </c>
      <c r="E828" s="2" t="str">
        <f>IFERROR(INDEX(旧!B:B,MATCH(测试!A828,旧!E:E,0)),0)</f>
        <v>[Splatoon] 12 - Pearl.bin</v>
      </c>
      <c r="F828" s="9">
        <f>IFERROR(IF(B828=INDEX(转换!B:B,MATCH(D828,转换!A:A,0)),0,1),1)</f>
        <v>0</v>
      </c>
      <c r="G828" s="9">
        <f t="shared" si="26"/>
        <v>1</v>
      </c>
      <c r="H828" s="9" t="str">
        <f t="shared" si="25"/>
        <v>文件名错误</v>
      </c>
    </row>
    <row r="829" spans="1:8" x14ac:dyDescent="0.3">
      <c r="A829" s="3" t="str">
        <f>新!E828</f>
        <v>CRC32:2BBE9C60</v>
      </c>
      <c r="B829" s="3" t="str">
        <f>新!A828</f>
        <v>Splatoon</v>
      </c>
      <c r="C829" s="3" t="str">
        <f>新!B828</f>
        <v>[SPL] 13 - Marina.bin</v>
      </c>
      <c r="D829" s="2" t="str">
        <f>IFERROR(INDEX(旧!A:A,MATCH(测试!A829,旧!E:E,0)),0)</f>
        <v>Splatoon</v>
      </c>
      <c r="E829" s="2" t="str">
        <f>IFERROR(INDEX(旧!B:B,MATCH(测试!A829,旧!E:E,0)),0)</f>
        <v>[Splatoon] 13 - Marina.bin</v>
      </c>
      <c r="F829" s="9">
        <f>IFERROR(IF(B829=INDEX(转换!B:B,MATCH(D829,转换!A:A,0)),0,1),1)</f>
        <v>0</v>
      </c>
      <c r="G829" s="9">
        <f t="shared" si="26"/>
        <v>1</v>
      </c>
      <c r="H829" s="9" t="str">
        <f t="shared" si="25"/>
        <v>文件名错误</v>
      </c>
    </row>
    <row r="830" spans="1:8" x14ac:dyDescent="0.3">
      <c r="A830" s="3" t="str">
        <f>新!E829</f>
        <v>CRC32:828C833B</v>
      </c>
      <c r="B830" s="3" t="str">
        <f>新!A829</f>
        <v>Splatoon</v>
      </c>
      <c r="C830" s="3" t="str">
        <f>新!B829</f>
        <v>[SPL] 14 - Octoling Girl.bin</v>
      </c>
      <c r="D830" s="2" t="str">
        <f>IFERROR(INDEX(旧!A:A,MATCH(测试!A830,旧!E:E,0)),0)</f>
        <v>Splatoon</v>
      </c>
      <c r="E830" s="2" t="str">
        <f>IFERROR(INDEX(旧!B:B,MATCH(测试!A830,旧!E:E,0)),0)</f>
        <v>[Splatoon] 14 - Octoling Girl.bin</v>
      </c>
      <c r="F830" s="9">
        <f>IFERROR(IF(B830=INDEX(转换!B:B,MATCH(D830,转换!A:A,0)),0,1),1)</f>
        <v>0</v>
      </c>
      <c r="G830" s="9">
        <f t="shared" si="26"/>
        <v>1</v>
      </c>
      <c r="H830" s="9" t="str">
        <f t="shared" si="25"/>
        <v>文件名错误</v>
      </c>
    </row>
    <row r="831" spans="1:8" x14ac:dyDescent="0.3">
      <c r="A831" s="3" t="str">
        <f>新!E830</f>
        <v>CRC32:B66C0B7A</v>
      </c>
      <c r="B831" s="3" t="str">
        <f>新!A830</f>
        <v>Splatoon</v>
      </c>
      <c r="C831" s="3" t="str">
        <f>新!B830</f>
        <v>[SPL] 15 - Octoling Boy.bin</v>
      </c>
      <c r="D831" s="2" t="str">
        <f>IFERROR(INDEX(旧!A:A,MATCH(测试!A831,旧!E:E,0)),0)</f>
        <v>Splatoon</v>
      </c>
      <c r="E831" s="2" t="str">
        <f>IFERROR(INDEX(旧!B:B,MATCH(测试!A831,旧!E:E,0)),0)</f>
        <v>[Splatoon] 15 - Octoling Boy.bin</v>
      </c>
      <c r="F831" s="9">
        <f>IFERROR(IF(B831=INDEX(转换!B:B,MATCH(D831,转换!A:A,0)),0,1),1)</f>
        <v>0</v>
      </c>
      <c r="G831" s="9">
        <f t="shared" si="26"/>
        <v>1</v>
      </c>
      <c r="H831" s="9" t="str">
        <f t="shared" si="25"/>
        <v>文件名错误</v>
      </c>
    </row>
    <row r="832" spans="1:8" x14ac:dyDescent="0.3">
      <c r="A832" s="3" t="str">
        <f>新!E831</f>
        <v>CRC32:E3F6F232</v>
      </c>
      <c r="B832" s="3" t="str">
        <f>新!A831</f>
        <v>Splatoon</v>
      </c>
      <c r="C832" s="3" t="str">
        <f>新!B831</f>
        <v>[SPL] 16 - Octoling Octopus.bin</v>
      </c>
      <c r="D832" s="2" t="str">
        <f>IFERROR(INDEX(旧!A:A,MATCH(测试!A832,旧!E:E,0)),0)</f>
        <v>Splatoon</v>
      </c>
      <c r="E832" s="2" t="str">
        <f>IFERROR(INDEX(旧!B:B,MATCH(测试!A832,旧!E:E,0)),0)</f>
        <v>[Splatoon] 16 - Octoling Octopus.bin</v>
      </c>
      <c r="F832" s="9">
        <f>IFERROR(IF(B832=INDEX(转换!B:B,MATCH(D832,转换!A:A,0)),0,1),1)</f>
        <v>0</v>
      </c>
      <c r="G832" s="9">
        <f t="shared" si="26"/>
        <v>1</v>
      </c>
      <c r="H832" s="9" t="str">
        <f t="shared" si="25"/>
        <v>文件名错误</v>
      </c>
    </row>
    <row r="833" spans="1:8" x14ac:dyDescent="0.3">
      <c r="A833" s="3" t="str">
        <f>新!E832</f>
        <v>CRC32:C4051E5E</v>
      </c>
      <c r="B833" s="3" t="str">
        <f>新!A832</f>
        <v>Splatoon</v>
      </c>
      <c r="C833" s="3" t="str">
        <f>新!B832</f>
        <v>[SPL] 17 - Octoling (Blue).bin</v>
      </c>
      <c r="D833" s="2" t="str">
        <f>IFERROR(INDEX(旧!A:A,MATCH(测试!A833,旧!E:E,0)),0)</f>
        <v>Splatoon</v>
      </c>
      <c r="E833" s="2" t="str">
        <f>IFERROR(INDEX(旧!B:B,MATCH(测试!A833,旧!E:E,0)),0)</f>
        <v>[SPL] 17 - Octoling (Blue).bin</v>
      </c>
      <c r="F833" s="9">
        <f>IFERROR(IF(B833=INDEX(转换!B:B,MATCH(D833,转换!A:A,0)),0,1),1)</f>
        <v>0</v>
      </c>
      <c r="G833" s="9">
        <f t="shared" si="26"/>
        <v>0</v>
      </c>
      <c r="H833" s="9" t="str">
        <f t="shared" si="25"/>
        <v>-</v>
      </c>
    </row>
    <row r="834" spans="1:8" x14ac:dyDescent="0.3">
      <c r="A834" s="3" t="str">
        <f>新!E833</f>
        <v>CRC32:3DF28DB0</v>
      </c>
      <c r="B834" s="3" t="str">
        <f>新!A833</f>
        <v>Splatoon</v>
      </c>
      <c r="C834" s="3" t="str">
        <f>新!B833</f>
        <v>[SPL] 18 - Inkling (Yellow).bin</v>
      </c>
      <c r="D834" s="2" t="str">
        <f>IFERROR(INDEX(旧!A:A,MATCH(测试!A834,旧!E:E,0)),0)</f>
        <v>Splatoon</v>
      </c>
      <c r="E834" s="2" t="str">
        <f>IFERROR(INDEX(旧!B:B,MATCH(测试!A834,旧!E:E,0)),0)</f>
        <v>[SPL] 18 - Inkling (Yellow).bin</v>
      </c>
      <c r="F834" s="9">
        <f>IFERROR(IF(B834=INDEX(转换!B:B,MATCH(D834,转换!A:A,0)),0,1),1)</f>
        <v>0</v>
      </c>
      <c r="G834" s="9">
        <f t="shared" si="26"/>
        <v>0</v>
      </c>
      <c r="H834" s="9" t="str">
        <f t="shared" si="25"/>
        <v>-</v>
      </c>
    </row>
    <row r="835" spans="1:8" x14ac:dyDescent="0.3">
      <c r="A835" s="3" t="str">
        <f>新!E834</f>
        <v>CRC32:B310C0D0</v>
      </c>
      <c r="B835" s="3" t="str">
        <f>新!A834</f>
        <v>Splatoon</v>
      </c>
      <c r="C835" s="3" t="str">
        <f>新!B834</f>
        <v>[SPL] 19 - Smallfry.bin</v>
      </c>
      <c r="D835" s="2" t="str">
        <f>IFERROR(INDEX(旧!A:A,MATCH(测试!A835,旧!E:E,0)),0)</f>
        <v>Splatoon</v>
      </c>
      <c r="E835" s="2" t="str">
        <f>IFERROR(INDEX(旧!B:B,MATCH(测试!A835,旧!E:E,0)),0)</f>
        <v>[SPL] 19 - Smallfry.bin</v>
      </c>
      <c r="F835" s="9">
        <f>IFERROR(IF(B835=INDEX(转换!B:B,MATCH(D835,转换!A:A,0)),0,1),1)</f>
        <v>0</v>
      </c>
      <c r="G835" s="9">
        <f t="shared" si="26"/>
        <v>0</v>
      </c>
      <c r="H835" s="9" t="str">
        <f t="shared" si="25"/>
        <v>-</v>
      </c>
    </row>
    <row r="836" spans="1:8" x14ac:dyDescent="0.3">
      <c r="A836" s="3" t="str">
        <f>新!E835</f>
        <v>CRC32:1B69DD4D</v>
      </c>
      <c r="B836" s="3" t="str">
        <f>新!A835</f>
        <v>Splatoon</v>
      </c>
      <c r="C836" s="3" t="str">
        <f>新!B835</f>
        <v>[SPL] 20 - Shiver.bin</v>
      </c>
      <c r="D836" s="2" t="str">
        <f>IFERROR(INDEX(旧!A:A,MATCH(测试!A836,旧!E:E,0)),0)</f>
        <v>Splatoon</v>
      </c>
      <c r="E836" s="2" t="str">
        <f>IFERROR(INDEX(旧!B:B,MATCH(测试!A836,旧!E:E,0)),0)</f>
        <v>[SPL] 20 - Shiver.bin</v>
      </c>
      <c r="F836" s="9">
        <f>IFERROR(IF(B836=INDEX(转换!B:B,MATCH(D836,转换!A:A,0)),0,1),1)</f>
        <v>0</v>
      </c>
      <c r="G836" s="9">
        <f t="shared" si="26"/>
        <v>0</v>
      </c>
      <c r="H836" s="9" t="str">
        <f t="shared" ref="H836:H899" si="27">_xlfn.IFS(F836+G836=0,"-",F836+G836=1,"文件名错误",F836+G836=2,"无此文件")</f>
        <v>-</v>
      </c>
    </row>
    <row r="837" spans="1:8" x14ac:dyDescent="0.3">
      <c r="A837" s="3" t="str">
        <f>新!E836</f>
        <v>CRC32:F778724D</v>
      </c>
      <c r="B837" s="3" t="str">
        <f>新!A836</f>
        <v>Splatoon</v>
      </c>
      <c r="C837" s="3" t="str">
        <f>新!B836</f>
        <v>[SPL] 21 - Frye.bin</v>
      </c>
      <c r="D837" s="2" t="str">
        <f>IFERROR(INDEX(旧!A:A,MATCH(测试!A837,旧!E:E,0)),0)</f>
        <v>Splatoon</v>
      </c>
      <c r="E837" s="2" t="str">
        <f>IFERROR(INDEX(旧!B:B,MATCH(测试!A837,旧!E:E,0)),0)</f>
        <v>[SPL] 21 - Frye.bin</v>
      </c>
      <c r="F837" s="9">
        <f>IFERROR(IF(B837=INDEX(转换!B:B,MATCH(D837,转换!A:A,0)),0,1),1)</f>
        <v>0</v>
      </c>
      <c r="G837" s="9">
        <f t="shared" si="26"/>
        <v>0</v>
      </c>
      <c r="H837" s="9" t="str">
        <f t="shared" si="27"/>
        <v>-</v>
      </c>
    </row>
    <row r="838" spans="1:8" x14ac:dyDescent="0.3">
      <c r="A838" s="3" t="str">
        <f>新!E837</f>
        <v>CRC32:3FEDFDCF</v>
      </c>
      <c r="B838" s="3" t="str">
        <f>新!A837</f>
        <v>Splatoon</v>
      </c>
      <c r="C838" s="3" t="str">
        <f>新!B837</f>
        <v>[SPL] 22 - Big Man.bin</v>
      </c>
      <c r="D838" s="2" t="str">
        <f>IFERROR(INDEX(旧!A:A,MATCH(测试!A838,旧!E:E,0)),0)</f>
        <v>Splatoon</v>
      </c>
      <c r="E838" s="2" t="str">
        <f>IFERROR(INDEX(旧!B:B,MATCH(测试!A838,旧!E:E,0)),0)</f>
        <v>[SPL] 22 - Big Man.bin</v>
      </c>
      <c r="F838" s="9">
        <f>IFERROR(IF(B838=INDEX(转换!B:B,MATCH(D838,转换!A:A,0)),0,1),1)</f>
        <v>0</v>
      </c>
      <c r="G838" s="9">
        <f t="shared" si="26"/>
        <v>0</v>
      </c>
      <c r="H838" s="9" t="str">
        <f t="shared" si="27"/>
        <v>-</v>
      </c>
    </row>
    <row r="839" spans="1:8" x14ac:dyDescent="0.3">
      <c r="A839" s="3" t="str">
        <f>新!E838</f>
        <v>CRC32:094B8EEC</v>
      </c>
      <c r="B839" s="3" t="str">
        <f>新!A838</f>
        <v>Splatoon</v>
      </c>
      <c r="C839" s="3" t="str">
        <f>新!B838</f>
        <v>[SPL] 23 - Pearl (Side Order).bin</v>
      </c>
      <c r="D839" s="2" t="str">
        <f>IFERROR(INDEX(旧!A:A,MATCH(测试!A839,旧!E:E,0)),0)</f>
        <v>Splatoon</v>
      </c>
      <c r="E839" s="2" t="str">
        <f>IFERROR(INDEX(旧!B:B,MATCH(测试!A839,旧!E:E,0)),0)</f>
        <v>[SPL] 23 - Pearl (Side Order).bin</v>
      </c>
      <c r="F839" s="9">
        <f>IFERROR(IF(B839=INDEX(转换!B:B,MATCH(D839,转换!A:A,0)),0,1),1)</f>
        <v>0</v>
      </c>
      <c r="G839" s="9">
        <f t="shared" si="26"/>
        <v>0</v>
      </c>
      <c r="H839" s="9" t="str">
        <f t="shared" si="27"/>
        <v>-</v>
      </c>
    </row>
    <row r="840" spans="1:8" x14ac:dyDescent="0.3">
      <c r="A840" s="3" t="str">
        <f>新!E839</f>
        <v>CRC32:091015E5</v>
      </c>
      <c r="B840" s="3" t="str">
        <f>新!A839</f>
        <v>Splatoon</v>
      </c>
      <c r="C840" s="3" t="str">
        <f>新!B839</f>
        <v>[SPL] 24 - Marina (Side Order).bin</v>
      </c>
      <c r="D840" s="2" t="str">
        <f>IFERROR(INDEX(旧!A:A,MATCH(测试!A840,旧!E:E,0)),0)</f>
        <v>Splatoon</v>
      </c>
      <c r="E840" s="2" t="str">
        <f>IFERROR(INDEX(旧!B:B,MATCH(测试!A840,旧!E:E,0)),0)</f>
        <v>[SPL] 24 - Marina (Side Order).bin</v>
      </c>
      <c r="F840" s="9">
        <f>IFERROR(IF(B840=INDEX(转换!B:B,MATCH(D840,转换!A:A,0)),0,1),1)</f>
        <v>0</v>
      </c>
      <c r="G840" s="9">
        <f t="shared" si="26"/>
        <v>0</v>
      </c>
      <c r="H840" s="9" t="str">
        <f t="shared" si="27"/>
        <v>-</v>
      </c>
    </row>
    <row r="841" spans="1:8" x14ac:dyDescent="0.3">
      <c r="A841" s="3" t="str">
        <f>新!E840</f>
        <v>CRC32:596C79CD</v>
      </c>
      <c r="B841" s="3" t="str">
        <f>新!A840</f>
        <v>Splatoon</v>
      </c>
      <c r="C841" s="3" t="str">
        <f>新!B840</f>
        <v>[SPL] 25 - Marie (Alterna).bin</v>
      </c>
      <c r="D841" s="2" t="str">
        <f>IFERROR(INDEX(旧!A:A,MATCH(测试!A841,旧!E:E,0)),0)</f>
        <v>Splatoon</v>
      </c>
      <c r="E841" s="2" t="str">
        <f>IFERROR(INDEX(旧!B:B,MATCH(测试!A841,旧!E:E,0)),0)</f>
        <v>[SPL] 25 - Marie (Alterna).bin</v>
      </c>
      <c r="F841" s="9">
        <f>IFERROR(IF(B841=INDEX(转换!B:B,MATCH(D841,转换!A:A,0)),0,1),1)</f>
        <v>0</v>
      </c>
      <c r="G841" s="9">
        <f t="shared" si="26"/>
        <v>0</v>
      </c>
      <c r="H841" s="9" t="str">
        <f t="shared" si="27"/>
        <v>-</v>
      </c>
    </row>
    <row r="842" spans="1:8" x14ac:dyDescent="0.3">
      <c r="A842" s="3" t="str">
        <f>新!E841</f>
        <v>CRC32:9FEE2604</v>
      </c>
      <c r="B842" s="3" t="str">
        <f>新!A841</f>
        <v>Splatoon</v>
      </c>
      <c r="C842" s="3" t="str">
        <f>新!B841</f>
        <v>[SPL] 26 - Callie (Alterna).bin</v>
      </c>
      <c r="D842" s="2" t="str">
        <f>IFERROR(INDEX(旧!A:A,MATCH(测试!A842,旧!E:E,0)),0)</f>
        <v>Splatoon</v>
      </c>
      <c r="E842" s="2" t="str">
        <f>IFERROR(INDEX(旧!B:B,MATCH(测试!A842,旧!E:E,0)),0)</f>
        <v>[SPL] 26 - Callie (Alterna).bin</v>
      </c>
      <c r="F842" s="9">
        <f>IFERROR(IF(B842=INDEX(转换!B:B,MATCH(D842,转换!A:A,0)),0,1),1)</f>
        <v>0</v>
      </c>
      <c r="G842" s="9">
        <f t="shared" si="26"/>
        <v>0</v>
      </c>
      <c r="H842" s="9" t="str">
        <f t="shared" si="27"/>
        <v>-</v>
      </c>
    </row>
    <row r="843" spans="1:8" x14ac:dyDescent="0.3">
      <c r="A843" s="3" t="str">
        <f>新!E842</f>
        <v>CRC32:5E87D065</v>
      </c>
      <c r="B843" s="3" t="str">
        <f>新!A842</f>
        <v>Street Fighter\Cards</v>
      </c>
      <c r="C843" s="3" t="str">
        <f>新!B842</f>
        <v>[SF6] 01 - Luke.bin</v>
      </c>
      <c r="D843" s="2">
        <f>IFERROR(INDEX(旧!A:A,MATCH(测试!A843,旧!E:E,0)),0)</f>
        <v>0</v>
      </c>
      <c r="E843" s="2">
        <f>IFERROR(INDEX(旧!B:B,MATCH(测试!A843,旧!E:E,0)),0)</f>
        <v>0</v>
      </c>
      <c r="F843" s="9">
        <f>IFERROR(IF(B843=INDEX(转换!B:B,MATCH(D843,转换!A:A,0)),0,1),1)</f>
        <v>1</v>
      </c>
      <c r="G843" s="9">
        <f t="shared" si="26"/>
        <v>1</v>
      </c>
      <c r="H843" s="9" t="str">
        <f t="shared" si="27"/>
        <v>无此文件</v>
      </c>
    </row>
    <row r="844" spans="1:8" x14ac:dyDescent="0.3">
      <c r="A844" s="3" t="str">
        <f>新!E843</f>
        <v>CRC32:A89AF052</v>
      </c>
      <c r="B844" s="3" t="str">
        <f>新!A843</f>
        <v>Street Fighter\Cards</v>
      </c>
      <c r="C844" s="3" t="str">
        <f>新!B843</f>
        <v>[SF6] 02 - Jamie.bin</v>
      </c>
      <c r="D844" s="2">
        <f>IFERROR(INDEX(旧!A:A,MATCH(测试!A844,旧!E:E,0)),0)</f>
        <v>0</v>
      </c>
      <c r="E844" s="2">
        <f>IFERROR(INDEX(旧!B:B,MATCH(测试!A844,旧!E:E,0)),0)</f>
        <v>0</v>
      </c>
      <c r="F844" s="9">
        <f>IFERROR(IF(B844=INDEX(转换!B:B,MATCH(D844,转换!A:A,0)),0,1),1)</f>
        <v>1</v>
      </c>
      <c r="G844" s="9">
        <f t="shared" si="26"/>
        <v>1</v>
      </c>
      <c r="H844" s="9" t="str">
        <f t="shared" si="27"/>
        <v>无此文件</v>
      </c>
    </row>
    <row r="845" spans="1:8" x14ac:dyDescent="0.3">
      <c r="A845" s="3" t="str">
        <f>新!E844</f>
        <v>CRC32:8E232018</v>
      </c>
      <c r="B845" s="3" t="str">
        <f>新!A844</f>
        <v>Street Fighter\Cards</v>
      </c>
      <c r="C845" s="3" t="str">
        <f>新!B844</f>
        <v>[SF6] 03 - Manon.bin</v>
      </c>
      <c r="D845" s="2">
        <f>IFERROR(INDEX(旧!A:A,MATCH(测试!A845,旧!E:E,0)),0)</f>
        <v>0</v>
      </c>
      <c r="E845" s="2">
        <f>IFERROR(INDEX(旧!B:B,MATCH(测试!A845,旧!E:E,0)),0)</f>
        <v>0</v>
      </c>
      <c r="F845" s="9">
        <f>IFERROR(IF(B845=INDEX(转换!B:B,MATCH(D845,转换!A:A,0)),0,1),1)</f>
        <v>1</v>
      </c>
      <c r="G845" s="9">
        <f t="shared" si="26"/>
        <v>1</v>
      </c>
      <c r="H845" s="9" t="str">
        <f t="shared" si="27"/>
        <v>无此文件</v>
      </c>
    </row>
    <row r="846" spans="1:8" x14ac:dyDescent="0.3">
      <c r="A846" s="3" t="str">
        <f>新!E845</f>
        <v>CRC32:AEC59BA1</v>
      </c>
      <c r="B846" s="3" t="str">
        <f>新!A845</f>
        <v>Street Fighter\Cards</v>
      </c>
      <c r="C846" s="3" t="str">
        <f>新!B845</f>
        <v>[SF6] 04 - Kimberly.bin</v>
      </c>
      <c r="D846" s="2">
        <f>IFERROR(INDEX(旧!A:A,MATCH(测试!A846,旧!E:E,0)),0)</f>
        <v>0</v>
      </c>
      <c r="E846" s="2">
        <f>IFERROR(INDEX(旧!B:B,MATCH(测试!A846,旧!E:E,0)),0)</f>
        <v>0</v>
      </c>
      <c r="F846" s="9">
        <f>IFERROR(IF(B846=INDEX(转换!B:B,MATCH(D846,转换!A:A,0)),0,1),1)</f>
        <v>1</v>
      </c>
      <c r="G846" s="9">
        <f t="shared" si="26"/>
        <v>1</v>
      </c>
      <c r="H846" s="9" t="str">
        <f t="shared" si="27"/>
        <v>无此文件</v>
      </c>
    </row>
    <row r="847" spans="1:8" x14ac:dyDescent="0.3">
      <c r="A847" s="3" t="str">
        <f>新!E846</f>
        <v>CRC32:59B2D027</v>
      </c>
      <c r="B847" s="3" t="str">
        <f>新!A846</f>
        <v>Street Fighter\Cards</v>
      </c>
      <c r="C847" s="3" t="str">
        <f>新!B846</f>
        <v>[SF6] 05 - Marisa.bin</v>
      </c>
      <c r="D847" s="2">
        <f>IFERROR(INDEX(旧!A:A,MATCH(测试!A847,旧!E:E,0)),0)</f>
        <v>0</v>
      </c>
      <c r="E847" s="2">
        <f>IFERROR(INDEX(旧!B:B,MATCH(测试!A847,旧!E:E,0)),0)</f>
        <v>0</v>
      </c>
      <c r="F847" s="9">
        <f>IFERROR(IF(B847=INDEX(转换!B:B,MATCH(D847,转换!A:A,0)),0,1),1)</f>
        <v>1</v>
      </c>
      <c r="G847" s="9">
        <f t="shared" si="26"/>
        <v>1</v>
      </c>
      <c r="H847" s="9" t="str">
        <f t="shared" si="27"/>
        <v>无此文件</v>
      </c>
    </row>
    <row r="848" spans="1:8" x14ac:dyDescent="0.3">
      <c r="A848" s="3" t="str">
        <f>新!E847</f>
        <v>CRC32:2834952F</v>
      </c>
      <c r="B848" s="3" t="str">
        <f>新!A847</f>
        <v>Street Fighter\Cards</v>
      </c>
      <c r="C848" s="3" t="str">
        <f>新!B847</f>
        <v>[SF6] 06 - Lily.bin</v>
      </c>
      <c r="D848" s="2">
        <f>IFERROR(INDEX(旧!A:A,MATCH(测试!A848,旧!E:E,0)),0)</f>
        <v>0</v>
      </c>
      <c r="E848" s="2">
        <f>IFERROR(INDEX(旧!B:B,MATCH(测试!A848,旧!E:E,0)),0)</f>
        <v>0</v>
      </c>
      <c r="F848" s="9">
        <f>IFERROR(IF(B848=INDEX(转换!B:B,MATCH(D848,转换!A:A,0)),0,1),1)</f>
        <v>1</v>
      </c>
      <c r="G848" s="9">
        <f t="shared" si="26"/>
        <v>1</v>
      </c>
      <c r="H848" s="9" t="str">
        <f t="shared" si="27"/>
        <v>无此文件</v>
      </c>
    </row>
    <row r="849" spans="1:8" x14ac:dyDescent="0.3">
      <c r="A849" s="3" t="str">
        <f>新!E848</f>
        <v>CRC32:48ACBB61</v>
      </c>
      <c r="B849" s="3" t="str">
        <f>新!A848</f>
        <v>Street Fighter\Cards</v>
      </c>
      <c r="C849" s="3" t="str">
        <f>新!B848</f>
        <v>[SF6] 07 - JP.bin</v>
      </c>
      <c r="D849" s="2">
        <f>IFERROR(INDEX(旧!A:A,MATCH(测试!A849,旧!E:E,0)),0)</f>
        <v>0</v>
      </c>
      <c r="E849" s="2">
        <f>IFERROR(INDEX(旧!B:B,MATCH(测试!A849,旧!E:E,0)),0)</f>
        <v>0</v>
      </c>
      <c r="F849" s="9">
        <f>IFERROR(IF(B849=INDEX(转换!B:B,MATCH(D849,转换!A:A,0)),0,1),1)</f>
        <v>1</v>
      </c>
      <c r="G849" s="9">
        <f t="shared" si="26"/>
        <v>1</v>
      </c>
      <c r="H849" s="9" t="str">
        <f t="shared" si="27"/>
        <v>无此文件</v>
      </c>
    </row>
    <row r="850" spans="1:8" x14ac:dyDescent="0.3">
      <c r="A850" s="3" t="str">
        <f>新!E849</f>
        <v>CRC32:100545F9</v>
      </c>
      <c r="B850" s="3" t="str">
        <f>新!A849</f>
        <v>Street Fighter\Cards</v>
      </c>
      <c r="C850" s="3" t="str">
        <f>新!B849</f>
        <v>[SF6] 08 - Juri.bin</v>
      </c>
      <c r="D850" s="2">
        <f>IFERROR(INDEX(旧!A:A,MATCH(测试!A850,旧!E:E,0)),0)</f>
        <v>0</v>
      </c>
      <c r="E850" s="2">
        <f>IFERROR(INDEX(旧!B:B,MATCH(测试!A850,旧!E:E,0)),0)</f>
        <v>0</v>
      </c>
      <c r="F850" s="9">
        <f>IFERROR(IF(B850=INDEX(转换!B:B,MATCH(D850,转换!A:A,0)),0,1),1)</f>
        <v>1</v>
      </c>
      <c r="G850" s="9">
        <f t="shared" si="26"/>
        <v>1</v>
      </c>
      <c r="H850" s="9" t="str">
        <f t="shared" si="27"/>
        <v>无此文件</v>
      </c>
    </row>
    <row r="851" spans="1:8" x14ac:dyDescent="0.3">
      <c r="A851" s="3" t="str">
        <f>新!E850</f>
        <v>CRC32:30D17065</v>
      </c>
      <c r="B851" s="3" t="str">
        <f>新!A850</f>
        <v>Street Fighter\Cards</v>
      </c>
      <c r="C851" s="3" t="str">
        <f>新!B850</f>
        <v>[SF6] 09 - Dee Jay.bin</v>
      </c>
      <c r="D851" s="2">
        <f>IFERROR(INDEX(旧!A:A,MATCH(测试!A851,旧!E:E,0)),0)</f>
        <v>0</v>
      </c>
      <c r="E851" s="2">
        <f>IFERROR(INDEX(旧!B:B,MATCH(测试!A851,旧!E:E,0)),0)</f>
        <v>0</v>
      </c>
      <c r="F851" s="9">
        <f>IFERROR(IF(B851=INDEX(转换!B:B,MATCH(D851,转换!A:A,0)),0,1),1)</f>
        <v>1</v>
      </c>
      <c r="G851" s="9">
        <f t="shared" si="26"/>
        <v>1</v>
      </c>
      <c r="H851" s="9" t="str">
        <f t="shared" si="27"/>
        <v>无此文件</v>
      </c>
    </row>
    <row r="852" spans="1:8" x14ac:dyDescent="0.3">
      <c r="A852" s="3" t="str">
        <f>新!E851</f>
        <v>CRC32:A085FD39</v>
      </c>
      <c r="B852" s="3" t="str">
        <f>新!A851</f>
        <v>Street Fighter\Cards</v>
      </c>
      <c r="C852" s="3" t="str">
        <f>新!B851</f>
        <v>[SF6] 10 - Cammy.bin</v>
      </c>
      <c r="D852" s="2">
        <f>IFERROR(INDEX(旧!A:A,MATCH(测试!A852,旧!E:E,0)),0)</f>
        <v>0</v>
      </c>
      <c r="E852" s="2">
        <f>IFERROR(INDEX(旧!B:B,MATCH(测试!A852,旧!E:E,0)),0)</f>
        <v>0</v>
      </c>
      <c r="F852" s="9">
        <f>IFERROR(IF(B852=INDEX(转换!B:B,MATCH(D852,转换!A:A,0)),0,1),1)</f>
        <v>1</v>
      </c>
      <c r="G852" s="9">
        <f t="shared" si="26"/>
        <v>1</v>
      </c>
      <c r="H852" s="9" t="str">
        <f t="shared" si="27"/>
        <v>无此文件</v>
      </c>
    </row>
    <row r="853" spans="1:8" x14ac:dyDescent="0.3">
      <c r="A853" s="3" t="str">
        <f>新!E852</f>
        <v>CRC32:74D6F723</v>
      </c>
      <c r="B853" s="3" t="str">
        <f>新!A852</f>
        <v>Street Fighter\Cards</v>
      </c>
      <c r="C853" s="3" t="str">
        <f>新!B852</f>
        <v>[SF6] 11 - Ryu.bin</v>
      </c>
      <c r="D853" s="2">
        <f>IFERROR(INDEX(旧!A:A,MATCH(测试!A853,旧!E:E,0)),0)</f>
        <v>0</v>
      </c>
      <c r="E853" s="2">
        <f>IFERROR(INDEX(旧!B:B,MATCH(测试!A853,旧!E:E,0)),0)</f>
        <v>0</v>
      </c>
      <c r="F853" s="9">
        <f>IFERROR(IF(B853=INDEX(转换!B:B,MATCH(D853,转换!A:A,0)),0,1),1)</f>
        <v>1</v>
      </c>
      <c r="G853" s="9">
        <f t="shared" si="26"/>
        <v>1</v>
      </c>
      <c r="H853" s="9" t="str">
        <f t="shared" si="27"/>
        <v>无此文件</v>
      </c>
    </row>
    <row r="854" spans="1:8" x14ac:dyDescent="0.3">
      <c r="A854" s="3" t="str">
        <f>新!E853</f>
        <v>CRC32:3E0B87C5</v>
      </c>
      <c r="B854" s="3" t="str">
        <f>新!A853</f>
        <v>Street Fighter\Cards</v>
      </c>
      <c r="C854" s="3" t="str">
        <f>新!B853</f>
        <v>[SF6] 12 - E.Honda.bin</v>
      </c>
      <c r="D854" s="2">
        <f>IFERROR(INDEX(旧!A:A,MATCH(测试!A854,旧!E:E,0)),0)</f>
        <v>0</v>
      </c>
      <c r="E854" s="2">
        <f>IFERROR(INDEX(旧!B:B,MATCH(测试!A854,旧!E:E,0)),0)</f>
        <v>0</v>
      </c>
      <c r="F854" s="9">
        <f>IFERROR(IF(B854=INDEX(转换!B:B,MATCH(D854,转换!A:A,0)),0,1),1)</f>
        <v>1</v>
      </c>
      <c r="G854" s="9">
        <f t="shared" si="26"/>
        <v>1</v>
      </c>
      <c r="H854" s="9" t="str">
        <f t="shared" si="27"/>
        <v>无此文件</v>
      </c>
    </row>
    <row r="855" spans="1:8" x14ac:dyDescent="0.3">
      <c r="A855" s="3" t="str">
        <f>新!E854</f>
        <v>CRC32:FD32ED35</v>
      </c>
      <c r="B855" s="3" t="str">
        <f>新!A854</f>
        <v>Street Fighter\Cards</v>
      </c>
      <c r="C855" s="3" t="str">
        <f>新!B854</f>
        <v>[SF6] 13 - Blanka.bin</v>
      </c>
      <c r="D855" s="2">
        <f>IFERROR(INDEX(旧!A:A,MATCH(测试!A855,旧!E:E,0)),0)</f>
        <v>0</v>
      </c>
      <c r="E855" s="2">
        <f>IFERROR(INDEX(旧!B:B,MATCH(测试!A855,旧!E:E,0)),0)</f>
        <v>0</v>
      </c>
      <c r="F855" s="9">
        <f>IFERROR(IF(B855=INDEX(转换!B:B,MATCH(D855,转换!A:A,0)),0,1),1)</f>
        <v>1</v>
      </c>
      <c r="G855" s="9">
        <f t="shared" si="26"/>
        <v>1</v>
      </c>
      <c r="H855" s="9" t="str">
        <f t="shared" si="27"/>
        <v>无此文件</v>
      </c>
    </row>
    <row r="856" spans="1:8" x14ac:dyDescent="0.3">
      <c r="A856" s="3" t="str">
        <f>新!E855</f>
        <v>CRC32:AA85BD73</v>
      </c>
      <c r="B856" s="3" t="str">
        <f>新!A855</f>
        <v>Street Fighter\Cards</v>
      </c>
      <c r="C856" s="3" t="str">
        <f>新!B855</f>
        <v>[SF6] 14 - Guile.bin</v>
      </c>
      <c r="D856" s="2">
        <f>IFERROR(INDEX(旧!A:A,MATCH(测试!A856,旧!E:E,0)),0)</f>
        <v>0</v>
      </c>
      <c r="E856" s="2">
        <f>IFERROR(INDEX(旧!B:B,MATCH(测试!A856,旧!E:E,0)),0)</f>
        <v>0</v>
      </c>
      <c r="F856" s="9">
        <f>IFERROR(IF(B856=INDEX(转换!B:B,MATCH(D856,转换!A:A,0)),0,1),1)</f>
        <v>1</v>
      </c>
      <c r="G856" s="9">
        <f t="shared" si="26"/>
        <v>1</v>
      </c>
      <c r="H856" s="9" t="str">
        <f t="shared" si="27"/>
        <v>无此文件</v>
      </c>
    </row>
    <row r="857" spans="1:8" x14ac:dyDescent="0.3">
      <c r="A857" s="3" t="str">
        <f>新!E856</f>
        <v>CRC32:9812308E</v>
      </c>
      <c r="B857" s="3" t="str">
        <f>新!A856</f>
        <v>Street Fighter\Cards</v>
      </c>
      <c r="C857" s="3" t="str">
        <f>新!B856</f>
        <v>[SF6] 15 - Ken.bin</v>
      </c>
      <c r="D857" s="2">
        <f>IFERROR(INDEX(旧!A:A,MATCH(测试!A857,旧!E:E,0)),0)</f>
        <v>0</v>
      </c>
      <c r="E857" s="2">
        <f>IFERROR(INDEX(旧!B:B,MATCH(测试!A857,旧!E:E,0)),0)</f>
        <v>0</v>
      </c>
      <c r="F857" s="9">
        <f>IFERROR(IF(B857=INDEX(转换!B:B,MATCH(D857,转换!A:A,0)),0,1),1)</f>
        <v>1</v>
      </c>
      <c r="G857" s="9">
        <f t="shared" si="26"/>
        <v>1</v>
      </c>
      <c r="H857" s="9" t="str">
        <f t="shared" si="27"/>
        <v>无此文件</v>
      </c>
    </row>
    <row r="858" spans="1:8" x14ac:dyDescent="0.3">
      <c r="A858" s="3" t="str">
        <f>新!E857</f>
        <v>CRC32:1E79E43C</v>
      </c>
      <c r="B858" s="3" t="str">
        <f>新!A857</f>
        <v>Street Fighter\Cards</v>
      </c>
      <c r="C858" s="3" t="str">
        <f>新!B857</f>
        <v>[SF6] 16 - Chun-Li.bin</v>
      </c>
      <c r="D858" s="2">
        <f>IFERROR(INDEX(旧!A:A,MATCH(测试!A858,旧!E:E,0)),0)</f>
        <v>0</v>
      </c>
      <c r="E858" s="2">
        <f>IFERROR(INDEX(旧!B:B,MATCH(测试!A858,旧!E:E,0)),0)</f>
        <v>0</v>
      </c>
      <c r="F858" s="9">
        <f>IFERROR(IF(B858=INDEX(转换!B:B,MATCH(D858,转换!A:A,0)),0,1),1)</f>
        <v>1</v>
      </c>
      <c r="G858" s="9">
        <f t="shared" si="26"/>
        <v>1</v>
      </c>
      <c r="H858" s="9" t="str">
        <f t="shared" si="27"/>
        <v>无此文件</v>
      </c>
    </row>
    <row r="859" spans="1:8" x14ac:dyDescent="0.3">
      <c r="A859" s="3" t="str">
        <f>新!E858</f>
        <v>CRC32:1269499A</v>
      </c>
      <c r="B859" s="3" t="str">
        <f>新!A858</f>
        <v>Street Fighter\Cards</v>
      </c>
      <c r="C859" s="3" t="str">
        <f>新!B858</f>
        <v>[SF6] 17 - Zangief.bin</v>
      </c>
      <c r="D859" s="2">
        <f>IFERROR(INDEX(旧!A:A,MATCH(测试!A859,旧!E:E,0)),0)</f>
        <v>0</v>
      </c>
      <c r="E859" s="2">
        <f>IFERROR(INDEX(旧!B:B,MATCH(测试!A859,旧!E:E,0)),0)</f>
        <v>0</v>
      </c>
      <c r="F859" s="9">
        <f>IFERROR(IF(B859=INDEX(转换!B:B,MATCH(D859,转换!A:A,0)),0,1),1)</f>
        <v>1</v>
      </c>
      <c r="G859" s="9">
        <f t="shared" si="26"/>
        <v>1</v>
      </c>
      <c r="H859" s="9" t="str">
        <f t="shared" si="27"/>
        <v>无此文件</v>
      </c>
    </row>
    <row r="860" spans="1:8" x14ac:dyDescent="0.3">
      <c r="A860" s="3" t="str">
        <f>新!E859</f>
        <v>CRC32:E3C17F25</v>
      </c>
      <c r="B860" s="3" t="str">
        <f>新!A859</f>
        <v>Street Fighter\Cards</v>
      </c>
      <c r="C860" s="3" t="str">
        <f>新!B859</f>
        <v>[SF6] 18 - Dhalsim.bin</v>
      </c>
      <c r="D860" s="2">
        <f>IFERROR(INDEX(旧!A:A,MATCH(测试!A860,旧!E:E,0)),0)</f>
        <v>0</v>
      </c>
      <c r="E860" s="2">
        <f>IFERROR(INDEX(旧!B:B,MATCH(测试!A860,旧!E:E,0)),0)</f>
        <v>0</v>
      </c>
      <c r="F860" s="9">
        <f>IFERROR(IF(B860=INDEX(转换!B:B,MATCH(D860,转换!A:A,0)),0,1),1)</f>
        <v>1</v>
      </c>
      <c r="G860" s="9">
        <f t="shared" si="26"/>
        <v>1</v>
      </c>
      <c r="H860" s="9" t="str">
        <f t="shared" si="27"/>
        <v>无此文件</v>
      </c>
    </row>
    <row r="861" spans="1:8" x14ac:dyDescent="0.3">
      <c r="A861" s="3" t="str">
        <f>新!E860</f>
        <v>CRC32:1E7C2864</v>
      </c>
      <c r="B861" s="3" t="str">
        <f>新!A860</f>
        <v>Street Fighter\Cards</v>
      </c>
      <c r="C861" s="3" t="str">
        <f>新!B860</f>
        <v>[SF6] 19 - Rashid.bin</v>
      </c>
      <c r="D861" s="2">
        <f>IFERROR(INDEX(旧!A:A,MATCH(测试!A861,旧!E:E,0)),0)</f>
        <v>0</v>
      </c>
      <c r="E861" s="2">
        <f>IFERROR(INDEX(旧!B:B,MATCH(测试!A861,旧!E:E,0)),0)</f>
        <v>0</v>
      </c>
      <c r="F861" s="9">
        <f>IFERROR(IF(B861=INDEX(转换!B:B,MATCH(D861,转换!A:A,0)),0,1),1)</f>
        <v>1</v>
      </c>
      <c r="G861" s="9">
        <f t="shared" si="26"/>
        <v>1</v>
      </c>
      <c r="H861" s="9" t="str">
        <f t="shared" si="27"/>
        <v>无此文件</v>
      </c>
    </row>
    <row r="862" spans="1:8" x14ac:dyDescent="0.3">
      <c r="A862" s="3" t="str">
        <f>新!E861</f>
        <v>CRC32:EF0F747A</v>
      </c>
      <c r="B862" s="3" t="str">
        <f>新!A861</f>
        <v>Street Fighter\Cards</v>
      </c>
      <c r="C862" s="3" t="str">
        <f>新!B861</f>
        <v>[SF6] 20 - A.K.I.bin</v>
      </c>
      <c r="D862" s="2">
        <f>IFERROR(INDEX(旧!A:A,MATCH(测试!A862,旧!E:E,0)),0)</f>
        <v>0</v>
      </c>
      <c r="E862" s="2">
        <f>IFERROR(INDEX(旧!B:B,MATCH(测试!A862,旧!E:E,0)),0)</f>
        <v>0</v>
      </c>
      <c r="F862" s="9">
        <f>IFERROR(IF(B862=INDEX(转换!B:B,MATCH(D862,转换!A:A,0)),0,1),1)</f>
        <v>1</v>
      </c>
      <c r="G862" s="9">
        <f t="shared" si="26"/>
        <v>1</v>
      </c>
      <c r="H862" s="9" t="str">
        <f t="shared" si="27"/>
        <v>无此文件</v>
      </c>
    </row>
    <row r="863" spans="1:8" x14ac:dyDescent="0.3">
      <c r="A863" s="3" t="str">
        <f>新!E862</f>
        <v>CRC32:6AF484AD</v>
      </c>
      <c r="B863" s="3" t="str">
        <f>新!A862</f>
        <v>Street Fighter\Cards</v>
      </c>
      <c r="C863" s="3" t="str">
        <f>新!B862</f>
        <v>[SF6] 21 - ED.bin</v>
      </c>
      <c r="D863" s="2">
        <f>IFERROR(INDEX(旧!A:A,MATCH(测试!A863,旧!E:E,0)),0)</f>
        <v>0</v>
      </c>
      <c r="E863" s="2">
        <f>IFERROR(INDEX(旧!B:B,MATCH(测试!A863,旧!E:E,0)),0)</f>
        <v>0</v>
      </c>
      <c r="F863" s="9">
        <f>IFERROR(IF(B863=INDEX(转换!B:B,MATCH(D863,转换!A:A,0)),0,1),1)</f>
        <v>1</v>
      </c>
      <c r="G863" s="9">
        <f t="shared" si="26"/>
        <v>1</v>
      </c>
      <c r="H863" s="9" t="str">
        <f t="shared" si="27"/>
        <v>无此文件</v>
      </c>
    </row>
    <row r="864" spans="1:8" x14ac:dyDescent="0.3">
      <c r="A864" s="3" t="str">
        <f>新!E863</f>
        <v>CRC32:505B320C</v>
      </c>
      <c r="B864" s="3" t="str">
        <f>新!A863</f>
        <v>Street Fighter\Cards</v>
      </c>
      <c r="C864" s="3" t="str">
        <f>新!B863</f>
        <v>[SF6] 22 - Akuma.bin</v>
      </c>
      <c r="D864" s="2">
        <f>IFERROR(INDEX(旧!A:A,MATCH(测试!A864,旧!E:E,0)),0)</f>
        <v>0</v>
      </c>
      <c r="E864" s="2">
        <f>IFERROR(INDEX(旧!B:B,MATCH(测试!A864,旧!E:E,0)),0)</f>
        <v>0</v>
      </c>
      <c r="F864" s="9">
        <f>IFERROR(IF(B864=INDEX(转换!B:B,MATCH(D864,转换!A:A,0)),0,1),1)</f>
        <v>1</v>
      </c>
      <c r="G864" s="9">
        <f t="shared" si="26"/>
        <v>1</v>
      </c>
      <c r="H864" s="9" t="str">
        <f t="shared" si="27"/>
        <v>无此文件</v>
      </c>
    </row>
    <row r="865" spans="1:8" x14ac:dyDescent="0.3">
      <c r="A865" s="3" t="str">
        <f>新!E864</f>
        <v>CRC32:F31B29A6</v>
      </c>
      <c r="B865" s="3" t="str">
        <f>新!A864</f>
        <v>Street Fighter\Cards</v>
      </c>
      <c r="C865" s="3" t="str">
        <f>新!B864</f>
        <v>[SF6] 23 - M.Bison.bin</v>
      </c>
      <c r="D865" s="2">
        <f>IFERROR(INDEX(旧!A:A,MATCH(测试!A865,旧!E:E,0)),0)</f>
        <v>0</v>
      </c>
      <c r="E865" s="2">
        <f>IFERROR(INDEX(旧!B:B,MATCH(测试!A865,旧!E:E,0)),0)</f>
        <v>0</v>
      </c>
      <c r="F865" s="9">
        <f>IFERROR(IF(B865=INDEX(转换!B:B,MATCH(D865,转换!A:A,0)),0,1),1)</f>
        <v>1</v>
      </c>
      <c r="G865" s="9">
        <f t="shared" si="26"/>
        <v>1</v>
      </c>
      <c r="H865" s="9" t="str">
        <f t="shared" si="27"/>
        <v>无此文件</v>
      </c>
    </row>
    <row r="866" spans="1:8" x14ac:dyDescent="0.3">
      <c r="A866" s="3" t="str">
        <f>新!E865</f>
        <v>CRC32:7F690659</v>
      </c>
      <c r="B866" s="3" t="str">
        <f>新!A865</f>
        <v>Street Fighter\Cards</v>
      </c>
      <c r="C866" s="3" t="str">
        <f>新!B865</f>
        <v>[SF6] 24 - Terry.bin</v>
      </c>
      <c r="D866" s="2">
        <f>IFERROR(INDEX(旧!A:A,MATCH(测试!A866,旧!E:E,0)),0)</f>
        <v>0</v>
      </c>
      <c r="E866" s="2">
        <f>IFERROR(INDEX(旧!B:B,MATCH(测试!A866,旧!E:E,0)),0)</f>
        <v>0</v>
      </c>
      <c r="F866" s="9">
        <f>IFERROR(IF(B866=INDEX(转换!B:B,MATCH(D866,转换!A:A,0)),0,1),1)</f>
        <v>1</v>
      </c>
      <c r="G866" s="9">
        <f t="shared" si="26"/>
        <v>1</v>
      </c>
      <c r="H866" s="9" t="str">
        <f t="shared" si="27"/>
        <v>无此文件</v>
      </c>
    </row>
    <row r="867" spans="1:8" x14ac:dyDescent="0.3">
      <c r="A867" s="3" t="str">
        <f>新!E866</f>
        <v>CRC32:D82C6E57</v>
      </c>
      <c r="B867" s="3" t="str">
        <f>新!A866</f>
        <v>Street Fighter\Cards</v>
      </c>
      <c r="C867" s="3" t="str">
        <f>新!B866</f>
        <v>[SF6] 25 - Mai.bin</v>
      </c>
      <c r="D867" s="2">
        <f>IFERROR(INDEX(旧!A:A,MATCH(测试!A867,旧!E:E,0)),0)</f>
        <v>0</v>
      </c>
      <c r="E867" s="2">
        <f>IFERROR(INDEX(旧!B:B,MATCH(测试!A867,旧!E:E,0)),0)</f>
        <v>0</v>
      </c>
      <c r="F867" s="9">
        <f>IFERROR(IF(B867=INDEX(转换!B:B,MATCH(D867,转换!A:A,0)),0,1),1)</f>
        <v>1</v>
      </c>
      <c r="G867" s="9">
        <f t="shared" si="26"/>
        <v>1</v>
      </c>
      <c r="H867" s="9" t="str">
        <f t="shared" si="27"/>
        <v>无此文件</v>
      </c>
    </row>
    <row r="868" spans="1:8" x14ac:dyDescent="0.3">
      <c r="A868" s="3" t="str">
        <f>新!E867</f>
        <v>CRC32:5EEC98AA</v>
      </c>
      <c r="B868" s="3" t="str">
        <f>新!A867</f>
        <v>Street Fighter\Cards</v>
      </c>
      <c r="C868" s="3" t="str">
        <f>新!B867</f>
        <v>[SF6] 26 - Elena.bin</v>
      </c>
      <c r="D868" s="2">
        <f>IFERROR(INDEX(旧!A:A,MATCH(测试!A868,旧!E:E,0)),0)</f>
        <v>0</v>
      </c>
      <c r="E868" s="2">
        <f>IFERROR(INDEX(旧!B:B,MATCH(测试!A868,旧!E:E,0)),0)</f>
        <v>0</v>
      </c>
      <c r="F868" s="9">
        <f>IFERROR(IF(B868=INDEX(转换!B:B,MATCH(D868,转换!A:A,0)),0,1),1)</f>
        <v>1</v>
      </c>
      <c r="G868" s="9">
        <f t="shared" si="26"/>
        <v>1</v>
      </c>
      <c r="H868" s="9" t="str">
        <f t="shared" si="27"/>
        <v>无此文件</v>
      </c>
    </row>
    <row r="869" spans="1:8" x14ac:dyDescent="0.3">
      <c r="A869" s="3" t="str">
        <f>新!E868</f>
        <v>CRC32:65C1496C</v>
      </c>
      <c r="B869" s="3" t="str">
        <f>新!A868</f>
        <v>Street Fighter\Cards</v>
      </c>
      <c r="C869" s="3" t="str">
        <f>新!B868</f>
        <v>[SF6] 27 - Sagat.bin</v>
      </c>
      <c r="D869" s="2">
        <f>IFERROR(INDEX(旧!A:A,MATCH(测试!A869,旧!E:E,0)),0)</f>
        <v>0</v>
      </c>
      <c r="E869" s="2">
        <f>IFERROR(INDEX(旧!B:B,MATCH(测试!A869,旧!E:E,0)),0)</f>
        <v>0</v>
      </c>
      <c r="F869" s="9">
        <f>IFERROR(IF(B869=INDEX(转换!B:B,MATCH(D869,转换!A:A,0)),0,1),1)</f>
        <v>1</v>
      </c>
      <c r="G869" s="9">
        <f t="shared" si="26"/>
        <v>1</v>
      </c>
      <c r="H869" s="9" t="str">
        <f t="shared" si="27"/>
        <v>无此文件</v>
      </c>
    </row>
    <row r="870" spans="1:8" x14ac:dyDescent="0.3">
      <c r="A870" s="3" t="str">
        <f>新!E869</f>
        <v>CRC32:7F3959AC</v>
      </c>
      <c r="B870" s="3" t="str">
        <f>新!A869</f>
        <v>Street Fighter\Cards</v>
      </c>
      <c r="C870" s="3" t="str">
        <f>新!B869</f>
        <v>[SF6] 28 - C.Viper.bin</v>
      </c>
      <c r="D870" s="2">
        <f>IFERROR(INDEX(旧!A:A,MATCH(测试!A870,旧!E:E,0)),0)</f>
        <v>0</v>
      </c>
      <c r="E870" s="2">
        <f>IFERROR(INDEX(旧!B:B,MATCH(测试!A870,旧!E:E,0)),0)</f>
        <v>0</v>
      </c>
      <c r="F870" s="9">
        <f>IFERROR(IF(B870=INDEX(转换!B:B,MATCH(D870,转换!A:A,0)),0,1),1)</f>
        <v>1</v>
      </c>
      <c r="G870" s="9">
        <f t="shared" si="26"/>
        <v>1</v>
      </c>
      <c r="H870" s="9" t="str">
        <f t="shared" si="27"/>
        <v>无此文件</v>
      </c>
    </row>
    <row r="871" spans="1:8" x14ac:dyDescent="0.3">
      <c r="A871" s="3" t="str">
        <f>新!E870</f>
        <v>CRC32:812B39F7</v>
      </c>
      <c r="B871" s="3" t="str">
        <f>新!A870</f>
        <v>Street Fighter\Cards</v>
      </c>
      <c r="C871" s="3" t="str">
        <f>新!B870</f>
        <v>[SF6] 29 - Alex.bin</v>
      </c>
      <c r="D871" s="2">
        <f>IFERROR(INDEX(旧!A:A,MATCH(测试!A871,旧!E:E,0)),0)</f>
        <v>0</v>
      </c>
      <c r="E871" s="2">
        <f>IFERROR(INDEX(旧!B:B,MATCH(测试!A871,旧!E:E,0)),0)</f>
        <v>0</v>
      </c>
      <c r="F871" s="9">
        <f>IFERROR(IF(B871=INDEX(转换!B:B,MATCH(D871,转换!A:A,0)),0,1),1)</f>
        <v>1</v>
      </c>
      <c r="G871" s="9">
        <f t="shared" si="26"/>
        <v>1</v>
      </c>
      <c r="H871" s="9" t="str">
        <f t="shared" si="27"/>
        <v>无此文件</v>
      </c>
    </row>
    <row r="872" spans="1:8" x14ac:dyDescent="0.3">
      <c r="A872" s="3" t="str">
        <f>新!E871</f>
        <v>CRC32:0E146AC6</v>
      </c>
      <c r="B872" s="3" t="str">
        <f>新!A871</f>
        <v>Street Fighter\Cards</v>
      </c>
      <c r="C872" s="3" t="str">
        <f>新!B871</f>
        <v>[SF6] 30 - Ingrid.bin</v>
      </c>
      <c r="D872" s="2">
        <f>IFERROR(INDEX(旧!A:A,MATCH(测试!A872,旧!E:E,0)),0)</f>
        <v>0</v>
      </c>
      <c r="E872" s="2">
        <f>IFERROR(INDEX(旧!B:B,MATCH(测试!A872,旧!E:E,0)),0)</f>
        <v>0</v>
      </c>
      <c r="F872" s="9">
        <f>IFERROR(IF(B872=INDEX(转换!B:B,MATCH(D872,转换!A:A,0)),0,1),1)</f>
        <v>1</v>
      </c>
      <c r="G872" s="9">
        <f t="shared" si="26"/>
        <v>1</v>
      </c>
      <c r="H872" s="9" t="str">
        <f t="shared" si="27"/>
        <v>无此文件</v>
      </c>
    </row>
    <row r="873" spans="1:8" x14ac:dyDescent="0.3">
      <c r="A873" s="3" t="str">
        <f>新!E872</f>
        <v>CRC32:4BDCBAFD</v>
      </c>
      <c r="B873" s="3" t="str">
        <f>新!A872</f>
        <v>Street Fighter\Cards</v>
      </c>
      <c r="C873" s="3" t="str">
        <f>新!B872</f>
        <v>[SF6] 31 - Luke.bin</v>
      </c>
      <c r="D873" s="2">
        <f>IFERROR(INDEX(旧!A:A,MATCH(测试!A873,旧!E:E,0)),0)</f>
        <v>0</v>
      </c>
      <c r="E873" s="2">
        <f>IFERROR(INDEX(旧!B:B,MATCH(测试!A873,旧!E:E,0)),0)</f>
        <v>0</v>
      </c>
      <c r="F873" s="9">
        <f>IFERROR(IF(B873=INDEX(转换!B:B,MATCH(D873,转换!A:A,0)),0,1),1)</f>
        <v>1</v>
      </c>
      <c r="G873" s="9">
        <f t="shared" si="26"/>
        <v>1</v>
      </c>
      <c r="H873" s="9" t="str">
        <f t="shared" si="27"/>
        <v>无此文件</v>
      </c>
    </row>
    <row r="874" spans="1:8" x14ac:dyDescent="0.3">
      <c r="A874" s="3" t="str">
        <f>新!E873</f>
        <v>CRC32:CE5692F6</v>
      </c>
      <c r="B874" s="3" t="str">
        <f>新!A873</f>
        <v>Street Fighter\Cards</v>
      </c>
      <c r="C874" s="3" t="str">
        <f>新!B873</f>
        <v>[SF6] 32 - Jamie.bin</v>
      </c>
      <c r="D874" s="2">
        <f>IFERROR(INDEX(旧!A:A,MATCH(测试!A874,旧!E:E,0)),0)</f>
        <v>0</v>
      </c>
      <c r="E874" s="2">
        <f>IFERROR(INDEX(旧!B:B,MATCH(测试!A874,旧!E:E,0)),0)</f>
        <v>0</v>
      </c>
      <c r="F874" s="9">
        <f>IFERROR(IF(B874=INDEX(转换!B:B,MATCH(D874,转换!A:A,0)),0,1),1)</f>
        <v>1</v>
      </c>
      <c r="G874" s="9">
        <f t="shared" si="26"/>
        <v>1</v>
      </c>
      <c r="H874" s="9" t="str">
        <f t="shared" si="27"/>
        <v>无此文件</v>
      </c>
    </row>
    <row r="875" spans="1:8" x14ac:dyDescent="0.3">
      <c r="A875" s="3" t="str">
        <f>新!E874</f>
        <v>CRC32:21885647</v>
      </c>
      <c r="B875" s="3" t="str">
        <f>新!A874</f>
        <v>Street Fighter\Cards</v>
      </c>
      <c r="C875" s="3" t="str">
        <f>新!B874</f>
        <v>[SF6] 33 - Manon.bin</v>
      </c>
      <c r="D875" s="2">
        <f>IFERROR(INDEX(旧!A:A,MATCH(测试!A875,旧!E:E,0)),0)</f>
        <v>0</v>
      </c>
      <c r="E875" s="2">
        <f>IFERROR(INDEX(旧!B:B,MATCH(测试!A875,旧!E:E,0)),0)</f>
        <v>0</v>
      </c>
      <c r="F875" s="9">
        <f>IFERROR(IF(B875=INDEX(转换!B:B,MATCH(D875,转换!A:A,0)),0,1),1)</f>
        <v>1</v>
      </c>
      <c r="G875" s="9">
        <f t="shared" ref="G875:G938" si="28">IF(E875=C875,0,1)</f>
        <v>1</v>
      </c>
      <c r="H875" s="9" t="str">
        <f t="shared" si="27"/>
        <v>无此文件</v>
      </c>
    </row>
    <row r="876" spans="1:8" x14ac:dyDescent="0.3">
      <c r="A876" s="3" t="str">
        <f>新!E875</f>
        <v>CRC32:485476A4</v>
      </c>
      <c r="B876" s="3" t="str">
        <f>新!A875</f>
        <v>Street Fighter\Cards</v>
      </c>
      <c r="C876" s="3" t="str">
        <f>新!B875</f>
        <v>[SF6] 34 - Kimberly.bin</v>
      </c>
      <c r="D876" s="2">
        <f>IFERROR(INDEX(旧!A:A,MATCH(测试!A876,旧!E:E,0)),0)</f>
        <v>0</v>
      </c>
      <c r="E876" s="2">
        <f>IFERROR(INDEX(旧!B:B,MATCH(测试!A876,旧!E:E,0)),0)</f>
        <v>0</v>
      </c>
      <c r="F876" s="9">
        <f>IFERROR(IF(B876=INDEX(转换!B:B,MATCH(D876,转换!A:A,0)),0,1),1)</f>
        <v>1</v>
      </c>
      <c r="G876" s="9">
        <f t="shared" si="28"/>
        <v>1</v>
      </c>
      <c r="H876" s="9" t="str">
        <f t="shared" si="27"/>
        <v>无此文件</v>
      </c>
    </row>
    <row r="877" spans="1:8" x14ac:dyDescent="0.3">
      <c r="A877" s="3" t="str">
        <f>新!E876</f>
        <v>CRC32:4C622A86</v>
      </c>
      <c r="B877" s="3" t="str">
        <f>新!A876</f>
        <v>Street Fighter\Cards</v>
      </c>
      <c r="C877" s="3" t="str">
        <f>新!B876</f>
        <v>[SF6] 35 - Marisa.bin</v>
      </c>
      <c r="D877" s="2">
        <f>IFERROR(INDEX(旧!A:A,MATCH(测试!A877,旧!E:E,0)),0)</f>
        <v>0</v>
      </c>
      <c r="E877" s="2">
        <f>IFERROR(INDEX(旧!B:B,MATCH(测试!A877,旧!E:E,0)),0)</f>
        <v>0</v>
      </c>
      <c r="F877" s="9">
        <f>IFERROR(IF(B877=INDEX(转换!B:B,MATCH(D877,转换!A:A,0)),0,1),1)</f>
        <v>1</v>
      </c>
      <c r="G877" s="9">
        <f t="shared" si="28"/>
        <v>1</v>
      </c>
      <c r="H877" s="9" t="str">
        <f t="shared" si="27"/>
        <v>无此文件</v>
      </c>
    </row>
    <row r="878" spans="1:8" x14ac:dyDescent="0.3">
      <c r="A878" s="3" t="str">
        <f>新!E877</f>
        <v>CRC32:20880365</v>
      </c>
      <c r="B878" s="3" t="str">
        <f>新!A877</f>
        <v>Street Fighter\Cards</v>
      </c>
      <c r="C878" s="3" t="str">
        <f>新!B877</f>
        <v>[SF6] 36 - Lily.bin</v>
      </c>
      <c r="D878" s="2">
        <f>IFERROR(INDEX(旧!A:A,MATCH(测试!A878,旧!E:E,0)),0)</f>
        <v>0</v>
      </c>
      <c r="E878" s="2">
        <f>IFERROR(INDEX(旧!B:B,MATCH(测试!A878,旧!E:E,0)),0)</f>
        <v>0</v>
      </c>
      <c r="F878" s="9">
        <f>IFERROR(IF(B878=INDEX(转换!B:B,MATCH(D878,转换!A:A,0)),0,1),1)</f>
        <v>1</v>
      </c>
      <c r="G878" s="9">
        <f t="shared" si="28"/>
        <v>1</v>
      </c>
      <c r="H878" s="9" t="str">
        <f t="shared" si="27"/>
        <v>无此文件</v>
      </c>
    </row>
    <row r="879" spans="1:8" x14ac:dyDescent="0.3">
      <c r="A879" s="3" t="str">
        <f>新!E878</f>
        <v>CRC32:41E501E5</v>
      </c>
      <c r="B879" s="3" t="str">
        <f>新!A878</f>
        <v>Street Fighter\Cards</v>
      </c>
      <c r="C879" s="3" t="str">
        <f>新!B878</f>
        <v>[SF6] 37 - JP.bin</v>
      </c>
      <c r="D879" s="2">
        <f>IFERROR(INDEX(旧!A:A,MATCH(测试!A879,旧!E:E,0)),0)</f>
        <v>0</v>
      </c>
      <c r="E879" s="2">
        <f>IFERROR(INDEX(旧!B:B,MATCH(测试!A879,旧!E:E,0)),0)</f>
        <v>0</v>
      </c>
      <c r="F879" s="9">
        <f>IFERROR(IF(B879=INDEX(转换!B:B,MATCH(D879,转换!A:A,0)),0,1),1)</f>
        <v>1</v>
      </c>
      <c r="G879" s="9">
        <f t="shared" si="28"/>
        <v>1</v>
      </c>
      <c r="H879" s="9" t="str">
        <f t="shared" si="27"/>
        <v>无此文件</v>
      </c>
    </row>
    <row r="880" spans="1:8" x14ac:dyDescent="0.3">
      <c r="A880" s="3" t="str">
        <f>新!E879</f>
        <v>CRC32:177C9040</v>
      </c>
      <c r="B880" s="3" t="str">
        <f>新!A879</f>
        <v>Street Fighter\Cards</v>
      </c>
      <c r="C880" s="3" t="str">
        <f>新!B879</f>
        <v>[SF6] 38 - Juri.bin</v>
      </c>
      <c r="D880" s="2">
        <f>IFERROR(INDEX(旧!A:A,MATCH(测试!A880,旧!E:E,0)),0)</f>
        <v>0</v>
      </c>
      <c r="E880" s="2">
        <f>IFERROR(INDEX(旧!B:B,MATCH(测试!A880,旧!E:E,0)),0)</f>
        <v>0</v>
      </c>
      <c r="F880" s="9">
        <f>IFERROR(IF(B880=INDEX(转换!B:B,MATCH(D880,转换!A:A,0)),0,1),1)</f>
        <v>1</v>
      </c>
      <c r="G880" s="9">
        <f t="shared" si="28"/>
        <v>1</v>
      </c>
      <c r="H880" s="9" t="str">
        <f t="shared" si="27"/>
        <v>无此文件</v>
      </c>
    </row>
    <row r="881" spans="1:8" x14ac:dyDescent="0.3">
      <c r="A881" s="3" t="str">
        <f>新!E880</f>
        <v>CRC32:2165558D</v>
      </c>
      <c r="B881" s="3" t="str">
        <f>新!A880</f>
        <v>Street Fighter\Cards</v>
      </c>
      <c r="C881" s="3" t="str">
        <f>新!B880</f>
        <v>[SF6] 39 - Dee Jay.bin</v>
      </c>
      <c r="D881" s="2">
        <f>IFERROR(INDEX(旧!A:A,MATCH(测试!A881,旧!E:E,0)),0)</f>
        <v>0</v>
      </c>
      <c r="E881" s="2">
        <f>IFERROR(INDEX(旧!B:B,MATCH(测试!A881,旧!E:E,0)),0)</f>
        <v>0</v>
      </c>
      <c r="F881" s="9">
        <f>IFERROR(IF(B881=INDEX(转换!B:B,MATCH(D881,转换!A:A,0)),0,1),1)</f>
        <v>1</v>
      </c>
      <c r="G881" s="9">
        <f t="shared" si="28"/>
        <v>1</v>
      </c>
      <c r="H881" s="9" t="str">
        <f t="shared" si="27"/>
        <v>无此文件</v>
      </c>
    </row>
    <row r="882" spans="1:8" x14ac:dyDescent="0.3">
      <c r="A882" s="3" t="str">
        <f>新!E881</f>
        <v>CRC32:6398F700</v>
      </c>
      <c r="B882" s="3" t="str">
        <f>新!A881</f>
        <v>Street Fighter\Cards</v>
      </c>
      <c r="C882" s="3" t="str">
        <f>新!B881</f>
        <v>[SF6] 40 - Cammy.bin</v>
      </c>
      <c r="D882" s="2">
        <f>IFERROR(INDEX(旧!A:A,MATCH(测试!A882,旧!E:E,0)),0)</f>
        <v>0</v>
      </c>
      <c r="E882" s="2">
        <f>IFERROR(INDEX(旧!B:B,MATCH(测试!A882,旧!E:E,0)),0)</f>
        <v>0</v>
      </c>
      <c r="F882" s="9">
        <f>IFERROR(IF(B882=INDEX(转换!B:B,MATCH(D882,转换!A:A,0)),0,1),1)</f>
        <v>1</v>
      </c>
      <c r="G882" s="9">
        <f t="shared" si="28"/>
        <v>1</v>
      </c>
      <c r="H882" s="9" t="str">
        <f t="shared" si="27"/>
        <v>无此文件</v>
      </c>
    </row>
    <row r="883" spans="1:8" x14ac:dyDescent="0.3">
      <c r="A883" s="3" t="str">
        <f>新!E882</f>
        <v>CRC32:0D45E1C8</v>
      </c>
      <c r="B883" s="3" t="str">
        <f>新!A882</f>
        <v>Street Fighter\Cards</v>
      </c>
      <c r="C883" s="3" t="str">
        <f>新!B882</f>
        <v>[SF6] 41 - Ryu.bin</v>
      </c>
      <c r="D883" s="2">
        <f>IFERROR(INDEX(旧!A:A,MATCH(测试!A883,旧!E:E,0)),0)</f>
        <v>0</v>
      </c>
      <c r="E883" s="2">
        <f>IFERROR(INDEX(旧!B:B,MATCH(测试!A883,旧!E:E,0)),0)</f>
        <v>0</v>
      </c>
      <c r="F883" s="9">
        <f>IFERROR(IF(B883=INDEX(转换!B:B,MATCH(D883,转换!A:A,0)),0,1),1)</f>
        <v>1</v>
      </c>
      <c r="G883" s="9">
        <f t="shared" si="28"/>
        <v>1</v>
      </c>
      <c r="H883" s="9" t="str">
        <f t="shared" si="27"/>
        <v>无此文件</v>
      </c>
    </row>
    <row r="884" spans="1:8" x14ac:dyDescent="0.3">
      <c r="A884" s="3" t="str">
        <f>新!E883</f>
        <v>CRC32:9AB3569A</v>
      </c>
      <c r="B884" s="3" t="str">
        <f>新!A883</f>
        <v>Street Fighter\Cards</v>
      </c>
      <c r="C884" s="3" t="str">
        <f>新!B883</f>
        <v>[SF6] 42 - E.Honda.bin</v>
      </c>
      <c r="D884" s="2">
        <f>IFERROR(INDEX(旧!A:A,MATCH(测试!A884,旧!E:E,0)),0)</f>
        <v>0</v>
      </c>
      <c r="E884" s="2">
        <f>IFERROR(INDEX(旧!B:B,MATCH(测试!A884,旧!E:E,0)),0)</f>
        <v>0</v>
      </c>
      <c r="F884" s="9">
        <f>IFERROR(IF(B884=INDEX(转换!B:B,MATCH(D884,转换!A:A,0)),0,1),1)</f>
        <v>1</v>
      </c>
      <c r="G884" s="9">
        <f t="shared" si="28"/>
        <v>1</v>
      </c>
      <c r="H884" s="9" t="str">
        <f t="shared" si="27"/>
        <v>无此文件</v>
      </c>
    </row>
    <row r="885" spans="1:8" x14ac:dyDescent="0.3">
      <c r="A885" s="3" t="str">
        <f>新!E884</f>
        <v>CRC32:381A053C</v>
      </c>
      <c r="B885" s="3" t="str">
        <f>新!A884</f>
        <v>Street Fighter\Cards</v>
      </c>
      <c r="C885" s="3" t="str">
        <f>新!B884</f>
        <v>[SF6] 43 - Blanka.bin</v>
      </c>
      <c r="D885" s="2">
        <f>IFERROR(INDEX(旧!A:A,MATCH(测试!A885,旧!E:E,0)),0)</f>
        <v>0</v>
      </c>
      <c r="E885" s="2">
        <f>IFERROR(INDEX(旧!B:B,MATCH(测试!A885,旧!E:E,0)),0)</f>
        <v>0</v>
      </c>
      <c r="F885" s="9">
        <f>IFERROR(IF(B885=INDEX(转换!B:B,MATCH(D885,转换!A:A,0)),0,1),1)</f>
        <v>1</v>
      </c>
      <c r="G885" s="9">
        <f t="shared" si="28"/>
        <v>1</v>
      </c>
      <c r="H885" s="9" t="str">
        <f t="shared" si="27"/>
        <v>无此文件</v>
      </c>
    </row>
    <row r="886" spans="1:8" x14ac:dyDescent="0.3">
      <c r="A886" s="3" t="str">
        <f>新!E885</f>
        <v>CRC32:8454ECDC</v>
      </c>
      <c r="B886" s="3" t="str">
        <f>新!A885</f>
        <v>Street Fighter\Cards</v>
      </c>
      <c r="C886" s="3" t="str">
        <f>新!B885</f>
        <v>[SF6] 44 - Guile.bin</v>
      </c>
      <c r="D886" s="2">
        <f>IFERROR(INDEX(旧!A:A,MATCH(测试!A886,旧!E:E,0)),0)</f>
        <v>0</v>
      </c>
      <c r="E886" s="2">
        <f>IFERROR(INDEX(旧!B:B,MATCH(测试!A886,旧!E:E,0)),0)</f>
        <v>0</v>
      </c>
      <c r="F886" s="9">
        <f>IFERROR(IF(B886=INDEX(转换!B:B,MATCH(D886,转换!A:A,0)),0,1),1)</f>
        <v>1</v>
      </c>
      <c r="G886" s="9">
        <f t="shared" si="28"/>
        <v>1</v>
      </c>
      <c r="H886" s="9" t="str">
        <f t="shared" si="27"/>
        <v>无此文件</v>
      </c>
    </row>
    <row r="887" spans="1:8" x14ac:dyDescent="0.3">
      <c r="A887" s="3" t="str">
        <f>新!E886</f>
        <v>CRC32:A6E4E3C4</v>
      </c>
      <c r="B887" s="3" t="str">
        <f>新!A886</f>
        <v>Street Fighter\Cards</v>
      </c>
      <c r="C887" s="3" t="str">
        <f>新!B886</f>
        <v>[SF6] 45 - Ken.bin</v>
      </c>
      <c r="D887" s="2">
        <f>IFERROR(INDEX(旧!A:A,MATCH(测试!A887,旧!E:E,0)),0)</f>
        <v>0</v>
      </c>
      <c r="E887" s="2">
        <f>IFERROR(INDEX(旧!B:B,MATCH(测试!A887,旧!E:E,0)),0)</f>
        <v>0</v>
      </c>
      <c r="F887" s="9">
        <f>IFERROR(IF(B887=INDEX(转换!B:B,MATCH(D887,转换!A:A,0)),0,1),1)</f>
        <v>1</v>
      </c>
      <c r="G887" s="9">
        <f t="shared" si="28"/>
        <v>1</v>
      </c>
      <c r="H887" s="9" t="str">
        <f t="shared" si="27"/>
        <v>无此文件</v>
      </c>
    </row>
    <row r="888" spans="1:8" x14ac:dyDescent="0.3">
      <c r="A888" s="3" t="str">
        <f>新!E887</f>
        <v>CRC32:6E6C5D09</v>
      </c>
      <c r="B888" s="3" t="str">
        <f>新!A887</f>
        <v>Street Fighter\Cards</v>
      </c>
      <c r="C888" s="3" t="str">
        <f>新!B887</f>
        <v>[SF6] 46 - Chun-Li.bin</v>
      </c>
      <c r="D888" s="2">
        <f>IFERROR(INDEX(旧!A:A,MATCH(测试!A888,旧!E:E,0)),0)</f>
        <v>0</v>
      </c>
      <c r="E888" s="2">
        <f>IFERROR(INDEX(旧!B:B,MATCH(测试!A888,旧!E:E,0)),0)</f>
        <v>0</v>
      </c>
      <c r="F888" s="9">
        <f>IFERROR(IF(B888=INDEX(转换!B:B,MATCH(D888,转换!A:A,0)),0,1),1)</f>
        <v>1</v>
      </c>
      <c r="G888" s="9">
        <f t="shared" si="28"/>
        <v>1</v>
      </c>
      <c r="H888" s="9" t="str">
        <f t="shared" si="27"/>
        <v>无此文件</v>
      </c>
    </row>
    <row r="889" spans="1:8" x14ac:dyDescent="0.3">
      <c r="A889" s="3" t="str">
        <f>新!E888</f>
        <v>CRC32:2D558DF9</v>
      </c>
      <c r="B889" s="3" t="str">
        <f>新!A888</f>
        <v>Street Fighter\Cards</v>
      </c>
      <c r="C889" s="3" t="str">
        <f>新!B888</f>
        <v>[SF6] 47 - Zangief.bin</v>
      </c>
      <c r="D889" s="2">
        <f>IFERROR(INDEX(旧!A:A,MATCH(测试!A889,旧!E:E,0)),0)</f>
        <v>0</v>
      </c>
      <c r="E889" s="2">
        <f>IFERROR(INDEX(旧!B:B,MATCH(测试!A889,旧!E:E,0)),0)</f>
        <v>0</v>
      </c>
      <c r="F889" s="9">
        <f>IFERROR(IF(B889=INDEX(转换!B:B,MATCH(D889,转换!A:A,0)),0,1),1)</f>
        <v>1</v>
      </c>
      <c r="G889" s="9">
        <f t="shared" si="28"/>
        <v>1</v>
      </c>
      <c r="H889" s="9" t="str">
        <f t="shared" si="27"/>
        <v>无此文件</v>
      </c>
    </row>
    <row r="890" spans="1:8" x14ac:dyDescent="0.3">
      <c r="A890" s="3" t="str">
        <f>新!E889</f>
        <v>CRC32:00EE84F9</v>
      </c>
      <c r="B890" s="3" t="str">
        <f>新!A889</f>
        <v>Street Fighter\Cards</v>
      </c>
      <c r="C890" s="3" t="str">
        <f>新!B889</f>
        <v>[SF6] 48 - Dhalsim.bin</v>
      </c>
      <c r="D890" s="2">
        <f>IFERROR(INDEX(旧!A:A,MATCH(测试!A890,旧!E:E,0)),0)</f>
        <v>0</v>
      </c>
      <c r="E890" s="2">
        <f>IFERROR(INDEX(旧!B:B,MATCH(测试!A890,旧!E:E,0)),0)</f>
        <v>0</v>
      </c>
      <c r="F890" s="9">
        <f>IFERROR(IF(B890=INDEX(转换!B:B,MATCH(D890,转换!A:A,0)),0,1),1)</f>
        <v>1</v>
      </c>
      <c r="G890" s="9">
        <f t="shared" si="28"/>
        <v>1</v>
      </c>
      <c r="H890" s="9" t="str">
        <f t="shared" si="27"/>
        <v>无此文件</v>
      </c>
    </row>
    <row r="891" spans="1:8" x14ac:dyDescent="0.3">
      <c r="A891" s="3" t="str">
        <f>新!E890</f>
        <v>CRC32:44DCA8BE</v>
      </c>
      <c r="B891" s="3" t="str">
        <f>新!A890</f>
        <v>Street Fighter\Cards</v>
      </c>
      <c r="C891" s="3" t="str">
        <f>新!B890</f>
        <v>[SF6] 49 - Rashid.bin</v>
      </c>
      <c r="D891" s="2">
        <f>IFERROR(INDEX(旧!A:A,MATCH(测试!A891,旧!E:E,0)),0)</f>
        <v>0</v>
      </c>
      <c r="E891" s="2">
        <f>IFERROR(INDEX(旧!B:B,MATCH(测试!A891,旧!E:E,0)),0)</f>
        <v>0</v>
      </c>
      <c r="F891" s="9">
        <f>IFERROR(IF(B891=INDEX(转换!B:B,MATCH(D891,转换!A:A,0)),0,1),1)</f>
        <v>1</v>
      </c>
      <c r="G891" s="9">
        <f t="shared" si="28"/>
        <v>1</v>
      </c>
      <c r="H891" s="9" t="str">
        <f t="shared" si="27"/>
        <v>无此文件</v>
      </c>
    </row>
    <row r="892" spans="1:8" x14ac:dyDescent="0.3">
      <c r="A892" s="3" t="str">
        <f>新!E891</f>
        <v>CRC32:B788C5F8</v>
      </c>
      <c r="B892" s="3" t="str">
        <f>新!A891</f>
        <v>Street Fighter\Cards</v>
      </c>
      <c r="C892" s="3" t="str">
        <f>新!B891</f>
        <v>[SF6] 50 - A.K.I.bin</v>
      </c>
      <c r="D892" s="2">
        <f>IFERROR(INDEX(旧!A:A,MATCH(测试!A892,旧!E:E,0)),0)</f>
        <v>0</v>
      </c>
      <c r="E892" s="2">
        <f>IFERROR(INDEX(旧!B:B,MATCH(测试!A892,旧!E:E,0)),0)</f>
        <v>0</v>
      </c>
      <c r="F892" s="9">
        <f>IFERROR(IF(B892=INDEX(转换!B:B,MATCH(D892,转换!A:A,0)),0,1),1)</f>
        <v>1</v>
      </c>
      <c r="G892" s="9">
        <f t="shared" si="28"/>
        <v>1</v>
      </c>
      <c r="H892" s="9" t="str">
        <f t="shared" si="27"/>
        <v>无此文件</v>
      </c>
    </row>
    <row r="893" spans="1:8" x14ac:dyDescent="0.3">
      <c r="A893" s="3" t="str">
        <f>新!E892</f>
        <v>CRC32:006907DD</v>
      </c>
      <c r="B893" s="3" t="str">
        <f>新!A892</f>
        <v>Street Fighter\Cards</v>
      </c>
      <c r="C893" s="3" t="str">
        <f>新!B892</f>
        <v>[SF6] 51 - ED.bin</v>
      </c>
      <c r="D893" s="2">
        <f>IFERROR(INDEX(旧!A:A,MATCH(测试!A893,旧!E:E,0)),0)</f>
        <v>0</v>
      </c>
      <c r="E893" s="2">
        <f>IFERROR(INDEX(旧!B:B,MATCH(测试!A893,旧!E:E,0)),0)</f>
        <v>0</v>
      </c>
      <c r="F893" s="9">
        <f>IFERROR(IF(B893=INDEX(转换!B:B,MATCH(D893,转换!A:A,0)),0,1),1)</f>
        <v>1</v>
      </c>
      <c r="G893" s="9">
        <f t="shared" si="28"/>
        <v>1</v>
      </c>
      <c r="H893" s="9" t="str">
        <f t="shared" si="27"/>
        <v>无此文件</v>
      </c>
    </row>
    <row r="894" spans="1:8" x14ac:dyDescent="0.3">
      <c r="A894" s="3" t="str">
        <f>新!E893</f>
        <v>CRC32:4B6E57EA</v>
      </c>
      <c r="B894" s="3" t="str">
        <f>新!A893</f>
        <v>Street Fighter\Cards</v>
      </c>
      <c r="C894" s="3" t="str">
        <f>新!B893</f>
        <v>[SF6] 52 - Akuma.bin</v>
      </c>
      <c r="D894" s="2">
        <f>IFERROR(INDEX(旧!A:A,MATCH(测试!A894,旧!E:E,0)),0)</f>
        <v>0</v>
      </c>
      <c r="E894" s="2">
        <f>IFERROR(INDEX(旧!B:B,MATCH(测试!A894,旧!E:E,0)),0)</f>
        <v>0</v>
      </c>
      <c r="F894" s="9">
        <f>IFERROR(IF(B894=INDEX(转换!B:B,MATCH(D894,转换!A:A,0)),0,1),1)</f>
        <v>1</v>
      </c>
      <c r="G894" s="9">
        <f t="shared" si="28"/>
        <v>1</v>
      </c>
      <c r="H894" s="9" t="str">
        <f t="shared" si="27"/>
        <v>无此文件</v>
      </c>
    </row>
    <row r="895" spans="1:8" x14ac:dyDescent="0.3">
      <c r="A895" s="3" t="str">
        <f>新!E894</f>
        <v>CRC32:295C686D</v>
      </c>
      <c r="B895" s="3" t="str">
        <f>新!A894</f>
        <v>Street Fighter\Cards</v>
      </c>
      <c r="C895" s="3" t="str">
        <f>新!B894</f>
        <v>[SF6] 53 - M.Bison (Alt).bin</v>
      </c>
      <c r="D895" s="2">
        <f>IFERROR(INDEX(旧!A:A,MATCH(测试!A895,旧!E:E,0)),0)</f>
        <v>0</v>
      </c>
      <c r="E895" s="2">
        <f>IFERROR(INDEX(旧!B:B,MATCH(测试!A895,旧!E:E,0)),0)</f>
        <v>0</v>
      </c>
      <c r="F895" s="9">
        <f>IFERROR(IF(B895=INDEX(转换!B:B,MATCH(D895,转换!A:A,0)),0,1),1)</f>
        <v>1</v>
      </c>
      <c r="G895" s="9">
        <f t="shared" si="28"/>
        <v>1</v>
      </c>
      <c r="H895" s="9" t="str">
        <f t="shared" si="27"/>
        <v>无此文件</v>
      </c>
    </row>
    <row r="896" spans="1:8" x14ac:dyDescent="0.3">
      <c r="A896" s="3" t="str">
        <f>新!E895</f>
        <v>CRC32:1B47AA0C</v>
      </c>
      <c r="B896" s="3" t="str">
        <f>新!A895</f>
        <v>Street Fighter\Cards</v>
      </c>
      <c r="C896" s="3" t="str">
        <f>新!B895</f>
        <v>[SF6] 54 - Terry (Alt).bin</v>
      </c>
      <c r="D896" s="2">
        <f>IFERROR(INDEX(旧!A:A,MATCH(测试!A896,旧!E:E,0)),0)</f>
        <v>0</v>
      </c>
      <c r="E896" s="2">
        <f>IFERROR(INDEX(旧!B:B,MATCH(测试!A896,旧!E:E,0)),0)</f>
        <v>0</v>
      </c>
      <c r="F896" s="9">
        <f>IFERROR(IF(B896=INDEX(转换!B:B,MATCH(D896,转换!A:A,0)),0,1),1)</f>
        <v>1</v>
      </c>
      <c r="G896" s="9">
        <f t="shared" si="28"/>
        <v>1</v>
      </c>
      <c r="H896" s="9" t="str">
        <f t="shared" si="27"/>
        <v>无此文件</v>
      </c>
    </row>
    <row r="897" spans="1:8" x14ac:dyDescent="0.3">
      <c r="A897" s="3" t="str">
        <f>新!E896</f>
        <v>CRC32:362BB4F2</v>
      </c>
      <c r="B897" s="3" t="str">
        <f>新!A896</f>
        <v>Street Fighter\Cards</v>
      </c>
      <c r="C897" s="3" t="str">
        <f>新!B896</f>
        <v>[SF6] 55 - Mai (Alt).bin</v>
      </c>
      <c r="D897" s="2">
        <f>IFERROR(INDEX(旧!A:A,MATCH(测试!A897,旧!E:E,0)),0)</f>
        <v>0</v>
      </c>
      <c r="E897" s="2">
        <f>IFERROR(INDEX(旧!B:B,MATCH(测试!A897,旧!E:E,0)),0)</f>
        <v>0</v>
      </c>
      <c r="F897" s="9">
        <f>IFERROR(IF(B897=INDEX(转换!B:B,MATCH(D897,转换!A:A,0)),0,1),1)</f>
        <v>1</v>
      </c>
      <c r="G897" s="9">
        <f t="shared" si="28"/>
        <v>1</v>
      </c>
      <c r="H897" s="9" t="str">
        <f t="shared" si="27"/>
        <v>无此文件</v>
      </c>
    </row>
    <row r="898" spans="1:8" x14ac:dyDescent="0.3">
      <c r="A898" s="3" t="str">
        <f>新!E897</f>
        <v>CRC32:D49DCE6F</v>
      </c>
      <c r="B898" s="3" t="str">
        <f>新!A897</f>
        <v>Street Fighter\Cards</v>
      </c>
      <c r="C898" s="3" t="str">
        <f>新!B897</f>
        <v>[SF6] 56 - Elena (Alt).bin</v>
      </c>
      <c r="D898" s="2">
        <f>IFERROR(INDEX(旧!A:A,MATCH(测试!A898,旧!E:E,0)),0)</f>
        <v>0</v>
      </c>
      <c r="E898" s="2">
        <f>IFERROR(INDEX(旧!B:B,MATCH(测试!A898,旧!E:E,0)),0)</f>
        <v>0</v>
      </c>
      <c r="F898" s="9">
        <f>IFERROR(IF(B898=INDEX(转换!B:B,MATCH(D898,转换!A:A,0)),0,1),1)</f>
        <v>1</v>
      </c>
      <c r="G898" s="9">
        <f t="shared" si="28"/>
        <v>1</v>
      </c>
      <c r="H898" s="9" t="str">
        <f t="shared" si="27"/>
        <v>无此文件</v>
      </c>
    </row>
    <row r="899" spans="1:8" x14ac:dyDescent="0.3">
      <c r="A899" s="3" t="str">
        <f>新!E898</f>
        <v>CRC32:49F9BE35</v>
      </c>
      <c r="B899" s="3" t="str">
        <f>新!A898</f>
        <v>Street Fighter\Cards</v>
      </c>
      <c r="C899" s="3" t="str">
        <f>新!B898</f>
        <v>[SF6] 57 - Sagat (Alt).bin</v>
      </c>
      <c r="D899" s="2">
        <f>IFERROR(INDEX(旧!A:A,MATCH(测试!A899,旧!E:E,0)),0)</f>
        <v>0</v>
      </c>
      <c r="E899" s="2">
        <f>IFERROR(INDEX(旧!B:B,MATCH(测试!A899,旧!E:E,0)),0)</f>
        <v>0</v>
      </c>
      <c r="F899" s="9">
        <f>IFERROR(IF(B899=INDEX(转换!B:B,MATCH(D899,转换!A:A,0)),0,1),1)</f>
        <v>1</v>
      </c>
      <c r="G899" s="9">
        <f t="shared" si="28"/>
        <v>1</v>
      </c>
      <c r="H899" s="9" t="str">
        <f t="shared" si="27"/>
        <v>无此文件</v>
      </c>
    </row>
    <row r="900" spans="1:8" x14ac:dyDescent="0.3">
      <c r="A900" s="3" t="str">
        <f>新!E899</f>
        <v>CRC32:C60B1514</v>
      </c>
      <c r="B900" s="3" t="str">
        <f>新!A899</f>
        <v>Street Fighter\Cards</v>
      </c>
      <c r="C900" s="3" t="str">
        <f>新!B899</f>
        <v>[SF6] 58 - C.Viper (Alt).bin</v>
      </c>
      <c r="D900" s="2">
        <f>IFERROR(INDEX(旧!A:A,MATCH(测试!A900,旧!E:E,0)),0)</f>
        <v>0</v>
      </c>
      <c r="E900" s="2">
        <f>IFERROR(INDEX(旧!B:B,MATCH(测试!A900,旧!E:E,0)),0)</f>
        <v>0</v>
      </c>
      <c r="F900" s="9">
        <f>IFERROR(IF(B900=INDEX(转换!B:B,MATCH(D900,转换!A:A,0)),0,1),1)</f>
        <v>1</v>
      </c>
      <c r="G900" s="9">
        <f t="shared" si="28"/>
        <v>1</v>
      </c>
      <c r="H900" s="9" t="str">
        <f t="shared" ref="H900:H963" si="29">_xlfn.IFS(F900+G900=0,"-",F900+G900=1,"文件名错误",F900+G900=2,"无此文件")</f>
        <v>无此文件</v>
      </c>
    </row>
    <row r="901" spans="1:8" x14ac:dyDescent="0.3">
      <c r="A901" s="3" t="str">
        <f>新!E900</f>
        <v>CRC32:5D4E6930</v>
      </c>
      <c r="B901" s="3" t="str">
        <f>新!A900</f>
        <v>Street Fighter\Cards</v>
      </c>
      <c r="C901" s="3" t="str">
        <f>新!B900</f>
        <v>[SF6] 59 - Alex (Alt).bin</v>
      </c>
      <c r="D901" s="2">
        <f>IFERROR(INDEX(旧!A:A,MATCH(测试!A901,旧!E:E,0)),0)</f>
        <v>0</v>
      </c>
      <c r="E901" s="2">
        <f>IFERROR(INDEX(旧!B:B,MATCH(测试!A901,旧!E:E,0)),0)</f>
        <v>0</v>
      </c>
      <c r="F901" s="9">
        <f>IFERROR(IF(B901=INDEX(转换!B:B,MATCH(D901,转换!A:A,0)),0,1),1)</f>
        <v>1</v>
      </c>
      <c r="G901" s="9">
        <f t="shared" si="28"/>
        <v>1</v>
      </c>
      <c r="H901" s="9" t="str">
        <f t="shared" si="29"/>
        <v>无此文件</v>
      </c>
    </row>
    <row r="902" spans="1:8" x14ac:dyDescent="0.3">
      <c r="A902" s="3" t="str">
        <f>新!E901</f>
        <v>CRC32:95B41B4C</v>
      </c>
      <c r="B902" s="3" t="str">
        <f>新!A901</f>
        <v>Street Fighter\Cards</v>
      </c>
      <c r="C902" s="3" t="str">
        <f>新!B901</f>
        <v>[SF6] 60 - Ingrid (Alt).bin</v>
      </c>
      <c r="D902" s="2">
        <f>IFERROR(INDEX(旧!A:A,MATCH(测试!A902,旧!E:E,0)),0)</f>
        <v>0</v>
      </c>
      <c r="E902" s="2">
        <f>IFERROR(INDEX(旧!B:B,MATCH(测试!A902,旧!E:E,0)),0)</f>
        <v>0</v>
      </c>
      <c r="F902" s="9">
        <f>IFERROR(IF(B902=INDEX(转换!B:B,MATCH(D902,转换!A:A,0)),0,1),1)</f>
        <v>1</v>
      </c>
      <c r="G902" s="9">
        <f t="shared" si="28"/>
        <v>1</v>
      </c>
      <c r="H902" s="9" t="str">
        <f t="shared" si="29"/>
        <v>无此文件</v>
      </c>
    </row>
    <row r="903" spans="1:8" x14ac:dyDescent="0.3">
      <c r="A903" s="3" t="str">
        <f>新!E902</f>
        <v>CRC32:0884DAF5</v>
      </c>
      <c r="B903" s="3" t="str">
        <f>新!A902</f>
        <v>Street Fighter\Figures</v>
      </c>
      <c r="C903" s="3" t="str">
        <f>新!B902</f>
        <v>[SF6] 01 - Luke.bin</v>
      </c>
      <c r="D903" s="2">
        <f>IFERROR(INDEX(旧!A:A,MATCH(测试!A903,旧!E:E,0)),0)</f>
        <v>0</v>
      </c>
      <c r="E903" s="2">
        <f>IFERROR(INDEX(旧!B:B,MATCH(测试!A903,旧!E:E,0)),0)</f>
        <v>0</v>
      </c>
      <c r="F903" s="9">
        <f>IFERROR(IF(B903=INDEX(转换!B:B,MATCH(D903,转换!A:A,0)),0,1),1)</f>
        <v>1</v>
      </c>
      <c r="G903" s="9">
        <f t="shared" si="28"/>
        <v>1</v>
      </c>
      <c r="H903" s="9" t="str">
        <f t="shared" si="29"/>
        <v>无此文件</v>
      </c>
    </row>
    <row r="904" spans="1:8" x14ac:dyDescent="0.3">
      <c r="A904" s="3" t="str">
        <f>新!E903</f>
        <v>CRC32:485FAB24</v>
      </c>
      <c r="B904" s="3" t="str">
        <f>新!A903</f>
        <v>Street Fighter\Figures</v>
      </c>
      <c r="C904" s="3" t="str">
        <f>新!B903</f>
        <v>[SF6] 02 - Jamie.bin</v>
      </c>
      <c r="D904" s="2">
        <f>IFERROR(INDEX(旧!A:A,MATCH(测试!A904,旧!E:E,0)),0)</f>
        <v>0</v>
      </c>
      <c r="E904" s="2">
        <f>IFERROR(INDEX(旧!B:B,MATCH(测试!A904,旧!E:E,0)),0)</f>
        <v>0</v>
      </c>
      <c r="F904" s="9">
        <f>IFERROR(IF(B904=INDEX(转换!B:B,MATCH(D904,转换!A:A,0)),0,1),1)</f>
        <v>1</v>
      </c>
      <c r="G904" s="9">
        <f t="shared" si="28"/>
        <v>1</v>
      </c>
      <c r="H904" s="9" t="str">
        <f t="shared" si="29"/>
        <v>无此文件</v>
      </c>
    </row>
    <row r="905" spans="1:8" x14ac:dyDescent="0.3">
      <c r="A905" s="3" t="str">
        <f>新!E904</f>
        <v>CRC32:F096FB64</v>
      </c>
      <c r="B905" s="3" t="str">
        <f>新!A904</f>
        <v>Street Fighter\Figures</v>
      </c>
      <c r="C905" s="3" t="str">
        <f>新!B904</f>
        <v>[SF6] 03 - Kimberly.bin</v>
      </c>
      <c r="D905" s="2">
        <f>IFERROR(INDEX(旧!A:A,MATCH(测试!A905,旧!E:E,0)),0)</f>
        <v>0</v>
      </c>
      <c r="E905" s="2">
        <f>IFERROR(INDEX(旧!B:B,MATCH(测试!A905,旧!E:E,0)),0)</f>
        <v>0</v>
      </c>
      <c r="F905" s="9">
        <f>IFERROR(IF(B905=INDEX(转换!B:B,MATCH(D905,转换!A:A,0)),0,1),1)</f>
        <v>1</v>
      </c>
      <c r="G905" s="9">
        <f t="shared" si="28"/>
        <v>1</v>
      </c>
      <c r="H905" s="9" t="str">
        <f t="shared" si="29"/>
        <v>无此文件</v>
      </c>
    </row>
    <row r="906" spans="1:8" x14ac:dyDescent="0.3">
      <c r="A906" s="3" t="str">
        <f>新!E905</f>
        <v>CRC32:592B2E39</v>
      </c>
      <c r="B906" s="3" t="str">
        <f>新!A905</f>
        <v>Super Smash Bros</v>
      </c>
      <c r="C906" s="3" t="str">
        <f>新!B905</f>
        <v>[SSB] 01 - Mario.bin</v>
      </c>
      <c r="D906" s="2" t="str">
        <f>IFERROR(INDEX(旧!A:A,MATCH(测试!A906,旧!E:E,0)),0)</f>
        <v>Super Smash Bros</v>
      </c>
      <c r="E906" s="2" t="str">
        <f>IFERROR(INDEX(旧!B:B,MATCH(测试!A906,旧!E:E,0)),0)</f>
        <v>[SSB] 01 - Mario.bin</v>
      </c>
      <c r="F906" s="9">
        <f>IFERROR(IF(B906=INDEX(转换!B:B,MATCH(D906,转换!A:A,0)),0,1),1)</f>
        <v>0</v>
      </c>
      <c r="G906" s="9">
        <f t="shared" si="28"/>
        <v>0</v>
      </c>
      <c r="H906" s="9" t="str">
        <f t="shared" si="29"/>
        <v>-</v>
      </c>
    </row>
    <row r="907" spans="1:8" x14ac:dyDescent="0.3">
      <c r="A907" s="3" t="str">
        <f>新!E906</f>
        <v>CRC32:B51298C8</v>
      </c>
      <c r="B907" s="3" t="str">
        <f>新!A906</f>
        <v>Super Smash Bros</v>
      </c>
      <c r="C907" s="3" t="str">
        <f>新!B906</f>
        <v>[SSB] 02 - Peach.bin</v>
      </c>
      <c r="D907" s="2" t="str">
        <f>IFERROR(INDEX(旧!A:A,MATCH(测试!A907,旧!E:E,0)),0)</f>
        <v>Super Smash Bros</v>
      </c>
      <c r="E907" s="2" t="str">
        <f>IFERROR(INDEX(旧!B:B,MATCH(测试!A907,旧!E:E,0)),0)</f>
        <v>[SSB] 02 - Peach.bin</v>
      </c>
      <c r="F907" s="9">
        <f>IFERROR(IF(B907=INDEX(转换!B:B,MATCH(D907,转换!A:A,0)),0,1),1)</f>
        <v>0</v>
      </c>
      <c r="G907" s="9">
        <f t="shared" si="28"/>
        <v>0</v>
      </c>
      <c r="H907" s="9" t="str">
        <f t="shared" si="29"/>
        <v>-</v>
      </c>
    </row>
    <row r="908" spans="1:8" x14ac:dyDescent="0.3">
      <c r="A908" s="3" t="str">
        <f>新!E907</f>
        <v>CRC32:BCF922DF</v>
      </c>
      <c r="B908" s="3" t="str">
        <f>新!A907</f>
        <v>Super Smash Bros</v>
      </c>
      <c r="C908" s="3" t="str">
        <f>新!B907</f>
        <v>[SSB] 03 - Yoshi.bin</v>
      </c>
      <c r="D908" s="2" t="str">
        <f>IFERROR(INDEX(旧!A:A,MATCH(测试!A908,旧!E:E,0)),0)</f>
        <v>Super Smash Bros</v>
      </c>
      <c r="E908" s="2" t="str">
        <f>IFERROR(INDEX(旧!B:B,MATCH(测试!A908,旧!E:E,0)),0)</f>
        <v>[SSB] 03 - Yoshi.bin</v>
      </c>
      <c r="F908" s="9">
        <f>IFERROR(IF(B908=INDEX(转换!B:B,MATCH(D908,转换!A:A,0)),0,1),1)</f>
        <v>0</v>
      </c>
      <c r="G908" s="9">
        <f t="shared" si="28"/>
        <v>0</v>
      </c>
      <c r="H908" s="9" t="str">
        <f t="shared" si="29"/>
        <v>-</v>
      </c>
    </row>
    <row r="909" spans="1:8" x14ac:dyDescent="0.3">
      <c r="A909" s="3" t="str">
        <f>新!E908</f>
        <v>CRC32:4E6D0AEB</v>
      </c>
      <c r="B909" s="3" t="str">
        <f>新!A908</f>
        <v>Super Smash Bros</v>
      </c>
      <c r="C909" s="3" t="str">
        <f>新!B908</f>
        <v>[SSB] 04 - Donkey Kong.bin</v>
      </c>
      <c r="D909" s="2" t="str">
        <f>IFERROR(INDEX(旧!A:A,MATCH(测试!A909,旧!E:E,0)),0)</f>
        <v>Super Smash Bros</v>
      </c>
      <c r="E909" s="2" t="str">
        <f>IFERROR(INDEX(旧!B:B,MATCH(测试!A909,旧!E:E,0)),0)</f>
        <v>[SSB] 04 - Donkey Kong.bin</v>
      </c>
      <c r="F909" s="9">
        <f>IFERROR(IF(B909=INDEX(转换!B:B,MATCH(D909,转换!A:A,0)),0,1),1)</f>
        <v>0</v>
      </c>
      <c r="G909" s="9">
        <f t="shared" si="28"/>
        <v>0</v>
      </c>
      <c r="H909" s="9" t="str">
        <f t="shared" si="29"/>
        <v>-</v>
      </c>
    </row>
    <row r="910" spans="1:8" x14ac:dyDescent="0.3">
      <c r="A910" s="3" t="str">
        <f>新!E909</f>
        <v>CRC32:1BA6C153</v>
      </c>
      <c r="B910" s="3" t="str">
        <f>新!A909</f>
        <v>Super Smash Bros</v>
      </c>
      <c r="C910" s="3" t="str">
        <f>新!B909</f>
        <v>[SSB] 05 - Link.bin</v>
      </c>
      <c r="D910" s="2" t="str">
        <f>IFERROR(INDEX(旧!A:A,MATCH(测试!A910,旧!E:E,0)),0)</f>
        <v>Super Smash Bros</v>
      </c>
      <c r="E910" s="2" t="str">
        <f>IFERROR(INDEX(旧!B:B,MATCH(测试!A910,旧!E:E,0)),0)</f>
        <v>[SSB] 05 - Link.bin</v>
      </c>
      <c r="F910" s="9">
        <f>IFERROR(IF(B910=INDEX(转换!B:B,MATCH(D910,转换!A:A,0)),0,1),1)</f>
        <v>0</v>
      </c>
      <c r="G910" s="9">
        <f t="shared" si="28"/>
        <v>0</v>
      </c>
      <c r="H910" s="9" t="str">
        <f t="shared" si="29"/>
        <v>-</v>
      </c>
    </row>
    <row r="911" spans="1:8" x14ac:dyDescent="0.3">
      <c r="A911" s="3" t="str">
        <f>新!E910</f>
        <v>CRC32:1BA62BE2</v>
      </c>
      <c r="B911" s="3" t="str">
        <f>新!A910</f>
        <v>Super Smash Bros</v>
      </c>
      <c r="C911" s="3" t="str">
        <f>新!B910</f>
        <v>[SSB] 06 - Fox.bin</v>
      </c>
      <c r="D911" s="2" t="str">
        <f>IFERROR(INDEX(旧!A:A,MATCH(测试!A911,旧!E:E,0)),0)</f>
        <v>Super Smash Bros</v>
      </c>
      <c r="E911" s="2" t="str">
        <f>IFERROR(INDEX(旧!B:B,MATCH(测试!A911,旧!E:E,0)),0)</f>
        <v>[SSB] 06 - Fox.bin</v>
      </c>
      <c r="F911" s="9">
        <f>IFERROR(IF(B911=INDEX(转换!B:B,MATCH(D911,转换!A:A,0)),0,1),1)</f>
        <v>0</v>
      </c>
      <c r="G911" s="9">
        <f t="shared" si="28"/>
        <v>0</v>
      </c>
      <c r="H911" s="9" t="str">
        <f t="shared" si="29"/>
        <v>-</v>
      </c>
    </row>
    <row r="912" spans="1:8" x14ac:dyDescent="0.3">
      <c r="A912" s="3" t="str">
        <f>新!E911</f>
        <v>CRC32:343EBFF6</v>
      </c>
      <c r="B912" s="3" t="str">
        <f>新!A911</f>
        <v>Super Smash Bros</v>
      </c>
      <c r="C912" s="3" t="str">
        <f>新!B911</f>
        <v>[SSB] 07 - Samus.bin</v>
      </c>
      <c r="D912" s="2" t="str">
        <f>IFERROR(INDEX(旧!A:A,MATCH(测试!A912,旧!E:E,0)),0)</f>
        <v>Super Smash Bros</v>
      </c>
      <c r="E912" s="2" t="str">
        <f>IFERROR(INDEX(旧!B:B,MATCH(测试!A912,旧!E:E,0)),0)</f>
        <v>[SSB] 07 - Samus.bin</v>
      </c>
      <c r="F912" s="9">
        <f>IFERROR(IF(B912=INDEX(转换!B:B,MATCH(D912,转换!A:A,0)),0,1),1)</f>
        <v>0</v>
      </c>
      <c r="G912" s="9">
        <f t="shared" si="28"/>
        <v>0</v>
      </c>
      <c r="H912" s="9" t="str">
        <f t="shared" si="29"/>
        <v>-</v>
      </c>
    </row>
    <row r="913" spans="1:8" x14ac:dyDescent="0.3">
      <c r="A913" s="3" t="str">
        <f>新!E912</f>
        <v>CRC32:9D921836</v>
      </c>
      <c r="B913" s="3" t="str">
        <f>新!A912</f>
        <v>Super Smash Bros</v>
      </c>
      <c r="C913" s="3" t="str">
        <f>新!B912</f>
        <v>[SSB] 08 - Wii Fit Trainer.bin</v>
      </c>
      <c r="D913" s="2" t="str">
        <f>IFERROR(INDEX(旧!A:A,MATCH(测试!A913,旧!E:E,0)),0)</f>
        <v>Super Smash Bros</v>
      </c>
      <c r="E913" s="2" t="str">
        <f>IFERROR(INDEX(旧!B:B,MATCH(测试!A913,旧!E:E,0)),0)</f>
        <v>[SSB] 08 - Wii Fit Trainer.bin</v>
      </c>
      <c r="F913" s="9">
        <f>IFERROR(IF(B913=INDEX(转换!B:B,MATCH(D913,转换!A:A,0)),0,1),1)</f>
        <v>0</v>
      </c>
      <c r="G913" s="9">
        <f t="shared" si="28"/>
        <v>0</v>
      </c>
      <c r="H913" s="9" t="str">
        <f t="shared" si="29"/>
        <v>-</v>
      </c>
    </row>
    <row r="914" spans="1:8" x14ac:dyDescent="0.3">
      <c r="A914" s="3" t="str">
        <f>新!E913</f>
        <v>CRC32:54D39756</v>
      </c>
      <c r="B914" s="3" t="str">
        <f>新!A913</f>
        <v>Super Smash Bros</v>
      </c>
      <c r="C914" s="3" t="str">
        <f>新!B913</f>
        <v>[SSB] 09 - Villager.bin</v>
      </c>
      <c r="D914" s="2" t="str">
        <f>IFERROR(INDEX(旧!A:A,MATCH(测试!A914,旧!E:E,0)),0)</f>
        <v>Super Smash Bros</v>
      </c>
      <c r="E914" s="2" t="str">
        <f>IFERROR(INDEX(旧!B:B,MATCH(测试!A914,旧!E:E,0)),0)</f>
        <v>[SSB] 09 - Villager.bin</v>
      </c>
      <c r="F914" s="9">
        <f>IFERROR(IF(B914=INDEX(转换!B:B,MATCH(D914,转换!A:A,0)),0,1),1)</f>
        <v>0</v>
      </c>
      <c r="G914" s="9">
        <f t="shared" si="28"/>
        <v>0</v>
      </c>
      <c r="H914" s="9" t="str">
        <f t="shared" si="29"/>
        <v>-</v>
      </c>
    </row>
    <row r="915" spans="1:8" x14ac:dyDescent="0.3">
      <c r="A915" s="3" t="str">
        <f>新!E914</f>
        <v>CRC32:77E08732</v>
      </c>
      <c r="B915" s="3" t="str">
        <f>新!A914</f>
        <v>Super Smash Bros</v>
      </c>
      <c r="C915" s="3" t="str">
        <f>新!B914</f>
        <v>[SSB] 10 - Pikachu.bin</v>
      </c>
      <c r="D915" s="2" t="str">
        <f>IFERROR(INDEX(旧!A:A,MATCH(测试!A915,旧!E:E,0)),0)</f>
        <v>Super Smash Bros</v>
      </c>
      <c r="E915" s="2" t="str">
        <f>IFERROR(INDEX(旧!B:B,MATCH(测试!A915,旧!E:E,0)),0)</f>
        <v>[SSB] 10 - Pikachu.bin</v>
      </c>
      <c r="F915" s="9">
        <f>IFERROR(IF(B915=INDEX(转换!B:B,MATCH(D915,转换!A:A,0)),0,1),1)</f>
        <v>0</v>
      </c>
      <c r="G915" s="9">
        <f t="shared" si="28"/>
        <v>0</v>
      </c>
      <c r="H915" s="9" t="str">
        <f t="shared" si="29"/>
        <v>-</v>
      </c>
    </row>
    <row r="916" spans="1:8" x14ac:dyDescent="0.3">
      <c r="A916" s="3" t="str">
        <f>新!E915</f>
        <v>CRC32:CD2B5879</v>
      </c>
      <c r="B916" s="3" t="str">
        <f>新!A915</f>
        <v>Super Smash Bros</v>
      </c>
      <c r="C916" s="3" t="str">
        <f>新!B915</f>
        <v>[SSB] 11 - Kirby.bin</v>
      </c>
      <c r="D916" s="2" t="str">
        <f>IFERROR(INDEX(旧!A:A,MATCH(测试!A916,旧!E:E,0)),0)</f>
        <v>Super Smash Bros</v>
      </c>
      <c r="E916" s="2" t="str">
        <f>IFERROR(INDEX(旧!B:B,MATCH(测试!A916,旧!E:E,0)),0)</f>
        <v>[SSB] 11 - Kirby.bin</v>
      </c>
      <c r="F916" s="9">
        <f>IFERROR(IF(B916=INDEX(转换!B:B,MATCH(D916,转换!A:A,0)),0,1),1)</f>
        <v>0</v>
      </c>
      <c r="G916" s="9">
        <f t="shared" si="28"/>
        <v>0</v>
      </c>
      <c r="H916" s="9" t="str">
        <f t="shared" si="29"/>
        <v>-</v>
      </c>
    </row>
    <row r="917" spans="1:8" x14ac:dyDescent="0.3">
      <c r="A917" s="3" t="str">
        <f>新!E916</f>
        <v>CRC32:30D44E6F</v>
      </c>
      <c r="B917" s="3" t="str">
        <f>新!A916</f>
        <v>Super Smash Bros</v>
      </c>
      <c r="C917" s="3" t="str">
        <f>新!B916</f>
        <v>[SSB] 12 - Marth.bin</v>
      </c>
      <c r="D917" s="2" t="str">
        <f>IFERROR(INDEX(旧!A:A,MATCH(测试!A917,旧!E:E,0)),0)</f>
        <v>Super Smash Bros</v>
      </c>
      <c r="E917" s="2" t="str">
        <f>IFERROR(INDEX(旧!B:B,MATCH(测试!A917,旧!E:E,0)),0)</f>
        <v>[SSB] 12 - Marth.bin</v>
      </c>
      <c r="F917" s="9">
        <f>IFERROR(IF(B917=INDEX(转换!B:B,MATCH(D917,转换!A:A,0)),0,1),1)</f>
        <v>0</v>
      </c>
      <c r="G917" s="9">
        <f t="shared" si="28"/>
        <v>0</v>
      </c>
      <c r="H917" s="9" t="str">
        <f t="shared" si="29"/>
        <v>-</v>
      </c>
    </row>
    <row r="918" spans="1:8" x14ac:dyDescent="0.3">
      <c r="A918" s="3" t="str">
        <f>新!E917</f>
        <v>CRC32:AA490BBF</v>
      </c>
      <c r="B918" s="3" t="str">
        <f>新!A917</f>
        <v>Super Smash Bros</v>
      </c>
      <c r="C918" s="3" t="str">
        <f>新!B917</f>
        <v>[SSB] 13 - Zelda.bin</v>
      </c>
      <c r="D918" s="2" t="str">
        <f>IFERROR(INDEX(旧!A:A,MATCH(测试!A918,旧!E:E,0)),0)</f>
        <v>Super Smash Bros</v>
      </c>
      <c r="E918" s="2" t="str">
        <f>IFERROR(INDEX(旧!B:B,MATCH(测试!A918,旧!E:E,0)),0)</f>
        <v>[SSB] 13 - Zelda.bin</v>
      </c>
      <c r="F918" s="9">
        <f>IFERROR(IF(B918=INDEX(转换!B:B,MATCH(D918,转换!A:A,0)),0,1),1)</f>
        <v>0</v>
      </c>
      <c r="G918" s="9">
        <f t="shared" si="28"/>
        <v>0</v>
      </c>
      <c r="H918" s="9" t="str">
        <f t="shared" si="29"/>
        <v>-</v>
      </c>
    </row>
    <row r="919" spans="1:8" x14ac:dyDescent="0.3">
      <c r="A919" s="3" t="str">
        <f>新!E918</f>
        <v>CRC32:B2C91C30</v>
      </c>
      <c r="B919" s="3" t="str">
        <f>新!A918</f>
        <v>Super Smash Bros</v>
      </c>
      <c r="C919" s="3" t="str">
        <f>新!B918</f>
        <v>[SSB] 14 - Diddy Kong.bin</v>
      </c>
      <c r="D919" s="2" t="str">
        <f>IFERROR(INDEX(旧!A:A,MATCH(测试!A919,旧!E:E,0)),0)</f>
        <v>Super Smash Bros</v>
      </c>
      <c r="E919" s="2" t="str">
        <f>IFERROR(INDEX(旧!B:B,MATCH(测试!A919,旧!E:E,0)),0)</f>
        <v>[SSB] 14 - Diddy Kong.bin</v>
      </c>
      <c r="F919" s="9">
        <f>IFERROR(IF(B919=INDEX(转换!B:B,MATCH(D919,转换!A:A,0)),0,1),1)</f>
        <v>0</v>
      </c>
      <c r="G919" s="9">
        <f t="shared" si="28"/>
        <v>0</v>
      </c>
      <c r="H919" s="9" t="str">
        <f t="shared" si="29"/>
        <v>-</v>
      </c>
    </row>
    <row r="920" spans="1:8" x14ac:dyDescent="0.3">
      <c r="A920" s="3" t="str">
        <f>新!E919</f>
        <v>CRC32:0A9C0C36</v>
      </c>
      <c r="B920" s="3" t="str">
        <f>新!A919</f>
        <v>Super Smash Bros</v>
      </c>
      <c r="C920" s="3" t="str">
        <f>新!B919</f>
        <v>[SSB] 15 - Luigi.bin</v>
      </c>
      <c r="D920" s="2" t="str">
        <f>IFERROR(INDEX(旧!A:A,MATCH(测试!A920,旧!E:E,0)),0)</f>
        <v>Super Smash Bros</v>
      </c>
      <c r="E920" s="2" t="str">
        <f>IFERROR(INDEX(旧!B:B,MATCH(测试!A920,旧!E:E,0)),0)</f>
        <v>[SSB] 15 - Luigi.bin</v>
      </c>
      <c r="F920" s="9">
        <f>IFERROR(IF(B920=INDEX(转换!B:B,MATCH(D920,转换!A:A,0)),0,1),1)</f>
        <v>0</v>
      </c>
      <c r="G920" s="9">
        <f t="shared" si="28"/>
        <v>0</v>
      </c>
      <c r="H920" s="9" t="str">
        <f t="shared" si="29"/>
        <v>-</v>
      </c>
    </row>
    <row r="921" spans="1:8" x14ac:dyDescent="0.3">
      <c r="A921" s="3" t="str">
        <f>新!E920</f>
        <v>CRC32:2D52D630</v>
      </c>
      <c r="B921" s="3" t="str">
        <f>新!A920</f>
        <v>Super Smash Bros</v>
      </c>
      <c r="C921" s="3" t="str">
        <f>新!B920</f>
        <v>[SSB] 16 - Little Mac.bin</v>
      </c>
      <c r="D921" s="2" t="str">
        <f>IFERROR(INDEX(旧!A:A,MATCH(测试!A921,旧!E:E,0)),0)</f>
        <v>Super Smash Bros</v>
      </c>
      <c r="E921" s="2" t="str">
        <f>IFERROR(INDEX(旧!B:B,MATCH(测试!A921,旧!E:E,0)),0)</f>
        <v>[SSB] 16 - Little Mac.bin</v>
      </c>
      <c r="F921" s="9">
        <f>IFERROR(IF(B921=INDEX(转换!B:B,MATCH(D921,转换!A:A,0)),0,1),1)</f>
        <v>0</v>
      </c>
      <c r="G921" s="9">
        <f t="shared" si="28"/>
        <v>0</v>
      </c>
      <c r="H921" s="9" t="str">
        <f t="shared" si="29"/>
        <v>-</v>
      </c>
    </row>
    <row r="922" spans="1:8" x14ac:dyDescent="0.3">
      <c r="A922" s="3" t="str">
        <f>新!E921</f>
        <v>CRC32:75EE024F</v>
      </c>
      <c r="B922" s="3" t="str">
        <f>新!A921</f>
        <v>Super Smash Bros</v>
      </c>
      <c r="C922" s="3" t="str">
        <f>新!B921</f>
        <v>[SSB] 17 - Pit.bin</v>
      </c>
      <c r="D922" s="2" t="str">
        <f>IFERROR(INDEX(旧!A:A,MATCH(测试!A922,旧!E:E,0)),0)</f>
        <v>Super Smash Bros</v>
      </c>
      <c r="E922" s="2" t="str">
        <f>IFERROR(INDEX(旧!B:B,MATCH(测试!A922,旧!E:E,0)),0)</f>
        <v>[SSB] 17 - Pit.bin</v>
      </c>
      <c r="F922" s="9">
        <f>IFERROR(IF(B922=INDEX(转换!B:B,MATCH(D922,转换!A:A,0)),0,1),1)</f>
        <v>0</v>
      </c>
      <c r="G922" s="9">
        <f t="shared" si="28"/>
        <v>0</v>
      </c>
      <c r="H922" s="9" t="str">
        <f t="shared" si="29"/>
        <v>-</v>
      </c>
    </row>
    <row r="923" spans="1:8" x14ac:dyDescent="0.3">
      <c r="A923" s="3" t="str">
        <f>新!E922</f>
        <v>CRC32:C8A32E17</v>
      </c>
      <c r="B923" s="3" t="str">
        <f>新!A922</f>
        <v>Super Smash Bros</v>
      </c>
      <c r="C923" s="3" t="str">
        <f>新!B922</f>
        <v>[SSB] 18 - Captain Falcon.bin</v>
      </c>
      <c r="D923" s="2" t="str">
        <f>IFERROR(INDEX(旧!A:A,MATCH(测试!A923,旧!E:E,0)),0)</f>
        <v>Super Smash Bros</v>
      </c>
      <c r="E923" s="2" t="str">
        <f>IFERROR(INDEX(旧!B:B,MATCH(测试!A923,旧!E:E,0)),0)</f>
        <v>[SSB] 18 - Captain Falcon.bin</v>
      </c>
      <c r="F923" s="9">
        <f>IFERROR(IF(B923=INDEX(转换!B:B,MATCH(D923,转换!A:A,0)),0,1),1)</f>
        <v>0</v>
      </c>
      <c r="G923" s="9">
        <f t="shared" si="28"/>
        <v>0</v>
      </c>
      <c r="H923" s="9" t="str">
        <f t="shared" si="29"/>
        <v>-</v>
      </c>
    </row>
    <row r="924" spans="1:8" x14ac:dyDescent="0.3">
      <c r="A924" s="3" t="str">
        <f>新!E923</f>
        <v>CRC32:56539C8D</v>
      </c>
      <c r="B924" s="3" t="str">
        <f>新!A923</f>
        <v>Super Smash Bros</v>
      </c>
      <c r="C924" s="3" t="str">
        <f>新!B923</f>
        <v>[SSB] 19 - Rosalina.bin</v>
      </c>
      <c r="D924" s="2" t="str">
        <f>IFERROR(INDEX(旧!A:A,MATCH(测试!A924,旧!E:E,0)),0)</f>
        <v>Super Smash Bros</v>
      </c>
      <c r="E924" s="2" t="str">
        <f>IFERROR(INDEX(旧!B:B,MATCH(测试!A924,旧!E:E,0)),0)</f>
        <v>[SSB] 19 - Rosalina.bin</v>
      </c>
      <c r="F924" s="9">
        <f>IFERROR(IF(B924=INDEX(转换!B:B,MATCH(D924,转换!A:A,0)),0,1),1)</f>
        <v>0</v>
      </c>
      <c r="G924" s="9">
        <f t="shared" si="28"/>
        <v>0</v>
      </c>
      <c r="H924" s="9" t="str">
        <f t="shared" si="29"/>
        <v>-</v>
      </c>
    </row>
    <row r="925" spans="1:8" x14ac:dyDescent="0.3">
      <c r="A925" s="3" t="str">
        <f>新!E924</f>
        <v>CRC32:6069ADF0</v>
      </c>
      <c r="B925" s="3" t="str">
        <f>新!A924</f>
        <v>Super Smash Bros</v>
      </c>
      <c r="C925" s="3" t="str">
        <f>新!B924</f>
        <v>[SSB] 20 - Bowser.bin</v>
      </c>
      <c r="D925" s="2" t="str">
        <f>IFERROR(INDEX(旧!A:A,MATCH(测试!A925,旧!E:E,0)),0)</f>
        <v>Super Smash Bros</v>
      </c>
      <c r="E925" s="2" t="str">
        <f>IFERROR(INDEX(旧!B:B,MATCH(测试!A925,旧!E:E,0)),0)</f>
        <v>[SSB] 20 - Bowser.bin</v>
      </c>
      <c r="F925" s="9">
        <f>IFERROR(IF(B925=INDEX(转换!B:B,MATCH(D925,转换!A:A,0)),0,1),1)</f>
        <v>0</v>
      </c>
      <c r="G925" s="9">
        <f t="shared" si="28"/>
        <v>0</v>
      </c>
      <c r="H925" s="9" t="str">
        <f t="shared" si="29"/>
        <v>-</v>
      </c>
    </row>
    <row r="926" spans="1:8" x14ac:dyDescent="0.3">
      <c r="A926" s="3" t="str">
        <f>新!E925</f>
        <v>CRC32:B7A4DF04</v>
      </c>
      <c r="B926" s="3" t="str">
        <f>新!A925</f>
        <v>Super Smash Bros</v>
      </c>
      <c r="C926" s="3" t="str">
        <f>新!B925</f>
        <v>[SSB] 21 - Lucario.bin</v>
      </c>
      <c r="D926" s="2" t="str">
        <f>IFERROR(INDEX(旧!A:A,MATCH(测试!A926,旧!E:E,0)),0)</f>
        <v>Super Smash Bros</v>
      </c>
      <c r="E926" s="2" t="str">
        <f>IFERROR(INDEX(旧!B:B,MATCH(测试!A926,旧!E:E,0)),0)</f>
        <v>[SSB] 21 - Lucario.bin</v>
      </c>
      <c r="F926" s="9">
        <f>IFERROR(IF(B926=INDEX(转换!B:B,MATCH(D926,转换!A:A,0)),0,1),1)</f>
        <v>0</v>
      </c>
      <c r="G926" s="9">
        <f t="shared" si="28"/>
        <v>0</v>
      </c>
      <c r="H926" s="9" t="str">
        <f t="shared" si="29"/>
        <v>-</v>
      </c>
    </row>
    <row r="927" spans="1:8" x14ac:dyDescent="0.3">
      <c r="A927" s="3" t="str">
        <f>新!E926</f>
        <v>CRC32:A38C7A49</v>
      </c>
      <c r="B927" s="3" t="str">
        <f>新!A926</f>
        <v>Super Smash Bros</v>
      </c>
      <c r="C927" s="3" t="str">
        <f>新!B926</f>
        <v>[SSB] 22 - Toon Link.bin</v>
      </c>
      <c r="D927" s="2" t="str">
        <f>IFERROR(INDEX(旧!A:A,MATCH(测试!A927,旧!E:E,0)),0)</f>
        <v>Super Smash Bros</v>
      </c>
      <c r="E927" s="2" t="str">
        <f>IFERROR(INDEX(旧!B:B,MATCH(测试!A927,旧!E:E,0)),0)</f>
        <v>[SSB] 22 - Toon Link.bin</v>
      </c>
      <c r="F927" s="9">
        <f>IFERROR(IF(B927=INDEX(转换!B:B,MATCH(D927,转换!A:A,0)),0,1),1)</f>
        <v>0</v>
      </c>
      <c r="G927" s="9">
        <f t="shared" si="28"/>
        <v>0</v>
      </c>
      <c r="H927" s="9" t="str">
        <f t="shared" si="29"/>
        <v>-</v>
      </c>
    </row>
    <row r="928" spans="1:8" x14ac:dyDescent="0.3">
      <c r="A928" s="3" t="str">
        <f>新!E927</f>
        <v>CRC32:98324D60</v>
      </c>
      <c r="B928" s="3" t="str">
        <f>新!A927</f>
        <v>Super Smash Bros</v>
      </c>
      <c r="C928" s="3" t="str">
        <f>新!B927</f>
        <v>[SSB] 23 - Sheik.bin</v>
      </c>
      <c r="D928" s="2" t="str">
        <f>IFERROR(INDEX(旧!A:A,MATCH(测试!A928,旧!E:E,0)),0)</f>
        <v>Super Smash Bros</v>
      </c>
      <c r="E928" s="2" t="str">
        <f>IFERROR(INDEX(旧!B:B,MATCH(测试!A928,旧!E:E,0)),0)</f>
        <v>[SSB] 23 - Sheik.bin</v>
      </c>
      <c r="F928" s="9">
        <f>IFERROR(IF(B928=INDEX(转换!B:B,MATCH(D928,转换!A:A,0)),0,1),1)</f>
        <v>0</v>
      </c>
      <c r="G928" s="9">
        <f t="shared" si="28"/>
        <v>0</v>
      </c>
      <c r="H928" s="9" t="str">
        <f t="shared" si="29"/>
        <v>-</v>
      </c>
    </row>
    <row r="929" spans="1:8" x14ac:dyDescent="0.3">
      <c r="A929" s="3" t="str">
        <f>新!E928</f>
        <v>CRC32:4D0E8776</v>
      </c>
      <c r="B929" s="3" t="str">
        <f>新!A928</f>
        <v>Super Smash Bros</v>
      </c>
      <c r="C929" s="3" t="str">
        <f>新!B928</f>
        <v>[SSB] 24 - Ike.bin</v>
      </c>
      <c r="D929" s="2" t="str">
        <f>IFERROR(INDEX(旧!A:A,MATCH(测试!A929,旧!E:E,0)),0)</f>
        <v>Super Smash Bros</v>
      </c>
      <c r="E929" s="2" t="str">
        <f>IFERROR(INDEX(旧!B:B,MATCH(测试!A929,旧!E:E,0)),0)</f>
        <v>[SSB] 24 - Ike.bin</v>
      </c>
      <c r="F929" s="9">
        <f>IFERROR(IF(B929=INDEX(转换!B:B,MATCH(D929,转换!A:A,0)),0,1),1)</f>
        <v>0</v>
      </c>
      <c r="G929" s="9">
        <f t="shared" si="28"/>
        <v>0</v>
      </c>
      <c r="H929" s="9" t="str">
        <f t="shared" si="29"/>
        <v>-</v>
      </c>
    </row>
    <row r="930" spans="1:8" x14ac:dyDescent="0.3">
      <c r="A930" s="3" t="str">
        <f>新!E929</f>
        <v>CRC32:E1F93863</v>
      </c>
      <c r="B930" s="3" t="str">
        <f>新!A929</f>
        <v>Super Smash Bros</v>
      </c>
      <c r="C930" s="3" t="str">
        <f>新!B929</f>
        <v>[SSB] 25 - Shulk.bin</v>
      </c>
      <c r="D930" s="2" t="str">
        <f>IFERROR(INDEX(旧!A:A,MATCH(测试!A930,旧!E:E,0)),0)</f>
        <v>Super Smash Bros</v>
      </c>
      <c r="E930" s="2" t="str">
        <f>IFERROR(INDEX(旧!B:B,MATCH(测试!A930,旧!E:E,0)),0)</f>
        <v>[SSB] 25 - Shulk.bin</v>
      </c>
      <c r="F930" s="9">
        <f>IFERROR(IF(B930=INDEX(转换!B:B,MATCH(D930,转换!A:A,0)),0,1),1)</f>
        <v>0</v>
      </c>
      <c r="G930" s="9">
        <f t="shared" si="28"/>
        <v>0</v>
      </c>
      <c r="H930" s="9" t="str">
        <f t="shared" si="29"/>
        <v>-</v>
      </c>
    </row>
    <row r="931" spans="1:8" x14ac:dyDescent="0.3">
      <c r="A931" s="3" t="str">
        <f>新!E930</f>
        <v>CRC32:A9A243A8</v>
      </c>
      <c r="B931" s="3" t="str">
        <f>新!A930</f>
        <v>Super Smash Bros</v>
      </c>
      <c r="C931" s="3" t="str">
        <f>新!B930</f>
        <v>[SSB] 26 - Sonic.bin</v>
      </c>
      <c r="D931" s="2" t="str">
        <f>IFERROR(INDEX(旧!A:A,MATCH(测试!A931,旧!E:E,0)),0)</f>
        <v>Super Smash Bros</v>
      </c>
      <c r="E931" s="2" t="str">
        <f>IFERROR(INDEX(旧!B:B,MATCH(测试!A931,旧!E:E,0)),0)</f>
        <v>[SSB] 26 - Sonic.bin</v>
      </c>
      <c r="F931" s="9">
        <f>IFERROR(IF(B931=INDEX(转换!B:B,MATCH(D931,转换!A:A,0)),0,1),1)</f>
        <v>0</v>
      </c>
      <c r="G931" s="9">
        <f t="shared" si="28"/>
        <v>0</v>
      </c>
      <c r="H931" s="9" t="str">
        <f t="shared" si="29"/>
        <v>-</v>
      </c>
    </row>
    <row r="932" spans="1:8" x14ac:dyDescent="0.3">
      <c r="A932" s="3" t="str">
        <f>新!E931</f>
        <v>CRC32:4C5DF50B</v>
      </c>
      <c r="B932" s="3" t="str">
        <f>新!A931</f>
        <v>Super Smash Bros</v>
      </c>
      <c r="C932" s="3" t="str">
        <f>新!B931</f>
        <v>[SSB] 27 - Mega Man.bin</v>
      </c>
      <c r="D932" s="2" t="str">
        <f>IFERROR(INDEX(旧!A:A,MATCH(测试!A932,旧!E:E,0)),0)</f>
        <v>Super Smash Bros</v>
      </c>
      <c r="E932" s="2" t="str">
        <f>IFERROR(INDEX(旧!B:B,MATCH(测试!A932,旧!E:E,0)),0)</f>
        <v>[SSB] 27 - Mega Man.bin</v>
      </c>
      <c r="F932" s="9">
        <f>IFERROR(IF(B932=INDEX(转换!B:B,MATCH(D932,转换!A:A,0)),0,1),1)</f>
        <v>0</v>
      </c>
      <c r="G932" s="9">
        <f t="shared" si="28"/>
        <v>0</v>
      </c>
      <c r="H932" s="9" t="str">
        <f t="shared" si="29"/>
        <v>-</v>
      </c>
    </row>
    <row r="933" spans="1:8" x14ac:dyDescent="0.3">
      <c r="A933" s="3" t="str">
        <f>新!E932</f>
        <v>CRC32:E9DE4942</v>
      </c>
      <c r="B933" s="3" t="str">
        <f>新!A932</f>
        <v>Super Smash Bros</v>
      </c>
      <c r="C933" s="3" t="str">
        <f>新!B932</f>
        <v>[SSB] 27S - Mega Man (Gold Edition).bin</v>
      </c>
      <c r="D933" s="2" t="str">
        <f>IFERROR(INDEX(旧!A:A,MATCH(测试!A933,旧!E:E,0)),0)</f>
        <v>Super Smash Bros</v>
      </c>
      <c r="E933" s="2" t="str">
        <f>IFERROR(INDEX(旧!B:B,MATCH(测试!A933,旧!E:E,0)),0)</f>
        <v>[SSB] 27S - Mega Man (Gold Edition).bin</v>
      </c>
      <c r="F933" s="9">
        <f>IFERROR(IF(B933=INDEX(转换!B:B,MATCH(D933,转换!A:A,0)),0,1),1)</f>
        <v>0</v>
      </c>
      <c r="G933" s="9">
        <f t="shared" si="28"/>
        <v>0</v>
      </c>
      <c r="H933" s="9" t="str">
        <f t="shared" si="29"/>
        <v>-</v>
      </c>
    </row>
    <row r="934" spans="1:8" x14ac:dyDescent="0.3">
      <c r="A934" s="3" t="str">
        <f>新!E933</f>
        <v>CRC32:CA2245F6</v>
      </c>
      <c r="B934" s="3" t="str">
        <f>新!A933</f>
        <v>Super Smash Bros</v>
      </c>
      <c r="C934" s="3" t="str">
        <f>新!B933</f>
        <v>[SSB] 28 - King Dedede.bin</v>
      </c>
      <c r="D934" s="2" t="str">
        <f>IFERROR(INDEX(旧!A:A,MATCH(测试!A934,旧!E:E,0)),0)</f>
        <v>Super Smash Bros</v>
      </c>
      <c r="E934" s="2" t="str">
        <f>IFERROR(INDEX(旧!B:B,MATCH(测试!A934,旧!E:E,0)),0)</f>
        <v>[SSB] 28 - King Dedede.bin</v>
      </c>
      <c r="F934" s="9">
        <f>IFERROR(IF(B934=INDEX(转换!B:B,MATCH(D934,转换!A:A,0)),0,1),1)</f>
        <v>0</v>
      </c>
      <c r="G934" s="9">
        <f t="shared" si="28"/>
        <v>0</v>
      </c>
      <c r="H934" s="9" t="str">
        <f t="shared" si="29"/>
        <v>-</v>
      </c>
    </row>
    <row r="935" spans="1:8" x14ac:dyDescent="0.3">
      <c r="A935" s="3" t="str">
        <f>新!E934</f>
        <v>CRC32:16CC07E1</v>
      </c>
      <c r="B935" s="3" t="str">
        <f>新!A934</f>
        <v>Super Smash Bros</v>
      </c>
      <c r="C935" s="3" t="str">
        <f>新!B934</f>
        <v>[SSB] 29 - Meta Knight.bin</v>
      </c>
      <c r="D935" s="2" t="str">
        <f>IFERROR(INDEX(旧!A:A,MATCH(测试!A935,旧!E:E,0)),0)</f>
        <v>Super Smash Bros</v>
      </c>
      <c r="E935" s="2" t="str">
        <f>IFERROR(INDEX(旧!B:B,MATCH(测试!A935,旧!E:E,0)),0)</f>
        <v>[SSB] 29 - Meta Knight.bin</v>
      </c>
      <c r="F935" s="9">
        <f>IFERROR(IF(B935=INDEX(转换!B:B,MATCH(D935,转换!A:A,0)),0,1),1)</f>
        <v>0</v>
      </c>
      <c r="G935" s="9">
        <f t="shared" si="28"/>
        <v>0</v>
      </c>
      <c r="H935" s="9" t="str">
        <f t="shared" si="29"/>
        <v>-</v>
      </c>
    </row>
    <row r="936" spans="1:8" x14ac:dyDescent="0.3">
      <c r="A936" s="3" t="str">
        <f>新!E935</f>
        <v>CRC32:44704476</v>
      </c>
      <c r="B936" s="3" t="str">
        <f>新!A935</f>
        <v>Super Smash Bros</v>
      </c>
      <c r="C936" s="3" t="str">
        <f>新!B935</f>
        <v>[SSB] 30 - Robin.bin</v>
      </c>
      <c r="D936" s="2" t="str">
        <f>IFERROR(INDEX(旧!A:A,MATCH(测试!A936,旧!E:E,0)),0)</f>
        <v>Super Smash Bros</v>
      </c>
      <c r="E936" s="2" t="str">
        <f>IFERROR(INDEX(旧!B:B,MATCH(测试!A936,旧!E:E,0)),0)</f>
        <v>[SSB] 30 - Robin.bin</v>
      </c>
      <c r="F936" s="9">
        <f>IFERROR(IF(B936=INDEX(转换!B:B,MATCH(D936,转换!A:A,0)),0,1),1)</f>
        <v>0</v>
      </c>
      <c r="G936" s="9">
        <f t="shared" si="28"/>
        <v>0</v>
      </c>
      <c r="H936" s="9" t="str">
        <f t="shared" si="29"/>
        <v>-</v>
      </c>
    </row>
    <row r="937" spans="1:8" x14ac:dyDescent="0.3">
      <c r="A937" s="3" t="str">
        <f>新!E936</f>
        <v>CRC32:7ECD1560</v>
      </c>
      <c r="B937" s="3" t="str">
        <f>新!A936</f>
        <v>Super Smash Bros</v>
      </c>
      <c r="C937" s="3" t="str">
        <f>新!B936</f>
        <v>[SSB] 31 - Lucina.bin</v>
      </c>
      <c r="D937" s="2" t="str">
        <f>IFERROR(INDEX(旧!A:A,MATCH(测试!A937,旧!E:E,0)),0)</f>
        <v>Super Smash Bros</v>
      </c>
      <c r="E937" s="2" t="str">
        <f>IFERROR(INDEX(旧!B:B,MATCH(测试!A937,旧!E:E,0)),0)</f>
        <v>[SSB] 31 - Lucina.bin</v>
      </c>
      <c r="F937" s="9">
        <f>IFERROR(IF(B937=INDEX(转换!B:B,MATCH(D937,转换!A:A,0)),0,1),1)</f>
        <v>0</v>
      </c>
      <c r="G937" s="9">
        <f t="shared" si="28"/>
        <v>0</v>
      </c>
      <c r="H937" s="9" t="str">
        <f t="shared" si="29"/>
        <v>-</v>
      </c>
    </row>
    <row r="938" spans="1:8" x14ac:dyDescent="0.3">
      <c r="A938" s="3" t="str">
        <f>新!E937</f>
        <v>CRC32:6DDAA1B2</v>
      </c>
      <c r="B938" s="3" t="str">
        <f>新!A937</f>
        <v>Super Smash Bros</v>
      </c>
      <c r="C938" s="3" t="str">
        <f>新!B937</f>
        <v>[SSB] 32 - Wario.bin</v>
      </c>
      <c r="D938" s="2" t="str">
        <f>IFERROR(INDEX(旧!A:A,MATCH(测试!A938,旧!E:E,0)),0)</f>
        <v>Super Smash Bros</v>
      </c>
      <c r="E938" s="2" t="str">
        <f>IFERROR(INDEX(旧!B:B,MATCH(测试!A938,旧!E:E,0)),0)</f>
        <v>[SSB] 32 - Wario.bin</v>
      </c>
      <c r="F938" s="9">
        <f>IFERROR(IF(B938=INDEX(转换!B:B,MATCH(D938,转换!A:A,0)),0,1),1)</f>
        <v>0</v>
      </c>
      <c r="G938" s="9">
        <f t="shared" si="28"/>
        <v>0</v>
      </c>
      <c r="H938" s="9" t="str">
        <f t="shared" si="29"/>
        <v>-</v>
      </c>
    </row>
    <row r="939" spans="1:8" x14ac:dyDescent="0.3">
      <c r="A939" s="3" t="str">
        <f>新!E938</f>
        <v>CRC32:F3146954</v>
      </c>
      <c r="B939" s="3" t="str">
        <f>新!A938</f>
        <v>Super Smash Bros</v>
      </c>
      <c r="C939" s="3" t="str">
        <f>新!B938</f>
        <v>[SSB] 33 - Charizard.bin</v>
      </c>
      <c r="D939" s="2" t="str">
        <f>IFERROR(INDEX(旧!A:A,MATCH(测试!A939,旧!E:E,0)),0)</f>
        <v>Super Smash Bros</v>
      </c>
      <c r="E939" s="2" t="str">
        <f>IFERROR(INDEX(旧!B:B,MATCH(测试!A939,旧!E:E,0)),0)</f>
        <v>[SSB] 33 - Charizard.bin</v>
      </c>
      <c r="F939" s="9">
        <f>IFERROR(IF(B939=INDEX(转换!B:B,MATCH(D939,转换!A:A,0)),0,1),1)</f>
        <v>0</v>
      </c>
      <c r="G939" s="9">
        <f t="shared" ref="G939:G965" si="30">IF(E939=C939,0,1)</f>
        <v>0</v>
      </c>
      <c r="H939" s="9" t="str">
        <f t="shared" si="29"/>
        <v>-</v>
      </c>
    </row>
    <row r="940" spans="1:8" x14ac:dyDescent="0.3">
      <c r="A940" s="3" t="str">
        <f>新!E939</f>
        <v>CRC32:8886B172</v>
      </c>
      <c r="B940" s="3" t="str">
        <f>新!A939</f>
        <v>Super Smash Bros</v>
      </c>
      <c r="C940" s="3" t="str">
        <f>新!B939</f>
        <v>[SSB] 34 - Ness.bin</v>
      </c>
      <c r="D940" s="2" t="str">
        <f>IFERROR(INDEX(旧!A:A,MATCH(测试!A940,旧!E:E,0)),0)</f>
        <v>Super Smash Bros</v>
      </c>
      <c r="E940" s="2" t="str">
        <f>IFERROR(INDEX(旧!B:B,MATCH(测试!A940,旧!E:E,0)),0)</f>
        <v>[SSB] 34 - Ness.bin</v>
      </c>
      <c r="F940" s="9">
        <f>IFERROR(IF(B940=INDEX(转换!B:B,MATCH(D940,转换!A:A,0)),0,1),1)</f>
        <v>0</v>
      </c>
      <c r="G940" s="9">
        <f t="shared" si="30"/>
        <v>0</v>
      </c>
      <c r="H940" s="9" t="str">
        <f t="shared" si="29"/>
        <v>-</v>
      </c>
    </row>
    <row r="941" spans="1:8" x14ac:dyDescent="0.3">
      <c r="A941" s="3" t="str">
        <f>新!E940</f>
        <v>CRC32:64922FAC</v>
      </c>
      <c r="B941" s="3" t="str">
        <f>新!A940</f>
        <v>Super Smash Bros</v>
      </c>
      <c r="C941" s="3" t="str">
        <f>新!B940</f>
        <v>[SSB] 35 - Pac-Man.bin</v>
      </c>
      <c r="D941" s="2" t="str">
        <f>IFERROR(INDEX(旧!A:A,MATCH(测试!A941,旧!E:E,0)),0)</f>
        <v>Super Smash Bros</v>
      </c>
      <c r="E941" s="2" t="str">
        <f>IFERROR(INDEX(旧!B:B,MATCH(测试!A941,旧!E:E,0)),0)</f>
        <v>[SSB] 35 - Pac-Man.bin</v>
      </c>
      <c r="F941" s="9">
        <f>IFERROR(IF(B941=INDEX(转换!B:B,MATCH(D941,转换!A:A,0)),0,1),1)</f>
        <v>0</v>
      </c>
      <c r="G941" s="9">
        <f t="shared" si="30"/>
        <v>0</v>
      </c>
      <c r="H941" s="9" t="str">
        <f t="shared" si="29"/>
        <v>-</v>
      </c>
    </row>
    <row r="942" spans="1:8" x14ac:dyDescent="0.3">
      <c r="A942" s="3" t="str">
        <f>新!E941</f>
        <v>CRC32:CE8490CA</v>
      </c>
      <c r="B942" s="3" t="str">
        <f>新!A941</f>
        <v>Super Smash Bros</v>
      </c>
      <c r="C942" s="3" t="str">
        <f>新!B941</f>
        <v>[SSB] 36 - Greninja.bin</v>
      </c>
      <c r="D942" s="2" t="str">
        <f>IFERROR(INDEX(旧!A:A,MATCH(测试!A942,旧!E:E,0)),0)</f>
        <v>Super Smash Bros</v>
      </c>
      <c r="E942" s="2" t="str">
        <f>IFERROR(INDEX(旧!B:B,MATCH(测试!A942,旧!E:E,0)),0)</f>
        <v>[SSB] 36 - Greninja.bin</v>
      </c>
      <c r="F942" s="9">
        <f>IFERROR(IF(B942=INDEX(转换!B:B,MATCH(D942,转换!A:A,0)),0,1),1)</f>
        <v>0</v>
      </c>
      <c r="G942" s="9">
        <f t="shared" si="30"/>
        <v>0</v>
      </c>
      <c r="H942" s="9" t="str">
        <f t="shared" si="29"/>
        <v>-</v>
      </c>
    </row>
    <row r="943" spans="1:8" x14ac:dyDescent="0.3">
      <c r="A943" s="3" t="str">
        <f>新!E942</f>
        <v>CRC32:BB8AE151</v>
      </c>
      <c r="B943" s="3" t="str">
        <f>新!A942</f>
        <v>Super Smash Bros</v>
      </c>
      <c r="C943" s="3" t="str">
        <f>新!B942</f>
        <v>[SSB] 37 - Jigglypuff.bin</v>
      </c>
      <c r="D943" s="2" t="str">
        <f>IFERROR(INDEX(旧!A:A,MATCH(测试!A943,旧!E:E,0)),0)</f>
        <v>Super Smash Bros</v>
      </c>
      <c r="E943" s="2" t="str">
        <f>IFERROR(INDEX(旧!B:B,MATCH(测试!A943,旧!E:E,0)),0)</f>
        <v>[SSB] 37 - Jigglypuff.bin</v>
      </c>
      <c r="F943" s="9">
        <f>IFERROR(IF(B943=INDEX(转换!B:B,MATCH(D943,转换!A:A,0)),0,1),1)</f>
        <v>0</v>
      </c>
      <c r="G943" s="9">
        <f t="shared" si="30"/>
        <v>0</v>
      </c>
      <c r="H943" s="9" t="str">
        <f t="shared" si="29"/>
        <v>-</v>
      </c>
    </row>
    <row r="944" spans="1:8" x14ac:dyDescent="0.3">
      <c r="A944" s="3" t="str">
        <f>新!E943</f>
        <v>CRC32:5A0C69B4</v>
      </c>
      <c r="B944" s="3" t="str">
        <f>新!A943</f>
        <v>Super Smash Bros</v>
      </c>
      <c r="C944" s="3" t="str">
        <f>新!B943</f>
        <v>[SSB] 38 - Palutena.bin</v>
      </c>
      <c r="D944" s="2" t="str">
        <f>IFERROR(INDEX(旧!A:A,MATCH(测试!A944,旧!E:E,0)),0)</f>
        <v>Super Smash Bros</v>
      </c>
      <c r="E944" s="2" t="str">
        <f>IFERROR(INDEX(旧!B:B,MATCH(测试!A944,旧!E:E,0)),0)</f>
        <v>[SSB] 38 - Palutena.bin</v>
      </c>
      <c r="F944" s="9">
        <f>IFERROR(IF(B944=INDEX(转换!B:B,MATCH(D944,转换!A:A,0)),0,1),1)</f>
        <v>0</v>
      </c>
      <c r="G944" s="9">
        <f t="shared" si="30"/>
        <v>0</v>
      </c>
      <c r="H944" s="9" t="str">
        <f t="shared" si="29"/>
        <v>-</v>
      </c>
    </row>
    <row r="945" spans="1:8" x14ac:dyDescent="0.3">
      <c r="A945" s="3" t="str">
        <f>新!E944</f>
        <v>CRC32:1D5DCE25</v>
      </c>
      <c r="B945" s="3" t="str">
        <f>新!A944</f>
        <v>Super Smash Bros</v>
      </c>
      <c r="C945" s="3" t="str">
        <f>新!B944</f>
        <v>[SSB] 39 - Dark Pit.bin</v>
      </c>
      <c r="D945" s="2" t="str">
        <f>IFERROR(INDEX(旧!A:A,MATCH(测试!A945,旧!E:E,0)),0)</f>
        <v>Super Smash Bros</v>
      </c>
      <c r="E945" s="2" t="str">
        <f>IFERROR(INDEX(旧!B:B,MATCH(测试!A945,旧!E:E,0)),0)</f>
        <v>[SSB] 39 - Dark Pit.bin</v>
      </c>
      <c r="F945" s="9">
        <f>IFERROR(IF(B945=INDEX(转换!B:B,MATCH(D945,转换!A:A,0)),0,1),1)</f>
        <v>0</v>
      </c>
      <c r="G945" s="9">
        <f t="shared" si="30"/>
        <v>0</v>
      </c>
      <c r="H945" s="9" t="str">
        <f t="shared" si="29"/>
        <v>-</v>
      </c>
    </row>
    <row r="946" spans="1:8" x14ac:dyDescent="0.3">
      <c r="A946" s="3" t="str">
        <f>新!E945</f>
        <v>CRC32:0BE4F8C2</v>
      </c>
      <c r="B946" s="3" t="str">
        <f>新!A945</f>
        <v>Super Smash Bros</v>
      </c>
      <c r="C946" s="3" t="str">
        <f>新!B945</f>
        <v>[SSB] 40 - Zero Suit Samus.bin</v>
      </c>
      <c r="D946" s="2" t="str">
        <f>IFERROR(INDEX(旧!A:A,MATCH(测试!A946,旧!E:E,0)),0)</f>
        <v>Super Smash Bros</v>
      </c>
      <c r="E946" s="2" t="str">
        <f>IFERROR(INDEX(旧!B:B,MATCH(测试!A946,旧!E:E,0)),0)</f>
        <v>[SSB] 40 - Zero Suit Samus.bin</v>
      </c>
      <c r="F946" s="9">
        <f>IFERROR(IF(B946=INDEX(转换!B:B,MATCH(D946,转换!A:A,0)),0,1),1)</f>
        <v>0</v>
      </c>
      <c r="G946" s="9">
        <f t="shared" si="30"/>
        <v>0</v>
      </c>
      <c r="H946" s="9" t="str">
        <f t="shared" si="29"/>
        <v>-</v>
      </c>
    </row>
    <row r="947" spans="1:8" x14ac:dyDescent="0.3">
      <c r="A947" s="3" t="str">
        <f>新!E946</f>
        <v>CRC32:5ED26D19</v>
      </c>
      <c r="B947" s="3" t="str">
        <f>新!A946</f>
        <v>Super Smash Bros</v>
      </c>
      <c r="C947" s="3" t="str">
        <f>新!B946</f>
        <v>[SSB] 41 - Ganondorf.bin</v>
      </c>
      <c r="D947" s="2" t="str">
        <f>IFERROR(INDEX(旧!A:A,MATCH(测试!A947,旧!E:E,0)),0)</f>
        <v>Super Smash Bros</v>
      </c>
      <c r="E947" s="2" t="str">
        <f>IFERROR(INDEX(旧!B:B,MATCH(测试!A947,旧!E:E,0)),0)</f>
        <v>[SSB] 41 - Ganondorf.bin</v>
      </c>
      <c r="F947" s="9">
        <f>IFERROR(IF(B947=INDEX(转换!B:B,MATCH(D947,转换!A:A,0)),0,1),1)</f>
        <v>0</v>
      </c>
      <c r="G947" s="9">
        <f t="shared" si="30"/>
        <v>0</v>
      </c>
      <c r="H947" s="9" t="str">
        <f t="shared" si="29"/>
        <v>-</v>
      </c>
    </row>
    <row r="948" spans="1:8" x14ac:dyDescent="0.3">
      <c r="A948" s="3" t="str">
        <f>新!E947</f>
        <v>CRC32:BE3F4570</v>
      </c>
      <c r="B948" s="3" t="str">
        <f>新!A947</f>
        <v>Super Smash Bros</v>
      </c>
      <c r="C948" s="3" t="str">
        <f>新!B947</f>
        <v>[SSB] 42 - Dr. Mario.bin</v>
      </c>
      <c r="D948" s="2" t="str">
        <f>IFERROR(INDEX(旧!A:A,MATCH(测试!A948,旧!E:E,0)),0)</f>
        <v>Super Smash Bros</v>
      </c>
      <c r="E948" s="2" t="str">
        <f>IFERROR(INDEX(旧!B:B,MATCH(测试!A948,旧!E:E,0)),0)</f>
        <v>[SSB] 42 - Dr. Mario.bin</v>
      </c>
      <c r="F948" s="9">
        <f>IFERROR(IF(B948=INDEX(转换!B:B,MATCH(D948,转换!A:A,0)),0,1),1)</f>
        <v>0</v>
      </c>
      <c r="G948" s="9">
        <f t="shared" si="30"/>
        <v>0</v>
      </c>
      <c r="H948" s="9" t="str">
        <f t="shared" si="29"/>
        <v>-</v>
      </c>
    </row>
    <row r="949" spans="1:8" x14ac:dyDescent="0.3">
      <c r="A949" s="3" t="str">
        <f>新!E948</f>
        <v>CRC32:CD170CF9</v>
      </c>
      <c r="B949" s="3" t="str">
        <f>新!A948</f>
        <v>Super Smash Bros</v>
      </c>
      <c r="C949" s="3" t="str">
        <f>新!B948</f>
        <v>[SSB] 43 - Bowser Jr.bin</v>
      </c>
      <c r="D949" s="2" t="str">
        <f>IFERROR(INDEX(旧!A:A,MATCH(测试!A949,旧!E:E,0)),0)</f>
        <v>Super Smash Bros</v>
      </c>
      <c r="E949" s="2" t="str">
        <f>IFERROR(INDEX(旧!B:B,MATCH(测试!A949,旧!E:E,0)),0)</f>
        <v>[SSB] 43 - Bowser Jr.bin</v>
      </c>
      <c r="F949" s="9">
        <f>IFERROR(IF(B949=INDEX(转换!B:B,MATCH(D949,转换!A:A,0)),0,1),1)</f>
        <v>0</v>
      </c>
      <c r="G949" s="9">
        <f t="shared" si="30"/>
        <v>0</v>
      </c>
      <c r="H949" s="9" t="str">
        <f t="shared" si="29"/>
        <v>-</v>
      </c>
    </row>
    <row r="950" spans="1:8" x14ac:dyDescent="0.3">
      <c r="A950" s="3" t="str">
        <f>新!E949</f>
        <v>CRC32:FAF92B25</v>
      </c>
      <c r="B950" s="3" t="str">
        <f>新!A949</f>
        <v>Super Smash Bros</v>
      </c>
      <c r="C950" s="3" t="str">
        <f>新!B949</f>
        <v>[SSB] 44 - Olimar.bin</v>
      </c>
      <c r="D950" s="2" t="str">
        <f>IFERROR(INDEX(旧!A:A,MATCH(测试!A950,旧!E:E,0)),0)</f>
        <v>Super Smash Bros</v>
      </c>
      <c r="E950" s="2" t="str">
        <f>IFERROR(INDEX(旧!B:B,MATCH(测试!A950,旧!E:E,0)),0)</f>
        <v>[SSB] 44 - Olimar.bin</v>
      </c>
      <c r="F950" s="9">
        <f>IFERROR(IF(B950=INDEX(转换!B:B,MATCH(D950,转换!A:A,0)),0,1),1)</f>
        <v>0</v>
      </c>
      <c r="G950" s="9">
        <f t="shared" si="30"/>
        <v>0</v>
      </c>
      <c r="H950" s="9" t="str">
        <f t="shared" si="29"/>
        <v>-</v>
      </c>
    </row>
    <row r="951" spans="1:8" x14ac:dyDescent="0.3">
      <c r="A951" s="3" t="str">
        <f>新!E950</f>
        <v>CRC32:7A025B3A</v>
      </c>
      <c r="B951" s="3" t="str">
        <f>新!A950</f>
        <v>Super Smash Bros</v>
      </c>
      <c r="C951" s="3" t="str">
        <f>新!B950</f>
        <v>[SSB] 45 - Mr. Game &amp; Watch.bin</v>
      </c>
      <c r="D951" s="2" t="str">
        <f>IFERROR(INDEX(旧!A:A,MATCH(测试!A951,旧!E:E,0)),0)</f>
        <v>Super Smash Bros</v>
      </c>
      <c r="E951" s="2" t="str">
        <f>IFERROR(INDEX(旧!B:B,MATCH(测试!A951,旧!E:E,0)),0)</f>
        <v>[SSB] 45 - Mr. Game &amp; Watch.bin</v>
      </c>
      <c r="F951" s="9">
        <f>IFERROR(IF(B951=INDEX(转换!B:B,MATCH(D951,转换!A:A,0)),0,1),1)</f>
        <v>0</v>
      </c>
      <c r="G951" s="9">
        <f t="shared" si="30"/>
        <v>0</v>
      </c>
      <c r="H951" s="9" t="str">
        <f t="shared" si="29"/>
        <v>-</v>
      </c>
    </row>
    <row r="952" spans="1:8" x14ac:dyDescent="0.3">
      <c r="A952" s="3" t="str">
        <f>新!E951</f>
        <v>CRC32:A4457437</v>
      </c>
      <c r="B952" s="3" t="str">
        <f>新!A951</f>
        <v>Super Smash Bros</v>
      </c>
      <c r="C952" s="3" t="str">
        <f>新!B951</f>
        <v>[SSB] 46 - R.O.B. (NES).bin</v>
      </c>
      <c r="D952" s="2" t="str">
        <f>IFERROR(INDEX(旧!A:A,MATCH(测试!A952,旧!E:E,0)),0)</f>
        <v>Super Smash Bros</v>
      </c>
      <c r="E952" s="2" t="str">
        <f>IFERROR(INDEX(旧!B:B,MATCH(测试!A952,旧!E:E,0)),0)</f>
        <v>[SSB] 46 - R.O.B. (NES).bin</v>
      </c>
      <c r="F952" s="9">
        <f>IFERROR(IF(B952=INDEX(转换!B:B,MATCH(D952,转换!A:A,0)),0,1),1)</f>
        <v>0</v>
      </c>
      <c r="G952" s="9">
        <f t="shared" si="30"/>
        <v>0</v>
      </c>
      <c r="H952" s="9" t="str">
        <f t="shared" si="29"/>
        <v>-</v>
      </c>
    </row>
    <row r="953" spans="1:8" x14ac:dyDescent="0.3">
      <c r="A953" s="3" t="str">
        <f>新!E952</f>
        <v>CRC32:06F7F6F8</v>
      </c>
      <c r="B953" s="3" t="str">
        <f>新!A952</f>
        <v>Super Smash Bros</v>
      </c>
      <c r="C953" s="3" t="str">
        <f>新!B952</f>
        <v>[SSB] 47 - Duck Hunt.bin</v>
      </c>
      <c r="D953" s="2" t="str">
        <f>IFERROR(INDEX(旧!A:A,MATCH(测试!A953,旧!E:E,0)),0)</f>
        <v>Super Smash Bros</v>
      </c>
      <c r="E953" s="2" t="str">
        <f>IFERROR(INDEX(旧!B:B,MATCH(测试!A953,旧!E:E,0)),0)</f>
        <v>[SSB] 47 - Duck Hunt.bin</v>
      </c>
      <c r="F953" s="9">
        <f>IFERROR(IF(B953=INDEX(转换!B:B,MATCH(D953,转换!A:A,0)),0,1),1)</f>
        <v>0</v>
      </c>
      <c r="G953" s="9">
        <f t="shared" si="30"/>
        <v>0</v>
      </c>
      <c r="H953" s="9" t="str">
        <f t="shared" si="29"/>
        <v>-</v>
      </c>
    </row>
    <row r="954" spans="1:8" x14ac:dyDescent="0.3">
      <c r="A954" s="3" t="str">
        <f>新!E953</f>
        <v>CRC32:19894DA9</v>
      </c>
      <c r="B954" s="3" t="str">
        <f>新!A953</f>
        <v>Super Smash Bros</v>
      </c>
      <c r="C954" s="3" t="str">
        <f>新!B953</f>
        <v>[SSB] 48 - Mii Brawler.bin</v>
      </c>
      <c r="D954" s="2" t="str">
        <f>IFERROR(INDEX(旧!A:A,MATCH(测试!A954,旧!E:E,0)),0)</f>
        <v>Super Smash Bros</v>
      </c>
      <c r="E954" s="2" t="str">
        <f>IFERROR(INDEX(旧!B:B,MATCH(测试!A954,旧!E:E,0)),0)</f>
        <v>[SSB] 48 - Mii Brawler.bin</v>
      </c>
      <c r="F954" s="9">
        <f>IFERROR(IF(B954=INDEX(转换!B:B,MATCH(D954,转换!A:A,0)),0,1),1)</f>
        <v>0</v>
      </c>
      <c r="G954" s="9">
        <f t="shared" si="30"/>
        <v>0</v>
      </c>
      <c r="H954" s="9" t="str">
        <f t="shared" si="29"/>
        <v>-</v>
      </c>
    </row>
    <row r="955" spans="1:8" x14ac:dyDescent="0.3">
      <c r="A955" s="3" t="str">
        <f>新!E954</f>
        <v>CRC32:C0F150F1</v>
      </c>
      <c r="B955" s="3" t="str">
        <f>新!A954</f>
        <v>Super Smash Bros</v>
      </c>
      <c r="C955" s="3" t="str">
        <f>新!B954</f>
        <v>[SSB] 49 - Mii Swordfighter.bin</v>
      </c>
      <c r="D955" s="2" t="str">
        <f>IFERROR(INDEX(旧!A:A,MATCH(测试!A955,旧!E:E,0)),0)</f>
        <v>Super Smash Bros</v>
      </c>
      <c r="E955" s="2" t="str">
        <f>IFERROR(INDEX(旧!B:B,MATCH(测试!A955,旧!E:E,0)),0)</f>
        <v>[SSB] 49 - Mii Swordfighter.bin</v>
      </c>
      <c r="F955" s="9">
        <f>IFERROR(IF(B955=INDEX(转换!B:B,MATCH(D955,转换!A:A,0)),0,1),1)</f>
        <v>0</v>
      </c>
      <c r="G955" s="9">
        <f t="shared" si="30"/>
        <v>0</v>
      </c>
      <c r="H955" s="9" t="str">
        <f t="shared" si="29"/>
        <v>-</v>
      </c>
    </row>
    <row r="956" spans="1:8" x14ac:dyDescent="0.3">
      <c r="A956" s="3" t="str">
        <f>新!E955</f>
        <v>CRC32:EEB90B71</v>
      </c>
      <c r="B956" s="3" t="str">
        <f>新!A955</f>
        <v>Super Smash Bros</v>
      </c>
      <c r="C956" s="3" t="str">
        <f>新!B955</f>
        <v>[SSB] 50 - Mii Gunner.bin</v>
      </c>
      <c r="D956" s="2" t="str">
        <f>IFERROR(INDEX(旧!A:A,MATCH(测试!A956,旧!E:E,0)),0)</f>
        <v>Super Smash Bros</v>
      </c>
      <c r="E956" s="2" t="str">
        <f>IFERROR(INDEX(旧!B:B,MATCH(测试!A956,旧!E:E,0)),0)</f>
        <v>[SSB] 50 - Mii Gunner.bin</v>
      </c>
      <c r="F956" s="9">
        <f>IFERROR(IF(B956=INDEX(转换!B:B,MATCH(D956,转换!A:A,0)),0,1),1)</f>
        <v>0</v>
      </c>
      <c r="G956" s="9">
        <f t="shared" si="30"/>
        <v>0</v>
      </c>
      <c r="H956" s="9" t="str">
        <f t="shared" si="29"/>
        <v>-</v>
      </c>
    </row>
    <row r="957" spans="1:8" x14ac:dyDescent="0.3">
      <c r="A957" s="3" t="str">
        <f>新!E956</f>
        <v>CRC32:C77F6923</v>
      </c>
      <c r="B957" s="3" t="str">
        <f>新!A956</f>
        <v>Super Smash Bros</v>
      </c>
      <c r="C957" s="3" t="str">
        <f>新!B956</f>
        <v>[SSB] 51 - Mewtwo.bin</v>
      </c>
      <c r="D957" s="2" t="str">
        <f>IFERROR(INDEX(旧!A:A,MATCH(测试!A957,旧!E:E,0)),0)</f>
        <v>Super Smash Bros</v>
      </c>
      <c r="E957" s="2" t="str">
        <f>IFERROR(INDEX(旧!B:B,MATCH(测试!A957,旧!E:E,0)),0)</f>
        <v>[SSB] 51 - Mewtwo.bin</v>
      </c>
      <c r="F957" s="9">
        <f>IFERROR(IF(B957=INDEX(转换!B:B,MATCH(D957,转换!A:A,0)),0,1),1)</f>
        <v>0</v>
      </c>
      <c r="G957" s="9">
        <f t="shared" si="30"/>
        <v>0</v>
      </c>
      <c r="H957" s="9" t="str">
        <f t="shared" si="29"/>
        <v>-</v>
      </c>
    </row>
    <row r="958" spans="1:8" x14ac:dyDescent="0.3">
      <c r="A958" s="3" t="str">
        <f>新!E957</f>
        <v>CRC32:1B39E68B</v>
      </c>
      <c r="B958" s="3" t="str">
        <f>新!A957</f>
        <v>Super Smash Bros</v>
      </c>
      <c r="C958" s="3" t="str">
        <f>新!B957</f>
        <v>[SSB] 52 - Falco.bin</v>
      </c>
      <c r="D958" s="2" t="str">
        <f>IFERROR(INDEX(旧!A:A,MATCH(测试!A958,旧!E:E,0)),0)</f>
        <v>Super Smash Bros</v>
      </c>
      <c r="E958" s="2" t="str">
        <f>IFERROR(INDEX(旧!B:B,MATCH(测试!A958,旧!E:E,0)),0)</f>
        <v>[SSB] 52 - Falco.bin</v>
      </c>
      <c r="F958" s="9">
        <f>IFERROR(IF(B958=INDEX(转换!B:B,MATCH(D958,转换!A:A,0)),0,1),1)</f>
        <v>0</v>
      </c>
      <c r="G958" s="9">
        <f t="shared" si="30"/>
        <v>0</v>
      </c>
      <c r="H958" s="9" t="str">
        <f t="shared" si="29"/>
        <v>-</v>
      </c>
    </row>
    <row r="959" spans="1:8" x14ac:dyDescent="0.3">
      <c r="A959" s="3" t="str">
        <f>新!E958</f>
        <v>CRC32:D69E0EAE</v>
      </c>
      <c r="B959" s="3" t="str">
        <f>新!A958</f>
        <v>Super Smash Bros</v>
      </c>
      <c r="C959" s="3" t="str">
        <f>新!B958</f>
        <v>[SSB] 53 - Lucas.bin</v>
      </c>
      <c r="D959" s="2" t="str">
        <f>IFERROR(INDEX(旧!A:A,MATCH(测试!A959,旧!E:E,0)),0)</f>
        <v>Super Smash Bros</v>
      </c>
      <c r="E959" s="2" t="str">
        <f>IFERROR(INDEX(旧!B:B,MATCH(测试!A959,旧!E:E,0)),0)</f>
        <v>[SSB] 53 - Lucas.bin</v>
      </c>
      <c r="F959" s="9">
        <f>IFERROR(IF(B959=INDEX(转换!B:B,MATCH(D959,转换!A:A,0)),0,1),1)</f>
        <v>0</v>
      </c>
      <c r="G959" s="9">
        <f t="shared" si="30"/>
        <v>0</v>
      </c>
      <c r="H959" s="9" t="str">
        <f t="shared" si="29"/>
        <v>-</v>
      </c>
    </row>
    <row r="960" spans="1:8" x14ac:dyDescent="0.3">
      <c r="A960" s="3" t="str">
        <f>新!E959</f>
        <v>CRC32:1A165E7F</v>
      </c>
      <c r="B960" s="3" t="str">
        <f>新!A959</f>
        <v>Super Smash Bros</v>
      </c>
      <c r="C960" s="3" t="str">
        <f>新!B959</f>
        <v>[SSB] 54 - R.O.B. (Famicom).bin</v>
      </c>
      <c r="D960" s="2" t="str">
        <f>IFERROR(INDEX(旧!A:A,MATCH(测试!A960,旧!E:E,0)),0)</f>
        <v>Super Smash Bros</v>
      </c>
      <c r="E960" s="2" t="str">
        <f>IFERROR(INDEX(旧!B:B,MATCH(测试!A960,旧!E:E,0)),0)</f>
        <v>[SSB] 54 - R.O.B. (Famicom).bin</v>
      </c>
      <c r="F960" s="9">
        <f>IFERROR(IF(B960=INDEX(转换!B:B,MATCH(D960,转换!A:A,0)),0,1),1)</f>
        <v>0</v>
      </c>
      <c r="G960" s="9">
        <f t="shared" si="30"/>
        <v>0</v>
      </c>
      <c r="H960" s="9" t="str">
        <f t="shared" si="29"/>
        <v>-</v>
      </c>
    </row>
    <row r="961" spans="1:8" x14ac:dyDescent="0.3">
      <c r="A961" s="3" t="str">
        <f>新!E960</f>
        <v>CRC32:A4B4EB96</v>
      </c>
      <c r="B961" s="3" t="str">
        <f>新!A960</f>
        <v>Super Smash Bros</v>
      </c>
      <c r="C961" s="3" t="str">
        <f>新!B960</f>
        <v>[SSB] 55 - Roy.bin</v>
      </c>
      <c r="D961" s="2" t="str">
        <f>IFERROR(INDEX(旧!A:A,MATCH(测试!A961,旧!E:E,0)),0)</f>
        <v>Super Smash Bros</v>
      </c>
      <c r="E961" s="2" t="str">
        <f>IFERROR(INDEX(旧!B:B,MATCH(测试!A961,旧!E:E,0)),0)</f>
        <v>[SSB] 55 - Roy.bin</v>
      </c>
      <c r="F961" s="9">
        <f>IFERROR(IF(B961=INDEX(转换!B:B,MATCH(D961,转换!A:A,0)),0,1),1)</f>
        <v>0</v>
      </c>
      <c r="G961" s="9">
        <f t="shared" si="30"/>
        <v>0</v>
      </c>
      <c r="H961" s="9" t="str">
        <f t="shared" si="29"/>
        <v>-</v>
      </c>
    </row>
    <row r="962" spans="1:8" x14ac:dyDescent="0.3">
      <c r="A962" s="3" t="str">
        <f>新!E961</f>
        <v>CRC32:8BC15C94</v>
      </c>
      <c r="B962" s="3" t="str">
        <f>新!A961</f>
        <v>Super Smash Bros</v>
      </c>
      <c r="C962" s="3" t="str">
        <f>新!B961</f>
        <v>[SSB] 56 - Ryu.bin</v>
      </c>
      <c r="D962" s="2" t="str">
        <f>IFERROR(INDEX(旧!A:A,MATCH(测试!A962,旧!E:E,0)),0)</f>
        <v>Super Smash Bros</v>
      </c>
      <c r="E962" s="2" t="str">
        <f>IFERROR(INDEX(旧!B:B,MATCH(测试!A962,旧!E:E,0)),0)</f>
        <v>[SSB] 56 - Ryu.bin</v>
      </c>
      <c r="F962" s="9">
        <f>IFERROR(IF(B962=INDEX(转换!B:B,MATCH(D962,转换!A:A,0)),0,1),1)</f>
        <v>0</v>
      </c>
      <c r="G962" s="9">
        <f t="shared" si="30"/>
        <v>0</v>
      </c>
      <c r="H962" s="9" t="str">
        <f t="shared" si="29"/>
        <v>-</v>
      </c>
    </row>
    <row r="963" spans="1:8" x14ac:dyDescent="0.3">
      <c r="A963" s="3" t="str">
        <f>新!E962</f>
        <v>CRC32:03BD908D</v>
      </c>
      <c r="B963" s="3" t="str">
        <f>新!A962</f>
        <v>Super Smash Bros</v>
      </c>
      <c r="C963" s="3" t="str">
        <f>新!B962</f>
        <v>[SSB] 57 - Cloud.bin</v>
      </c>
      <c r="D963" s="2" t="str">
        <f>IFERROR(INDEX(旧!A:A,MATCH(测试!A963,旧!E:E,0)),0)</f>
        <v>Super Smash Bros</v>
      </c>
      <c r="E963" s="2" t="str">
        <f>IFERROR(INDEX(旧!B:B,MATCH(测试!A963,旧!E:E,0)),0)</f>
        <v>[SSB] 57 - Cloud.bin</v>
      </c>
      <c r="F963" s="9">
        <f>IFERROR(IF(B963=INDEX(转换!B:B,MATCH(D963,转换!A:A,0)),0,1),1)</f>
        <v>0</v>
      </c>
      <c r="G963" s="9">
        <f t="shared" si="30"/>
        <v>0</v>
      </c>
      <c r="H963" s="9" t="str">
        <f t="shared" si="29"/>
        <v>-</v>
      </c>
    </row>
    <row r="964" spans="1:8" x14ac:dyDescent="0.3">
      <c r="A964" s="3" t="str">
        <f>新!E963</f>
        <v>CRC32:4A44D076</v>
      </c>
      <c r="B964" s="3" t="str">
        <f>新!A963</f>
        <v>Super Smash Bros</v>
      </c>
      <c r="C964" s="3" t="str">
        <f>新!B963</f>
        <v>[SSB] 58 - Cloud (Player 2).bin</v>
      </c>
      <c r="D964" s="2" t="str">
        <f>IFERROR(INDEX(旧!A:A,MATCH(测试!A964,旧!E:E,0)),0)</f>
        <v>Super Smash Bros</v>
      </c>
      <c r="E964" s="2" t="str">
        <f>IFERROR(INDEX(旧!B:B,MATCH(测试!A964,旧!E:E,0)),0)</f>
        <v>[SSB] 58 - Cloud (Player 2).bin</v>
      </c>
      <c r="F964" s="9">
        <f>IFERROR(IF(B964=INDEX(转换!B:B,MATCH(D964,转换!A:A,0)),0,1),1)</f>
        <v>0</v>
      </c>
      <c r="G964" s="9">
        <f t="shared" si="30"/>
        <v>0</v>
      </c>
      <c r="H964" s="9" t="str">
        <f t="shared" ref="H964:H965" si="31">_xlfn.IFS(F964+G964=0,"-",F964+G964=1,"文件名错误",F964+G964=2,"无此文件")</f>
        <v>-</v>
      </c>
    </row>
    <row r="965" spans="1:8" x14ac:dyDescent="0.3">
      <c r="A965" s="3" t="str">
        <f>新!E964</f>
        <v>CRC32:4D2C4F6F</v>
      </c>
      <c r="B965" s="3" t="str">
        <f>新!A964</f>
        <v>Super Smash Bros</v>
      </c>
      <c r="C965" s="3" t="str">
        <f>新!B964</f>
        <v>[SSB] 59 - Corrin.bin</v>
      </c>
      <c r="D965" s="2" t="str">
        <f>IFERROR(INDEX(旧!A:A,MATCH(测试!A965,旧!E:E,0)),0)</f>
        <v>Super Smash Bros</v>
      </c>
      <c r="E965" s="2" t="str">
        <f>IFERROR(INDEX(旧!B:B,MATCH(测试!A965,旧!E:E,0)),0)</f>
        <v>[SSB] 59 - Corrin.bin</v>
      </c>
      <c r="F965" s="9">
        <f>IFERROR(IF(B965=INDEX(转换!B:B,MATCH(D965,转换!A:A,0)),0,1),1)</f>
        <v>0</v>
      </c>
      <c r="G965" s="9">
        <f t="shared" si="30"/>
        <v>0</v>
      </c>
      <c r="H965" s="9" t="str">
        <f t="shared" si="31"/>
        <v>-</v>
      </c>
    </row>
  </sheetData>
  <autoFilter ref="A2:H965" xr:uid="{00000000-0009-0000-0000-000003000000}"/>
  <mergeCells count="3">
    <mergeCell ref="A1:C1"/>
    <mergeCell ref="F1:H1"/>
    <mergeCell ref="D1:E1"/>
  </mergeCells>
  <phoneticPr fontId="2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activeCell="C5" sqref="C5"/>
    </sheetView>
  </sheetViews>
  <sheetFormatPr defaultRowHeight="19.5" customHeight="1" x14ac:dyDescent="0.3"/>
  <sheetData>
    <row r="1" spans="1:4" ht="19.5" customHeight="1" x14ac:dyDescent="0.3">
      <c r="A1" s="12"/>
      <c r="B1" s="17" t="s">
        <v>3101</v>
      </c>
      <c r="C1" s="17" t="s">
        <v>3102</v>
      </c>
      <c r="D1" s="17" t="s">
        <v>3103</v>
      </c>
    </row>
    <row r="2" spans="1:4" ht="19.5" customHeight="1" x14ac:dyDescent="0.3">
      <c r="A2" s="17" t="s">
        <v>3098</v>
      </c>
      <c r="B2" s="18">
        <f>SUM(旧!F:F)</f>
        <v>75</v>
      </c>
      <c r="C2" s="12">
        <v>0</v>
      </c>
      <c r="D2" s="18">
        <f>B2-C2</f>
        <v>75</v>
      </c>
    </row>
    <row r="3" spans="1:4" ht="19.5" customHeight="1" x14ac:dyDescent="0.3">
      <c r="A3" s="17" t="s">
        <v>3099</v>
      </c>
      <c r="B3" s="18">
        <f>SUM(新!F:F)</f>
        <v>77</v>
      </c>
      <c r="C3" s="12">
        <v>0</v>
      </c>
      <c r="D3" s="18">
        <f t="shared" ref="D3:D4" si="0">B3-C3</f>
        <v>77</v>
      </c>
    </row>
    <row r="4" spans="1:4" ht="19.5" customHeight="1" x14ac:dyDescent="0.3">
      <c r="A4" s="17" t="s">
        <v>3100</v>
      </c>
      <c r="B4" s="18">
        <f>SUM(测试!H:H)</f>
        <v>0</v>
      </c>
      <c r="C4" s="12">
        <v>0</v>
      </c>
      <c r="D4" s="18">
        <f t="shared" si="0"/>
        <v>0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旧</vt:lpstr>
      <vt:lpstr>新</vt:lpstr>
      <vt:lpstr>转换</vt:lpstr>
      <vt:lpstr>测试</vt:lpstr>
      <vt:lpstr>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焦磊</dc:creator>
  <cp:lastModifiedBy>磊 焦</cp:lastModifiedBy>
  <cp:lastPrinted>2019-09-26T07:04:34Z</cp:lastPrinted>
  <dcterms:created xsi:type="dcterms:W3CDTF">2017-08-09T09:01:22Z</dcterms:created>
  <dcterms:modified xsi:type="dcterms:W3CDTF">2025-12-23T12:22:52Z</dcterms:modified>
</cp:coreProperties>
</file>